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stockman\Desktop\"/>
    </mc:Choice>
  </mc:AlternateContent>
  <xr:revisionPtr revIDLastSave="0" documentId="13_ncr:1_{BF26D1DF-432E-40F2-82C6-EA83BC11DBA3}" xr6:coauthVersionLast="47" xr6:coauthVersionMax="47" xr10:uidLastSave="{00000000-0000-0000-0000-000000000000}"/>
  <bookViews>
    <workbookView xWindow="-120" yWindow="-120" windowWidth="29040" windowHeight="15720" xr2:uid="{03AADCD7-5D86-482F-9446-BDB00ADD653D}"/>
  </bookViews>
  <sheets>
    <sheet name="Database Query" sheetId="7" r:id="rId1"/>
    <sheet name="Fund Info" sheetId="4" r:id="rId2"/>
    <sheet name="Fund Info Table" sheetId="5" r:id="rId3"/>
    <sheet name="Dashboard" sheetId="6" r:id="rId4"/>
  </sheets>
  <definedNames>
    <definedName name="ExternalData_1" localSheetId="3" hidden="1">Dashboard!$A$1:$P$281</definedName>
    <definedName name="ExternalData_1" localSheetId="0" hidden="1">'Database Query'!$A$1:$A$281</definedName>
    <definedName name="FromArray_1">_xlfn.ANCHORARRAY('Fund Info'!$A$1)</definedName>
    <definedName name="FromArray_2">_xlfn.ANCHORARRAY('Fund Info Table'!$A$1)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4" s="1"/>
  <c r="B350" i="4" a="1"/>
  <c r="B299" i="4" a="1"/>
  <c r="B328" i="4" a="1"/>
  <c r="B241" i="4" a="1"/>
  <c r="B216" i="4" a="1"/>
  <c r="B355" i="4" a="1"/>
  <c r="B397" i="4" a="1"/>
  <c r="B246" i="4" a="1"/>
  <c r="B230" i="4" a="1"/>
  <c r="B469" i="4" a="1"/>
  <c r="B352" i="4" a="1"/>
  <c r="B490" i="4" a="1"/>
  <c r="B424" i="4" a="1"/>
  <c r="B349" i="4" a="1"/>
  <c r="B253" i="4" a="1"/>
  <c r="B224" i="4" a="1"/>
  <c r="B330" i="4" a="1"/>
  <c r="B228" i="4" a="1"/>
  <c r="B286" i="4" a="1"/>
  <c r="B379" i="4" a="1"/>
  <c r="B249" i="4" a="1"/>
  <c r="B233" i="4" a="1"/>
  <c r="B292" i="4" a="1"/>
  <c r="B240" i="4" a="1"/>
  <c r="B430" i="4" a="1"/>
  <c r="B274" i="4" a="1"/>
  <c r="B456" i="4" a="1"/>
  <c r="B359" i="4" a="1"/>
  <c r="B493" i="4" a="1"/>
  <c r="B217" i="4" a="1"/>
  <c r="B409" i="4" a="1"/>
  <c r="B252" i="4" a="1"/>
  <c r="B271" i="4" a="1"/>
  <c r="B364" i="4" a="1"/>
  <c r="B489" i="4" a="1"/>
  <c r="B250" i="4" a="1"/>
  <c r="B306" i="4" a="1"/>
  <c r="B433" i="4" a="1"/>
  <c r="B222" i="4" a="1"/>
  <c r="B298" i="4" a="1"/>
  <c r="B309" i="4" a="1"/>
  <c r="B385" i="4" a="1"/>
  <c r="B365" i="4" a="1"/>
  <c r="B388" i="4" a="1"/>
  <c r="B460" i="4" a="1"/>
  <c r="B331" i="4" a="1"/>
  <c r="B373" i="4" a="1"/>
  <c r="B282" i="4" a="1"/>
  <c r="B393" i="4" a="1"/>
  <c r="B294" i="4" a="1"/>
  <c r="B367" i="4" a="1"/>
  <c r="B341" i="4" a="1"/>
  <c r="B269" i="4" a="1"/>
  <c r="B320" i="4" a="1"/>
  <c r="B398" i="4" a="1"/>
  <c r="B285" i="4" a="1"/>
  <c r="B335" i="4" a="1"/>
  <c r="B283" i="4" a="1"/>
  <c r="B225" i="4" a="1"/>
  <c r="B273" i="4" a="1"/>
  <c r="B447" i="4" a="1"/>
  <c r="B238" i="4" a="1"/>
  <c r="B445" i="4" a="1"/>
  <c r="B497" i="4" a="1"/>
  <c r="B344" i="4" a="1"/>
  <c r="B438" i="4" a="1"/>
  <c r="B455" i="4" a="1"/>
  <c r="B408" i="4" a="1"/>
  <c r="B423" i="4" a="1"/>
  <c r="B429" i="4" a="1"/>
  <c r="B484" i="4" a="1"/>
  <c r="B471" i="4" a="1"/>
  <c r="B417" i="4" a="1"/>
  <c r="B449" i="4" a="1"/>
  <c r="B305" i="4" a="1"/>
  <c r="B334" i="4" a="1"/>
  <c r="B264" i="4" a="1"/>
  <c r="B498" i="4" a="1"/>
  <c r="B337" i="4" a="1"/>
  <c r="B219" i="4" a="1"/>
  <c r="B494" i="4" a="1"/>
  <c r="B235" i="4" a="1"/>
  <c r="B464" i="4" a="1"/>
  <c r="B231" i="4" a="1"/>
  <c r="B244" i="4" a="1"/>
  <c r="B435" i="4" a="1"/>
  <c r="B229" i="4" a="1"/>
  <c r="B257" i="4" a="1"/>
  <c r="B470" i="4" a="1"/>
  <c r="B251" i="4" a="1"/>
  <c r="B465" i="4" a="1"/>
  <c r="B278" i="4" a="1"/>
  <c r="B462" i="4" a="1"/>
  <c r="B265" i="4" a="1"/>
  <c r="B436" i="4" a="1"/>
  <c r="B492" i="4" a="1"/>
  <c r="B255" i="4" a="1"/>
  <c r="B277" i="4" a="1"/>
  <c r="B322" i="4" a="1"/>
  <c r="B404" i="4" a="1"/>
  <c r="B402" i="4" a="1"/>
  <c r="B406" i="4" a="1"/>
  <c r="B245" i="4" a="1"/>
  <c r="B383" i="4" a="1"/>
  <c r="B369" i="4" a="1"/>
  <c r="B338" i="4" a="1"/>
  <c r="B357" i="4" a="1"/>
  <c r="B324" i="4" a="1"/>
  <c r="B360" i="4" a="1"/>
  <c r="B276" i="4" a="1"/>
  <c r="B307" i="4" a="1"/>
  <c r="B476" i="4" a="1"/>
  <c r="B396" i="4" a="1"/>
  <c r="B370" i="4" a="1"/>
  <c r="B333" i="4" a="1"/>
  <c r="B260" i="4" a="1"/>
  <c r="B453" i="4" a="1"/>
  <c r="B221" i="4" a="1"/>
  <c r="B339" i="4" a="1"/>
  <c r="B382" i="4" a="1"/>
  <c r="B380" i="4" a="1"/>
  <c r="B366" i="4" a="1"/>
  <c r="B279" i="4" a="1"/>
  <c r="B488" i="4" a="1"/>
  <c r="B422" i="4" a="1"/>
  <c r="B329" i="4" a="1"/>
  <c r="B413" i="4" a="1"/>
  <c r="B475" i="4" a="1"/>
  <c r="B432" i="4" a="1"/>
  <c r="B317" i="4" a="1"/>
  <c r="B483" i="4" a="1"/>
  <c r="B418" i="4" a="1"/>
  <c r="B377" i="4" a="1"/>
  <c r="B248" i="4" a="1"/>
  <c r="B389" i="4" a="1"/>
  <c r="B254" i="4" a="1"/>
  <c r="B416" i="4" a="1"/>
  <c r="B313" i="4" a="1"/>
  <c r="B403" i="4" a="1"/>
  <c r="B312" i="4" a="1"/>
  <c r="B256" i="4" a="1"/>
  <c r="B419" i="4" a="1"/>
  <c r="B420" i="4" a="1"/>
  <c r="B227" i="4" a="1"/>
  <c r="B358" i="4" a="1"/>
  <c r="B457" i="4" a="1"/>
  <c r="B327" i="4" a="1"/>
  <c r="B323" i="4" a="1"/>
  <c r="B450" i="4" a="1"/>
  <c r="B347" i="4" a="1"/>
  <c r="B458" i="4" a="1"/>
  <c r="B213" i="4" a="1"/>
  <c r="B482" i="4" a="1"/>
  <c r="B296" i="4" a="1"/>
  <c r="B412" i="4" a="1"/>
  <c r="B407" i="4" a="1"/>
  <c r="B376" i="4" a="1"/>
  <c r="B473" i="4" a="1"/>
  <c r="B242" i="4" a="1"/>
  <c r="B301" i="4" a="1"/>
  <c r="B362" i="4" a="1"/>
  <c r="B281" i="4" a="1"/>
  <c r="B372" i="4" a="1"/>
  <c r="B291" i="4" a="1"/>
  <c r="B386" i="4" a="1"/>
  <c r="B258" i="4" a="1"/>
  <c r="B267" i="4" a="1"/>
  <c r="B448" i="4" a="1"/>
  <c r="B319" i="4" a="1"/>
  <c r="B451" i="4" a="1"/>
  <c r="B218" i="4" a="1"/>
  <c r="B314" i="4" a="1"/>
  <c r="B243" i="4" a="1"/>
  <c r="B428" i="4" a="1"/>
  <c r="B332" i="4" a="1"/>
  <c r="B394" i="4" a="1"/>
  <c r="B378" i="4" a="1"/>
  <c r="B290" i="4" a="1"/>
  <c r="B485" i="4" a="1"/>
  <c r="B295" i="4" a="1"/>
  <c r="B303" i="4" a="1"/>
  <c r="B220" i="4" a="1"/>
  <c r="B223" i="4" a="1"/>
  <c r="B318" i="4" a="1"/>
  <c r="B390" i="4" a="1"/>
  <c r="B346" i="4" a="1"/>
  <c r="B354" i="4" a="1"/>
  <c r="B356" i="4" a="1"/>
  <c r="B361" i="4" a="1"/>
  <c r="B345" i="4" a="1"/>
  <c r="B439" i="4" a="1"/>
  <c r="B410" i="4" a="1"/>
  <c r="B440" i="4" a="1"/>
  <c r="B302" i="4" a="1"/>
  <c r="B401" i="4" a="1"/>
  <c r="B486" i="4" a="1"/>
  <c r="B368" i="4" a="1"/>
  <c r="B272" i="4" a="1"/>
  <c r="B400" i="4" a="1"/>
  <c r="B262" i="4" a="1"/>
  <c r="B374" i="4" a="1"/>
  <c r="B463" i="4" a="1"/>
  <c r="B454" i="4" a="1"/>
  <c r="B315" i="4" a="1"/>
  <c r="B348" i="4" a="1"/>
  <c r="B499" i="4" a="1"/>
  <c r="B421" i="4" a="1"/>
  <c r="B399" i="4" a="1"/>
  <c r="B239" i="4" a="1"/>
  <c r="B381" i="4" a="1"/>
  <c r="B266" i="4" a="1"/>
  <c r="B487" i="4" a="1"/>
  <c r="B446" i="4" a="1"/>
  <c r="B426" i="4" a="1"/>
  <c r="B311" i="4" a="1"/>
  <c r="B479" i="4" a="1"/>
  <c r="B353" i="4" a="1"/>
  <c r="B491" i="4" a="1"/>
  <c r="B411" i="4" a="1"/>
  <c r="B474" i="4" a="1"/>
  <c r="B371" i="4" a="1"/>
  <c r="B340" i="4" a="1"/>
  <c r="B316" i="4" a="1"/>
  <c r="B466" i="4" a="1"/>
  <c r="B263" i="4" a="1"/>
  <c r="B415" i="4" a="1"/>
  <c r="B477" i="4" a="1"/>
  <c r="B261" i="4" a="1"/>
  <c r="B234" i="4" a="1"/>
  <c r="B431" i="4" a="1"/>
  <c r="B481" i="4" a="1"/>
  <c r="B363" i="4" a="1"/>
  <c r="B427" i="4" a="1"/>
  <c r="B284" i="4" a="1"/>
  <c r="B289" i="4" a="1"/>
  <c r="B300" i="4" a="1"/>
  <c r="B434" i="4" a="1"/>
  <c r="B437" i="4" a="1"/>
  <c r="B467" i="4" a="1"/>
  <c r="B405" i="4" a="1"/>
  <c r="B443" i="4" a="1"/>
  <c r="B414" i="4" a="1"/>
  <c r="B468" i="4" a="1"/>
  <c r="B214" i="4" a="1"/>
  <c r="B226" i="4" a="1"/>
  <c r="B280" i="4" a="1"/>
  <c r="B478" i="4" a="1"/>
  <c r="B270" i="4" a="1"/>
  <c r="B391" i="4" a="1"/>
  <c r="B259" i="4" a="1"/>
  <c r="B384" i="4" a="1"/>
  <c r="B321" i="4" a="1"/>
  <c r="B236" i="4" a="1"/>
  <c r="B442" i="4" a="1"/>
  <c r="B387" i="4" a="1"/>
  <c r="B232" i="4" a="1"/>
  <c r="B288" i="4" a="1"/>
  <c r="B268" i="4" a="1"/>
  <c r="B459" i="4" a="1"/>
  <c r="B496" i="4" a="1"/>
  <c r="B461" i="4" a="1"/>
  <c r="B425" i="4" a="1"/>
  <c r="B287" i="4" a="1"/>
  <c r="B495" i="4" a="1"/>
  <c r="B215" i="4" a="1"/>
  <c r="B480" i="4" a="1"/>
  <c r="B304" i="4" a="1"/>
  <c r="B500" i="4" a="1"/>
  <c r="B308" i="4" a="1"/>
  <c r="B343" i="4" a="1"/>
  <c r="B392" i="4" a="1"/>
  <c r="B297" i="4" a="1"/>
  <c r="B452" i="4" a="1"/>
  <c r="B325" i="4" a="1"/>
  <c r="B275" i="4" a="1"/>
  <c r="B310" i="4" a="1"/>
  <c r="B395" i="4" a="1"/>
  <c r="B326" i="4" a="1"/>
  <c r="B444" i="4" a="1"/>
  <c r="B247" i="4" a="1"/>
  <c r="B293" i="4" a="1"/>
  <c r="B237" i="4" a="1"/>
  <c r="B342" i="4" a="1"/>
  <c r="B336" i="4" a="1"/>
  <c r="B351" i="4" a="1"/>
  <c r="B441" i="4" a="1"/>
  <c r="B375" i="4" a="1"/>
  <c r="B472" i="4" a="1"/>
  <c r="B408" i="4" l="1"/>
  <c r="B327" i="4"/>
  <c r="B460" i="4"/>
  <c r="B496" i="4"/>
  <c r="B446" i="4"/>
  <c r="B471" i="4"/>
  <c r="B419" i="4"/>
  <c r="B392" i="4"/>
  <c r="B365" i="4"/>
  <c r="B338" i="4"/>
  <c r="B311" i="4"/>
  <c r="B495" i="4"/>
  <c r="B445" i="4"/>
  <c r="B470" i="4"/>
  <c r="B418" i="4"/>
  <c r="B391" i="4"/>
  <c r="B364" i="4"/>
  <c r="B337" i="4"/>
  <c r="B310" i="4"/>
  <c r="B444" i="4"/>
  <c r="B487" i="4"/>
  <c r="B462" i="4"/>
  <c r="B436" i="4"/>
  <c r="B409" i="4"/>
  <c r="B382" i="4"/>
  <c r="B355" i="4"/>
  <c r="B328" i="4"/>
  <c r="B301" i="4"/>
  <c r="B486" i="4"/>
  <c r="B461" i="4"/>
  <c r="B354" i="4"/>
  <c r="B380" i="4"/>
  <c r="B299" i="4"/>
  <c r="B433" i="4"/>
  <c r="B352" i="4"/>
  <c r="B298" i="4"/>
  <c r="B435" i="4"/>
  <c r="B381" i="4"/>
  <c r="B300" i="4"/>
  <c r="B482" i="4"/>
  <c r="B434" i="4"/>
  <c r="B407" i="4"/>
  <c r="B353" i="4"/>
  <c r="B326" i="4"/>
  <c r="B459" i="4"/>
  <c r="B499" i="4"/>
  <c r="B481" i="4"/>
  <c r="B406" i="4"/>
  <c r="B379" i="4"/>
  <c r="B325" i="4"/>
  <c r="B498" i="4"/>
  <c r="B473" i="4"/>
  <c r="B450" i="4"/>
  <c r="B424" i="4"/>
  <c r="B397" i="4"/>
  <c r="B370" i="4"/>
  <c r="B343" i="4"/>
  <c r="B316" i="4"/>
  <c r="B289" i="4"/>
  <c r="B497" i="4"/>
  <c r="B472" i="4"/>
  <c r="B423" i="4"/>
  <c r="B396" i="4"/>
  <c r="B369" i="4"/>
  <c r="B342" i="4"/>
  <c r="B315" i="4"/>
  <c r="B288" i="4"/>
  <c r="B455" i="4"/>
  <c r="B417" i="4"/>
  <c r="B390" i="4"/>
  <c r="B378" i="4"/>
  <c r="B351" i="4"/>
  <c r="B336" i="4"/>
  <c r="B324" i="4"/>
  <c r="B309" i="4"/>
  <c r="B480" i="4"/>
  <c r="B443" i="4"/>
  <c r="B491" i="4"/>
  <c r="B468" i="4"/>
  <c r="B454" i="4"/>
  <c r="B428" i="4"/>
  <c r="B416" i="4"/>
  <c r="B401" i="4"/>
  <c r="B389" i="4"/>
  <c r="B374" i="4"/>
  <c r="B362" i="4"/>
  <c r="B347" i="4"/>
  <c r="B335" i="4"/>
  <c r="B320" i="4"/>
  <c r="B308" i="4"/>
  <c r="B293" i="4"/>
  <c r="B490" i="4"/>
  <c r="B469" i="4"/>
  <c r="B432" i="4"/>
  <c r="B405" i="4"/>
  <c r="B363" i="4"/>
  <c r="B297" i="4"/>
  <c r="B479" i="4"/>
  <c r="B442" i="4"/>
  <c r="B453" i="4"/>
  <c r="B427" i="4"/>
  <c r="B415" i="4"/>
  <c r="B400" i="4"/>
  <c r="B388" i="4"/>
  <c r="B373" i="4"/>
  <c r="B361" i="4"/>
  <c r="B346" i="4"/>
  <c r="B334" i="4"/>
  <c r="B319" i="4"/>
  <c r="B307" i="4"/>
  <c r="B292" i="4"/>
  <c r="B478" i="4"/>
  <c r="B464" i="4"/>
  <c r="B441" i="4"/>
  <c r="B489" i="4"/>
  <c r="B452" i="4"/>
  <c r="B426" i="4"/>
  <c r="B414" i="4"/>
  <c r="B399" i="4"/>
  <c r="B387" i="4"/>
  <c r="B372" i="4"/>
  <c r="B360" i="4"/>
  <c r="B345" i="4"/>
  <c r="B333" i="4"/>
  <c r="B318" i="4"/>
  <c r="B306" i="4"/>
  <c r="B291" i="4"/>
  <c r="B500" i="4"/>
  <c r="B477" i="4"/>
  <c r="B463" i="4"/>
  <c r="B488" i="4"/>
  <c r="B451" i="4"/>
  <c r="B437" i="4"/>
  <c r="B425" i="4"/>
  <c r="B410" i="4"/>
  <c r="B398" i="4"/>
  <c r="B383" i="4"/>
  <c r="B371" i="4"/>
  <c r="B356" i="4"/>
  <c r="B344" i="4"/>
  <c r="B329" i="4"/>
  <c r="B317" i="4"/>
  <c r="B302" i="4"/>
  <c r="B290" i="4"/>
  <c r="B494" i="4"/>
  <c r="B485" i="4"/>
  <c r="B476" i="4"/>
  <c r="B467" i="4"/>
  <c r="B458" i="4"/>
  <c r="B449" i="4"/>
  <c r="B440" i="4"/>
  <c r="B431" i="4"/>
  <c r="B422" i="4"/>
  <c r="B413" i="4"/>
  <c r="B404" i="4"/>
  <c r="B395" i="4"/>
  <c r="B386" i="4"/>
  <c r="B377" i="4"/>
  <c r="B368" i="4"/>
  <c r="B359" i="4"/>
  <c r="B350" i="4"/>
  <c r="B341" i="4"/>
  <c r="B332" i="4"/>
  <c r="B323" i="4"/>
  <c r="B314" i="4"/>
  <c r="B305" i="4"/>
  <c r="B296" i="4"/>
  <c r="B287" i="4"/>
  <c r="B493" i="4"/>
  <c r="B484" i="4"/>
  <c r="B475" i="4"/>
  <c r="B466" i="4"/>
  <c r="B457" i="4"/>
  <c r="B448" i="4"/>
  <c r="B439" i="4"/>
  <c r="B430" i="4"/>
  <c r="B421" i="4"/>
  <c r="B412" i="4"/>
  <c r="B403" i="4"/>
  <c r="B394" i="4"/>
  <c r="B385" i="4"/>
  <c r="B376" i="4"/>
  <c r="B367" i="4"/>
  <c r="B358" i="4"/>
  <c r="B349" i="4"/>
  <c r="B340" i="4"/>
  <c r="B331" i="4"/>
  <c r="B322" i="4"/>
  <c r="B313" i="4"/>
  <c r="B304" i="4"/>
  <c r="B295" i="4"/>
  <c r="B286" i="4"/>
  <c r="B492" i="4"/>
  <c r="B483" i="4"/>
  <c r="B474" i="4"/>
  <c r="B465" i="4"/>
  <c r="B456" i="4"/>
  <c r="B447" i="4"/>
  <c r="B438" i="4"/>
  <c r="B429" i="4"/>
  <c r="B420" i="4"/>
  <c r="B411" i="4"/>
  <c r="B402" i="4"/>
  <c r="B393" i="4"/>
  <c r="B384" i="4"/>
  <c r="B375" i="4"/>
  <c r="B366" i="4"/>
  <c r="B357" i="4"/>
  <c r="B348" i="4"/>
  <c r="B339" i="4"/>
  <c r="B330" i="4"/>
  <c r="B321" i="4"/>
  <c r="B312" i="4"/>
  <c r="B303" i="4"/>
  <c r="B294" i="4"/>
  <c r="B285" i="4"/>
  <c r="B284" i="4"/>
  <c r="B275" i="4"/>
  <c r="B266" i="4"/>
  <c r="B257" i="4"/>
  <c r="B248" i="4"/>
  <c r="B239" i="4"/>
  <c r="B230" i="4"/>
  <c r="B221" i="4"/>
  <c r="B283" i="4"/>
  <c r="B265" i="4"/>
  <c r="B247" i="4"/>
  <c r="B220" i="4"/>
  <c r="B264" i="4"/>
  <c r="B246" i="4"/>
  <c r="B228" i="4"/>
  <c r="B281" i="4"/>
  <c r="B263" i="4"/>
  <c r="B245" i="4"/>
  <c r="B227" i="4"/>
  <c r="B280" i="4"/>
  <c r="B253" i="4"/>
  <c r="B226" i="4"/>
  <c r="B279" i="4"/>
  <c r="B261" i="4"/>
  <c r="B243" i="4"/>
  <c r="B225" i="4"/>
  <c r="B278" i="4"/>
  <c r="B242" i="4"/>
  <c r="B215" i="4"/>
  <c r="B274" i="4"/>
  <c r="B256" i="4"/>
  <c r="B238" i="4"/>
  <c r="B229" i="4"/>
  <c r="B282" i="4"/>
  <c r="B273" i="4"/>
  <c r="B255" i="4"/>
  <c r="B237" i="4"/>
  <c r="B219" i="4"/>
  <c r="B272" i="4"/>
  <c r="B254" i="4"/>
  <c r="B236" i="4"/>
  <c r="B218" i="4"/>
  <c r="B271" i="4"/>
  <c r="B262" i="4"/>
  <c r="B244" i="4"/>
  <c r="B235" i="4"/>
  <c r="B217" i="4"/>
  <c r="B270" i="4"/>
  <c r="B252" i="4"/>
  <c r="B234" i="4"/>
  <c r="B216" i="4"/>
  <c r="B269" i="4"/>
  <c r="B260" i="4"/>
  <c r="B251" i="4"/>
  <c r="B233" i="4"/>
  <c r="B224" i="4"/>
  <c r="B277" i="4"/>
  <c r="B268" i="4"/>
  <c r="B259" i="4"/>
  <c r="B250" i="4"/>
  <c r="B241" i="4"/>
  <c r="B232" i="4"/>
  <c r="B223" i="4"/>
  <c r="B214" i="4"/>
  <c r="B276" i="4"/>
  <c r="B267" i="4"/>
  <c r="B258" i="4"/>
  <c r="B249" i="4"/>
  <c r="B240" i="4"/>
  <c r="B231" i="4"/>
  <c r="B222" i="4"/>
  <c r="B213" i="4"/>
  <c r="P311" i="4" a="1"/>
  <c r="P486" i="4" a="1"/>
  <c r="P481" i="4" a="1"/>
  <c r="P342" i="4" a="1"/>
  <c r="P401" i="4" a="1"/>
  <c r="P427" i="4" a="1"/>
  <c r="P399" i="4" a="1"/>
  <c r="P383" i="4" a="1"/>
  <c r="P404" i="4" a="1"/>
  <c r="P457" i="4" a="1"/>
  <c r="P295" i="4" a="1"/>
  <c r="P348" i="4" a="1"/>
  <c r="P247" i="4" a="1"/>
  <c r="P215" i="4" a="1"/>
  <c r="P217" i="4" a="1"/>
  <c r="P276" i="4" a="1"/>
  <c r="P495" i="4" a="1"/>
  <c r="P461" i="4" a="1"/>
  <c r="P406" i="4" a="1"/>
  <c r="P315" i="4" a="1"/>
  <c r="P389" i="4" a="1"/>
  <c r="P415" i="4" a="1"/>
  <c r="P387" i="4" a="1"/>
  <c r="P371" i="4" a="1"/>
  <c r="P395" i="4" a="1"/>
  <c r="P448" i="4" a="1"/>
  <c r="P286" i="4" a="1"/>
  <c r="P339" i="4" a="1"/>
  <c r="P220" i="4" a="1"/>
  <c r="P274" i="4" a="1"/>
  <c r="P270" i="4" a="1"/>
  <c r="P267" i="4" a="1"/>
  <c r="P445" i="4" a="1"/>
  <c r="P354" i="4" a="1"/>
  <c r="P379" i="4" a="1"/>
  <c r="P288" i="4" a="1"/>
  <c r="P374" i="4" a="1"/>
  <c r="P400" i="4" a="1"/>
  <c r="P372" i="4" a="1"/>
  <c r="P356" i="4" a="1"/>
  <c r="P386" i="4" a="1"/>
  <c r="P439" i="4" a="1"/>
  <c r="P492" i="4" a="1"/>
  <c r="P330" i="4" a="1"/>
  <c r="P264" i="4" a="1"/>
  <c r="P256" i="4" a="1"/>
  <c r="P252" i="4" a="1"/>
  <c r="P258" i="4" a="1"/>
  <c r="P470" i="4" a="1"/>
  <c r="P380" i="4" a="1"/>
  <c r="P325" i="4" a="1"/>
  <c r="P455" i="4" a="1"/>
  <c r="P362" i="4" a="1"/>
  <c r="P388" i="4" a="1"/>
  <c r="P360" i="4" a="1"/>
  <c r="P344" i="4" a="1"/>
  <c r="P377" i="4" a="1"/>
  <c r="P430" i="4" a="1"/>
  <c r="P483" i="4" a="1"/>
  <c r="P321" i="4" a="1"/>
  <c r="P246" i="4" a="1"/>
  <c r="P238" i="4" a="1"/>
  <c r="P234" i="4" a="1"/>
  <c r="P249" i="4" a="1"/>
  <c r="P418" i="4" a="1"/>
  <c r="P299" i="4" a="1"/>
  <c r="P498" i="4" a="1"/>
  <c r="P417" i="4" a="1"/>
  <c r="P347" i="4" a="1"/>
  <c r="P373" i="4" a="1"/>
  <c r="P345" i="4" a="1"/>
  <c r="P329" i="4" a="1"/>
  <c r="P368" i="4" a="1"/>
  <c r="P421" i="4" a="1"/>
  <c r="P474" i="4" a="1"/>
  <c r="P312" i="4" a="1"/>
  <c r="P228" i="4" a="1"/>
  <c r="P229" i="4" a="1"/>
  <c r="P216" i="4" a="1"/>
  <c r="P240" i="4" a="1"/>
  <c r="P391" i="4" a="1"/>
  <c r="P433" i="4" a="1"/>
  <c r="P473" i="4" a="1"/>
  <c r="P390" i="4" a="1"/>
  <c r="P335" i="4" a="1"/>
  <c r="P361" i="4" a="1"/>
  <c r="P333" i="4" a="1"/>
  <c r="P317" i="4" a="1"/>
  <c r="P359" i="4" a="1"/>
  <c r="P412" i="4" a="1"/>
  <c r="P465" i="4" a="1"/>
  <c r="P303" i="4" a="1"/>
  <c r="P281" i="4" a="1"/>
  <c r="P282" i="4" a="1"/>
  <c r="P269" i="4" a="1"/>
  <c r="P231" i="4" a="1"/>
  <c r="P364" i="4" a="1"/>
  <c r="P352" i="4" a="1"/>
  <c r="P450" i="4" a="1"/>
  <c r="P378" i="4" a="1"/>
  <c r="P320" i="4" a="1"/>
  <c r="P346" i="4" a="1"/>
  <c r="P318" i="4" a="1"/>
  <c r="P302" i="4" a="1"/>
  <c r="P350" i="4" a="1"/>
  <c r="P403" i="4" a="1"/>
  <c r="P456" i="4" a="1"/>
  <c r="P294" i="4" a="1"/>
  <c r="P263" i="4" a="1"/>
  <c r="P273" i="4" a="1"/>
  <c r="P260" i="4" a="1"/>
  <c r="P222" i="4" a="1"/>
  <c r="P337" i="4" a="1"/>
  <c r="P298" i="4" a="1"/>
  <c r="P424" i="4" a="1"/>
  <c r="P351" i="4" a="1"/>
  <c r="P308" i="4" a="1"/>
  <c r="P334" i="4" a="1"/>
  <c r="P306" i="4" a="1"/>
  <c r="P290" i="4" a="1"/>
  <c r="P341" i="4" a="1"/>
  <c r="P394" i="4" a="1"/>
  <c r="P447" i="4" a="1"/>
  <c r="P285" i="4" a="1"/>
  <c r="P245" i="4" a="1"/>
  <c r="P255" i="4" a="1"/>
  <c r="P251" i="4" a="1"/>
  <c r="P213" i="4" a="1"/>
  <c r="P408" i="4" a="1"/>
  <c r="P310" i="4" a="1"/>
  <c r="P435" i="4" a="1"/>
  <c r="P397" i="4" a="1"/>
  <c r="P336" i="4" a="1"/>
  <c r="P293" i="4" a="1"/>
  <c r="P319" i="4" a="1"/>
  <c r="P291" i="4" a="1"/>
  <c r="P494" i="4" a="1"/>
  <c r="P332" i="4" a="1"/>
  <c r="P385" i="4" a="1"/>
  <c r="P438" i="4" a="1"/>
  <c r="P284" i="4" a="1"/>
  <c r="P227" i="4" a="1"/>
  <c r="P237" i="4" a="1"/>
  <c r="P233" i="4" a="1"/>
  <c r="P327" i="4" a="1"/>
  <c r="P444" i="4" a="1"/>
  <c r="P381" i="4" a="1"/>
  <c r="P370" i="4" a="1"/>
  <c r="P324" i="4" a="1"/>
  <c r="P490" i="4" a="1"/>
  <c r="P307" i="4" a="1"/>
  <c r="P500" i="4" a="1"/>
  <c r="P485" i="4" a="1"/>
  <c r="P323" i="4" a="1"/>
  <c r="P376" i="4" a="1"/>
  <c r="P429" i="4" a="1"/>
  <c r="P275" i="4" a="1"/>
  <c r="P280" i="4" a="1"/>
  <c r="P219" i="4" a="1"/>
  <c r="P224" i="4" a="1"/>
  <c r="P460" i="4" a="1"/>
  <c r="P487" i="4" a="1"/>
  <c r="P300" i="4" a="1"/>
  <c r="P343" i="4" a="1"/>
  <c r="P309" i="4" a="1"/>
  <c r="P469" i="4" a="1"/>
  <c r="P292" i="4" a="1"/>
  <c r="P477" i="4" a="1"/>
  <c r="P476" i="4" a="1"/>
  <c r="P314" i="4" a="1"/>
  <c r="P367" i="4" a="1"/>
  <c r="P420" i="4" a="1"/>
  <c r="P266" i="4" a="1"/>
  <c r="P253" i="4" a="1"/>
  <c r="P272" i="4" a="1"/>
  <c r="P277" i="4" a="1"/>
  <c r="P496" i="4" a="1"/>
  <c r="P462" i="4" a="1"/>
  <c r="P482" i="4" a="1"/>
  <c r="P316" i="4" a="1"/>
  <c r="P480" i="4" a="1"/>
  <c r="P432" i="4" a="1"/>
  <c r="P478" i="4" a="1"/>
  <c r="P463" i="4" a="1"/>
  <c r="P467" i="4" a="1"/>
  <c r="P305" i="4" a="1"/>
  <c r="P358" i="4" a="1"/>
  <c r="P411" i="4" a="1"/>
  <c r="P257" i="4" a="1"/>
  <c r="P226" i="4" a="1"/>
  <c r="P254" i="4" a="1"/>
  <c r="P268" i="4" a="1"/>
  <c r="P446" i="4" a="1"/>
  <c r="P436" i="4" a="1"/>
  <c r="P434" i="4" a="1"/>
  <c r="P289" i="4" a="1"/>
  <c r="P443" i="4" a="1"/>
  <c r="P405" i="4" a="1"/>
  <c r="P464" i="4" a="1"/>
  <c r="P488" i="4" a="1"/>
  <c r="P458" i="4" a="1"/>
  <c r="P296" i="4" a="1"/>
  <c r="P349" i="4" a="1"/>
  <c r="P402" i="4" a="1"/>
  <c r="P248" i="4" a="1"/>
  <c r="P279" i="4" a="1"/>
  <c r="P236" i="4" a="1"/>
  <c r="P259" i="4" a="1"/>
  <c r="P471" i="4" a="1"/>
  <c r="P409" i="4" a="1"/>
  <c r="P407" i="4" a="1"/>
  <c r="P497" i="4" a="1"/>
  <c r="P491" i="4" a="1"/>
  <c r="P363" i="4" a="1"/>
  <c r="P441" i="4" a="1"/>
  <c r="P451" i="4" a="1"/>
  <c r="P449" i="4" a="1"/>
  <c r="P287" i="4" a="1"/>
  <c r="P340" i="4" a="1"/>
  <c r="P393" i="4" a="1"/>
  <c r="P239" i="4" a="1"/>
  <c r="P261" i="4" a="1"/>
  <c r="P218" i="4" a="1"/>
  <c r="P250" i="4" a="1"/>
  <c r="P419" i="4" a="1"/>
  <c r="P382" i="4" a="1"/>
  <c r="P353" i="4" a="1"/>
  <c r="P472" i="4" a="1"/>
  <c r="P468" i="4" a="1"/>
  <c r="P297" i="4" a="1"/>
  <c r="P489" i="4" a="1"/>
  <c r="P437" i="4" a="1"/>
  <c r="P440" i="4" a="1"/>
  <c r="P493" i="4" a="1"/>
  <c r="P331" i="4" a="1"/>
  <c r="P384" i="4" a="1"/>
  <c r="P230" i="4" a="1"/>
  <c r="P243" i="4" a="1"/>
  <c r="P271" i="4" a="1"/>
  <c r="P241" i="4" a="1"/>
  <c r="P392" i="4" a="1"/>
  <c r="P355" i="4" a="1"/>
  <c r="P326" i="4" a="1"/>
  <c r="P423" i="4" a="1"/>
  <c r="P454" i="4" a="1"/>
  <c r="P479" i="4" a="1"/>
  <c r="P452" i="4" a="1"/>
  <c r="P425" i="4" a="1"/>
  <c r="P431" i="4" a="1"/>
  <c r="P484" i="4" a="1"/>
  <c r="P322" i="4" a="1"/>
  <c r="P375" i="4" a="1"/>
  <c r="P221" i="4" a="1"/>
  <c r="P225" i="4" a="1"/>
  <c r="P262" i="4" a="1"/>
  <c r="P313" i="4" a="1"/>
  <c r="P366" i="4" a="1"/>
  <c r="P283" i="4" a="1"/>
  <c r="P278" i="4" a="1"/>
  <c r="P365" i="4" a="1"/>
  <c r="P328" i="4" a="1"/>
  <c r="P244" i="4" a="1"/>
  <c r="P459" i="4" a="1"/>
  <c r="P396" i="4" a="1"/>
  <c r="P428" i="4" a="1"/>
  <c r="P442" i="4" a="1"/>
  <c r="P338" i="4" a="1"/>
  <c r="P232" i="4" a="1"/>
  <c r="P426" i="4" a="1"/>
  <c r="P223" i="4" a="1"/>
  <c r="P301" i="4" a="1"/>
  <c r="P499" i="4" a="1"/>
  <c r="P369" i="4" a="1"/>
  <c r="P416" i="4" a="1"/>
  <c r="P453" i="4" a="1"/>
  <c r="P414" i="4" a="1"/>
  <c r="P398" i="4" a="1"/>
  <c r="P413" i="4" a="1"/>
  <c r="P466" i="4" a="1"/>
  <c r="P304" i="4" a="1"/>
  <c r="P357" i="4" a="1"/>
  <c r="P265" i="4" a="1"/>
  <c r="P242" i="4" a="1"/>
  <c r="P235" i="4" a="1"/>
  <c r="P214" i="4" a="1"/>
  <c r="P410" i="4" a="1"/>
  <c r="P422" i="4" a="1"/>
  <c r="P475" i="4" a="1"/>
  <c r="N364" i="4" a="1"/>
  <c r="N352" i="4" a="1"/>
  <c r="N450" i="4" a="1"/>
  <c r="N378" i="4" a="1"/>
  <c r="N320" i="4" a="1"/>
  <c r="N346" i="4" a="1"/>
  <c r="N318" i="4" a="1"/>
  <c r="N302" i="4" a="1"/>
  <c r="N350" i="4" a="1"/>
  <c r="N403" i="4" a="1"/>
  <c r="N456" i="4" a="1"/>
  <c r="N294" i="4" a="1"/>
  <c r="N263" i="4" a="1"/>
  <c r="N273" i="4" a="1"/>
  <c r="N260" i="4" a="1"/>
  <c r="N222" i="4" a="1"/>
  <c r="N291" i="4" a="1"/>
  <c r="N332" i="4" a="1"/>
  <c r="N284" i="4" a="1"/>
  <c r="N233" i="4" a="1"/>
  <c r="N444" i="4" a="1"/>
  <c r="N307" i="4" a="1"/>
  <c r="N485" i="4" a="1"/>
  <c r="N323" i="4" a="1"/>
  <c r="N275" i="4" a="1"/>
  <c r="N224" i="4" a="1"/>
  <c r="N467" i="4" a="1"/>
  <c r="N254" i="4" a="1"/>
  <c r="N407" i="4" a="1"/>
  <c r="N441" i="4" a="1"/>
  <c r="N340" i="4" a="1"/>
  <c r="N218" i="4" a="1"/>
  <c r="N382" i="4" a="1"/>
  <c r="N468" i="4" a="1"/>
  <c r="N440" i="4" a="1"/>
  <c r="N384" i="4" a="1"/>
  <c r="N241" i="4" a="1"/>
  <c r="N355" i="4" a="1"/>
  <c r="N431" i="4" a="1"/>
  <c r="N442" i="4" a="1"/>
  <c r="N475" i="4" a="1"/>
  <c r="N278" i="4" a="1"/>
  <c r="N301" i="4" a="1"/>
  <c r="N235" i="4" a="1"/>
  <c r="N342" i="4" a="1"/>
  <c r="N457" i="4" a="1"/>
  <c r="N215" i="4" a="1"/>
  <c r="N406" i="4" a="1"/>
  <c r="N415" i="4" a="1"/>
  <c r="N267" i="4" a="1"/>
  <c r="N288" i="4" a="1"/>
  <c r="N439" i="4" a="1"/>
  <c r="N264" i="4" a="1"/>
  <c r="N380" i="4" a="1"/>
  <c r="N388" i="4" a="1"/>
  <c r="N483" i="4" a="1"/>
  <c r="N249" i="4" a="1"/>
  <c r="N498" i="4" a="1"/>
  <c r="N368" i="4" a="1"/>
  <c r="N228" i="4" a="1"/>
  <c r="N433" i="4" a="1"/>
  <c r="N317" i="4" a="1"/>
  <c r="N281" i="4" a="1"/>
  <c r="N337" i="4" a="1"/>
  <c r="N298" i="4" a="1"/>
  <c r="N424" i="4" a="1"/>
  <c r="N351" i="4" a="1"/>
  <c r="N308" i="4" a="1"/>
  <c r="N334" i="4" a="1"/>
  <c r="N306" i="4" a="1"/>
  <c r="N290" i="4" a="1"/>
  <c r="N341" i="4" a="1"/>
  <c r="N394" i="4" a="1"/>
  <c r="N447" i="4" a="1"/>
  <c r="N285" i="4" a="1"/>
  <c r="N245" i="4" a="1"/>
  <c r="N255" i="4" a="1"/>
  <c r="N251" i="4" a="1"/>
  <c r="N213" i="4" a="1"/>
  <c r="N408" i="4" a="1"/>
  <c r="N310" i="4" a="1"/>
  <c r="N435" i="4" a="1"/>
  <c r="N397" i="4" a="1"/>
  <c r="N336" i="4" a="1"/>
  <c r="N293" i="4" a="1"/>
  <c r="N319" i="4" a="1"/>
  <c r="N494" i="4" a="1"/>
  <c r="N385" i="4" a="1"/>
  <c r="N438" i="4" a="1"/>
  <c r="N227" i="4" a="1"/>
  <c r="N237" i="4" a="1"/>
  <c r="N327" i="4" a="1"/>
  <c r="N381" i="4" a="1"/>
  <c r="N370" i="4" a="1"/>
  <c r="N324" i="4" a="1"/>
  <c r="N490" i="4" a="1"/>
  <c r="N500" i="4" a="1"/>
  <c r="N376" i="4" a="1"/>
  <c r="N429" i="4" a="1"/>
  <c r="N280" i="4" a="1"/>
  <c r="N219" i="4" a="1"/>
  <c r="N478" i="4" a="1"/>
  <c r="N305" i="4" a="1"/>
  <c r="N411" i="4" a="1"/>
  <c r="N226" i="4" a="1"/>
  <c r="N268" i="4" a="1"/>
  <c r="N259" i="4" a="1"/>
  <c r="N409" i="4" a="1"/>
  <c r="N491" i="4" a="1"/>
  <c r="N451" i="4" a="1"/>
  <c r="N287" i="4" a="1"/>
  <c r="N393" i="4" a="1"/>
  <c r="N261" i="4" a="1"/>
  <c r="N250" i="4" a="1"/>
  <c r="N419" i="4" a="1"/>
  <c r="N353" i="4" a="1"/>
  <c r="N297" i="4" a="1"/>
  <c r="N437" i="4" a="1"/>
  <c r="N331" i="4" a="1"/>
  <c r="N230" i="4" a="1"/>
  <c r="N271" i="4" a="1"/>
  <c r="N392" i="4" a="1"/>
  <c r="N326" i="4" a="1"/>
  <c r="N423" i="4" a="1"/>
  <c r="N454" i="4" a="1"/>
  <c r="N479" i="4" a="1"/>
  <c r="N484" i="4" a="1"/>
  <c r="N322" i="4" a="1"/>
  <c r="N375" i="4" a="1"/>
  <c r="N262" i="4" a="1"/>
  <c r="N365" i="4" a="1"/>
  <c r="N459" i="4" a="1"/>
  <c r="N428" i="4" a="1"/>
  <c r="N426" i="4" a="1"/>
  <c r="N410" i="4" a="1"/>
  <c r="N366" i="4" a="1"/>
  <c r="N244" i="4" a="1"/>
  <c r="N338" i="4" a="1"/>
  <c r="N369" i="4" a="1"/>
  <c r="N416" i="4" a="1"/>
  <c r="N414" i="4" a="1"/>
  <c r="N398" i="4" a="1"/>
  <c r="N466" i="4" a="1"/>
  <c r="N265" i="4" a="1"/>
  <c r="N242" i="4" a="1"/>
  <c r="N486" i="4" a="1"/>
  <c r="N427" i="4" a="1"/>
  <c r="N399" i="4" a="1"/>
  <c r="N383" i="4" a="1"/>
  <c r="N295" i="4" a="1"/>
  <c r="N247" i="4" a="1"/>
  <c r="N217" i="4" a="1"/>
  <c r="N495" i="4" a="1"/>
  <c r="N315" i="4" a="1"/>
  <c r="N389" i="4" a="1"/>
  <c r="N387" i="4" a="1"/>
  <c r="N448" i="4" a="1"/>
  <c r="N286" i="4" a="1"/>
  <c r="N339" i="4" a="1"/>
  <c r="N274" i="4" a="1"/>
  <c r="N445" i="4" a="1"/>
  <c r="N379" i="4" a="1"/>
  <c r="N400" i="4" a="1"/>
  <c r="N356" i="4" a="1"/>
  <c r="N330" i="4" a="1"/>
  <c r="N256" i="4" a="1"/>
  <c r="N470" i="4" a="1"/>
  <c r="N455" i="4" a="1"/>
  <c r="N360" i="4" a="1"/>
  <c r="N344" i="4" a="1"/>
  <c r="N430" i="4" a="1"/>
  <c r="N321" i="4" a="1"/>
  <c r="N246" i="4" a="1"/>
  <c r="N238" i="4" a="1"/>
  <c r="N418" i="4" a="1"/>
  <c r="N417" i="4" a="1"/>
  <c r="N373" i="4" a="1"/>
  <c r="N329" i="4" a="1"/>
  <c r="N421" i="4" a="1"/>
  <c r="N312" i="4" a="1"/>
  <c r="N229" i="4" a="1"/>
  <c r="N216" i="4" a="1"/>
  <c r="N240" i="4" a="1"/>
  <c r="N391" i="4" a="1"/>
  <c r="N473" i="4" a="1"/>
  <c r="N335" i="4" a="1"/>
  <c r="N333" i="4" a="1"/>
  <c r="N359" i="4" a="1"/>
  <c r="N465" i="4" a="1"/>
  <c r="N282" i="4" a="1"/>
  <c r="N460" i="4" a="1"/>
  <c r="N487" i="4" a="1"/>
  <c r="N300" i="4" a="1"/>
  <c r="N343" i="4" a="1"/>
  <c r="N309" i="4" a="1"/>
  <c r="N469" i="4" a="1"/>
  <c r="N292" i="4" a="1"/>
  <c r="N477" i="4" a="1"/>
  <c r="N476" i="4" a="1"/>
  <c r="N314" i="4" a="1"/>
  <c r="N367" i="4" a="1"/>
  <c r="N420" i="4" a="1"/>
  <c r="N266" i="4" a="1"/>
  <c r="N253" i="4" a="1"/>
  <c r="N272" i="4" a="1"/>
  <c r="N277" i="4" a="1"/>
  <c r="N496" i="4" a="1"/>
  <c r="N462" i="4" a="1"/>
  <c r="N482" i="4" a="1"/>
  <c r="N316" i="4" a="1"/>
  <c r="N480" i="4" a="1"/>
  <c r="N432" i="4" a="1"/>
  <c r="N463" i="4" a="1"/>
  <c r="N358" i="4" a="1"/>
  <c r="N257" i="4" a="1"/>
  <c r="N471" i="4" a="1"/>
  <c r="N497" i="4" a="1"/>
  <c r="N449" i="4" a="1"/>
  <c r="N239" i="4" a="1"/>
  <c r="N472" i="4" a="1"/>
  <c r="N489" i="4" a="1"/>
  <c r="N452" i="4" a="1"/>
  <c r="N221" i="4" a="1"/>
  <c r="N232" i="4" a="1"/>
  <c r="N328" i="4" a="1"/>
  <c r="N422" i="4" a="1"/>
  <c r="N283" i="4" a="1"/>
  <c r="N223" i="4" a="1"/>
  <c r="N499" i="4" a="1"/>
  <c r="N413" i="4" a="1"/>
  <c r="N357" i="4" a="1"/>
  <c r="N311" i="4" a="1"/>
  <c r="N401" i="4" a="1"/>
  <c r="N348" i="4" a="1"/>
  <c r="N461" i="4" a="1"/>
  <c r="N395" i="4" a="1"/>
  <c r="N220" i="4" a="1"/>
  <c r="N354" i="4" a="1"/>
  <c r="N374" i="4" a="1"/>
  <c r="N372" i="4" a="1"/>
  <c r="N492" i="4" a="1"/>
  <c r="N258" i="4" a="1"/>
  <c r="N325" i="4" a="1"/>
  <c r="N377" i="4" a="1"/>
  <c r="N234" i="4" a="1"/>
  <c r="N299" i="4" a="1"/>
  <c r="N345" i="4" a="1"/>
  <c r="N390" i="4" a="1"/>
  <c r="N412" i="4" a="1"/>
  <c r="N446" i="4" a="1"/>
  <c r="N436" i="4" a="1"/>
  <c r="N434" i="4" a="1"/>
  <c r="N289" i="4" a="1"/>
  <c r="N443" i="4" a="1"/>
  <c r="N405" i="4" a="1"/>
  <c r="N464" i="4" a="1"/>
  <c r="N488" i="4" a="1"/>
  <c r="N458" i="4" a="1"/>
  <c r="N296" i="4" a="1"/>
  <c r="N349" i="4" a="1"/>
  <c r="N402" i="4" a="1"/>
  <c r="N248" i="4" a="1"/>
  <c r="N279" i="4" a="1"/>
  <c r="N236" i="4" a="1"/>
  <c r="N363" i="4" a="1"/>
  <c r="N493" i="4" a="1"/>
  <c r="N243" i="4" a="1"/>
  <c r="N425" i="4" a="1"/>
  <c r="N225" i="4" a="1"/>
  <c r="N396" i="4" a="1"/>
  <c r="N313" i="4" a="1"/>
  <c r="N453" i="4" a="1"/>
  <c r="N304" i="4" a="1"/>
  <c r="N214" i="4" a="1"/>
  <c r="N481" i="4" a="1"/>
  <c r="N404" i="4" a="1"/>
  <c r="N276" i="4" a="1"/>
  <c r="N371" i="4" a="1"/>
  <c r="N270" i="4" a="1"/>
  <c r="N386" i="4" a="1"/>
  <c r="N252" i="4" a="1"/>
  <c r="N362" i="4" a="1"/>
  <c r="N347" i="4" a="1"/>
  <c r="N474" i="4" a="1"/>
  <c r="N361" i="4" a="1"/>
  <c r="N303" i="4" a="1"/>
  <c r="N231" i="4" a="1"/>
  <c r="N269" i="4" a="1"/>
  <c r="L364" i="4" a="1"/>
  <c r="L352" i="4" a="1"/>
  <c r="L450" i="4" a="1"/>
  <c r="L378" i="4" a="1"/>
  <c r="L320" i="4" a="1"/>
  <c r="L346" i="4" a="1"/>
  <c r="L318" i="4" a="1"/>
  <c r="L302" i="4" a="1"/>
  <c r="L350" i="4" a="1"/>
  <c r="L403" i="4" a="1"/>
  <c r="L456" i="4" a="1"/>
  <c r="L294" i="4" a="1"/>
  <c r="L263" i="4" a="1"/>
  <c r="L273" i="4" a="1"/>
  <c r="L260" i="4" a="1"/>
  <c r="L222" i="4" a="1"/>
  <c r="L337" i="4" a="1"/>
  <c r="L298" i="4" a="1"/>
  <c r="L424" i="4" a="1"/>
  <c r="L351" i="4" a="1"/>
  <c r="L308" i="4" a="1"/>
  <c r="L334" i="4" a="1"/>
  <c r="L306" i="4" a="1"/>
  <c r="L290" i="4" a="1"/>
  <c r="L341" i="4" a="1"/>
  <c r="L394" i="4" a="1"/>
  <c r="L447" i="4" a="1"/>
  <c r="L285" i="4" a="1"/>
  <c r="L245" i="4" a="1"/>
  <c r="L255" i="4" a="1"/>
  <c r="L251" i="4" a="1"/>
  <c r="L213" i="4" a="1"/>
  <c r="L408" i="4" a="1"/>
  <c r="L310" i="4" a="1"/>
  <c r="L435" i="4" a="1"/>
  <c r="L397" i="4" a="1"/>
  <c r="L336" i="4" a="1"/>
  <c r="L293" i="4" a="1"/>
  <c r="L319" i="4" a="1"/>
  <c r="L291" i="4" a="1"/>
  <c r="L494" i="4" a="1"/>
  <c r="L332" i="4" a="1"/>
  <c r="L385" i="4" a="1"/>
  <c r="L438" i="4" a="1"/>
  <c r="L284" i="4" a="1"/>
  <c r="L227" i="4" a="1"/>
  <c r="L237" i="4" a="1"/>
  <c r="L233" i="4" a="1"/>
  <c r="L327" i="4" a="1"/>
  <c r="L444" i="4" a="1"/>
  <c r="L381" i="4" a="1"/>
  <c r="L370" i="4" a="1"/>
  <c r="L324" i="4" a="1"/>
  <c r="L490" i="4" a="1"/>
  <c r="L307" i="4" a="1"/>
  <c r="L500" i="4" a="1"/>
  <c r="L485" i="4" a="1"/>
  <c r="L323" i="4" a="1"/>
  <c r="L376" i="4" a="1"/>
  <c r="L429" i="4" a="1"/>
  <c r="L275" i="4" a="1"/>
  <c r="L280" i="4" a="1"/>
  <c r="L219" i="4" a="1"/>
  <c r="L224" i="4" a="1"/>
  <c r="L460" i="4" a="1"/>
  <c r="L487" i="4" a="1"/>
  <c r="L300" i="4" a="1"/>
  <c r="L343" i="4" a="1"/>
  <c r="L309" i="4" a="1"/>
  <c r="L469" i="4" a="1"/>
  <c r="L292" i="4" a="1"/>
  <c r="L477" i="4" a="1"/>
  <c r="L476" i="4" a="1"/>
  <c r="L314" i="4" a="1"/>
  <c r="L367" i="4" a="1"/>
  <c r="L420" i="4" a="1"/>
  <c r="L266" i="4" a="1"/>
  <c r="L253" i="4" a="1"/>
  <c r="L272" i="4" a="1"/>
  <c r="L277" i="4" a="1"/>
  <c r="L496" i="4" a="1"/>
  <c r="L462" i="4" a="1"/>
  <c r="L482" i="4" a="1"/>
  <c r="L316" i="4" a="1"/>
  <c r="L480" i="4" a="1"/>
  <c r="L432" i="4" a="1"/>
  <c r="L478" i="4" a="1"/>
  <c r="L463" i="4" a="1"/>
  <c r="L467" i="4" a="1"/>
  <c r="L305" i="4" a="1"/>
  <c r="L358" i="4" a="1"/>
  <c r="L411" i="4" a="1"/>
  <c r="L257" i="4" a="1"/>
  <c r="L226" i="4" a="1"/>
  <c r="L254" i="4" a="1"/>
  <c r="L268" i="4" a="1"/>
  <c r="L446" i="4" a="1"/>
  <c r="L436" i="4" a="1"/>
  <c r="L434" i="4" a="1"/>
  <c r="L289" i="4" a="1"/>
  <c r="L443" i="4" a="1"/>
  <c r="L405" i="4" a="1"/>
  <c r="L464" i="4" a="1"/>
  <c r="L488" i="4" a="1"/>
  <c r="L458" i="4" a="1"/>
  <c r="L296" i="4" a="1"/>
  <c r="L349" i="4" a="1"/>
  <c r="L402" i="4" a="1"/>
  <c r="L248" i="4" a="1"/>
  <c r="L279" i="4" a="1"/>
  <c r="L236" i="4" a="1"/>
  <c r="L259" i="4" a="1"/>
  <c r="L471" i="4" a="1"/>
  <c r="L409" i="4" a="1"/>
  <c r="L407" i="4" a="1"/>
  <c r="L497" i="4" a="1"/>
  <c r="L491" i="4" a="1"/>
  <c r="L363" i="4" a="1"/>
  <c r="L441" i="4" a="1"/>
  <c r="L451" i="4" a="1"/>
  <c r="L449" i="4" a="1"/>
  <c r="L287" i="4" a="1"/>
  <c r="L340" i="4" a="1"/>
  <c r="L393" i="4" a="1"/>
  <c r="L239" i="4" a="1"/>
  <c r="L261" i="4" a="1"/>
  <c r="L218" i="4" a="1"/>
  <c r="L250" i="4" a="1"/>
  <c r="L419" i="4" a="1"/>
  <c r="L382" i="4" a="1"/>
  <c r="L353" i="4" a="1"/>
  <c r="L472" i="4" a="1"/>
  <c r="L468" i="4" a="1"/>
  <c r="L297" i="4" a="1"/>
  <c r="L489" i="4" a="1"/>
  <c r="L437" i="4" a="1"/>
  <c r="L440" i="4" a="1"/>
  <c r="L493" i="4" a="1"/>
  <c r="L331" i="4" a="1"/>
  <c r="L384" i="4" a="1"/>
  <c r="L230" i="4" a="1"/>
  <c r="L243" i="4" a="1"/>
  <c r="L271" i="4" a="1"/>
  <c r="L241" i="4" a="1"/>
  <c r="L392" i="4" a="1"/>
  <c r="L355" i="4" a="1"/>
  <c r="L326" i="4" a="1"/>
  <c r="L423" i="4" a="1"/>
  <c r="L454" i="4" a="1"/>
  <c r="L479" i="4" a="1"/>
  <c r="L452" i="4" a="1"/>
  <c r="L425" i="4" a="1"/>
  <c r="L431" i="4" a="1"/>
  <c r="L484" i="4" a="1"/>
  <c r="L322" i="4" a="1"/>
  <c r="L375" i="4" a="1"/>
  <c r="L221" i="4" a="1"/>
  <c r="L225" i="4" a="1"/>
  <c r="L262" i="4" a="1"/>
  <c r="L232" i="4" a="1"/>
  <c r="L365" i="4" a="1"/>
  <c r="L328" i="4" a="1"/>
  <c r="L459" i="4" a="1"/>
  <c r="L396" i="4" a="1"/>
  <c r="L428" i="4" a="1"/>
  <c r="L442" i="4" a="1"/>
  <c r="L426" i="4" a="1"/>
  <c r="L410" i="4" a="1"/>
  <c r="L422" i="4" a="1"/>
  <c r="L475" i="4" a="1"/>
  <c r="L313" i="4" a="1"/>
  <c r="L366" i="4" a="1"/>
  <c r="L283" i="4" a="1"/>
  <c r="L278" i="4" a="1"/>
  <c r="L244" i="4" a="1"/>
  <c r="L223" i="4" a="1"/>
  <c r="L338" i="4" a="1"/>
  <c r="L301" i="4" a="1"/>
  <c r="L499" i="4" a="1"/>
  <c r="L369" i="4" a="1"/>
  <c r="L416" i="4" a="1"/>
  <c r="L453" i="4" a="1"/>
  <c r="L414" i="4" a="1"/>
  <c r="L398" i="4" a="1"/>
  <c r="L413" i="4" a="1"/>
  <c r="L466" i="4" a="1"/>
  <c r="L304" i="4" a="1"/>
  <c r="L357" i="4" a="1"/>
  <c r="L265" i="4" a="1"/>
  <c r="L242" i="4" a="1"/>
  <c r="L235" i="4" a="1"/>
  <c r="L214" i="4" a="1"/>
  <c r="L311" i="4" a="1"/>
  <c r="L486" i="4" a="1"/>
  <c r="L481" i="4" a="1"/>
  <c r="L342" i="4" a="1"/>
  <c r="L401" i="4" a="1"/>
  <c r="L427" i="4" a="1"/>
  <c r="L399" i="4" a="1"/>
  <c r="L383" i="4" a="1"/>
  <c r="L404" i="4" a="1"/>
  <c r="L457" i="4" a="1"/>
  <c r="L295" i="4" a="1"/>
  <c r="L348" i="4" a="1"/>
  <c r="L247" i="4" a="1"/>
  <c r="L215" i="4" a="1"/>
  <c r="L217" i="4" a="1"/>
  <c r="L276" i="4" a="1"/>
  <c r="L495" i="4" a="1"/>
  <c r="L461" i="4" a="1"/>
  <c r="L406" i="4" a="1"/>
  <c r="L315" i="4" a="1"/>
  <c r="L389" i="4" a="1"/>
  <c r="L415" i="4" a="1"/>
  <c r="L387" i="4" a="1"/>
  <c r="L371" i="4" a="1"/>
  <c r="L395" i="4" a="1"/>
  <c r="L448" i="4" a="1"/>
  <c r="L286" i="4" a="1"/>
  <c r="L339" i="4" a="1"/>
  <c r="L220" i="4" a="1"/>
  <c r="L274" i="4" a="1"/>
  <c r="L270" i="4" a="1"/>
  <c r="L267" i="4" a="1"/>
  <c r="L445" i="4" a="1"/>
  <c r="L354" i="4" a="1"/>
  <c r="L379" i="4" a="1"/>
  <c r="L288" i="4" a="1"/>
  <c r="L374" i="4" a="1"/>
  <c r="L400" i="4" a="1"/>
  <c r="L372" i="4" a="1"/>
  <c r="L356" i="4" a="1"/>
  <c r="L386" i="4" a="1"/>
  <c r="L439" i="4" a="1"/>
  <c r="L492" i="4" a="1"/>
  <c r="L330" i="4" a="1"/>
  <c r="L264" i="4" a="1"/>
  <c r="L256" i="4" a="1"/>
  <c r="L252" i="4" a="1"/>
  <c r="L258" i="4" a="1"/>
  <c r="L470" i="4" a="1"/>
  <c r="L380" i="4" a="1"/>
  <c r="L325" i="4" a="1"/>
  <c r="L455" i="4" a="1"/>
  <c r="L362" i="4" a="1"/>
  <c r="L388" i="4" a="1"/>
  <c r="L360" i="4" a="1"/>
  <c r="L344" i="4" a="1"/>
  <c r="L377" i="4" a="1"/>
  <c r="L430" i="4" a="1"/>
  <c r="L483" i="4" a="1"/>
  <c r="L321" i="4" a="1"/>
  <c r="L246" i="4" a="1"/>
  <c r="L238" i="4" a="1"/>
  <c r="L234" i="4" a="1"/>
  <c r="L249" i="4" a="1"/>
  <c r="L418" i="4" a="1"/>
  <c r="L299" i="4" a="1"/>
  <c r="L498" i="4" a="1"/>
  <c r="L417" i="4" a="1"/>
  <c r="L347" i="4" a="1"/>
  <c r="L373" i="4" a="1"/>
  <c r="L345" i="4" a="1"/>
  <c r="L329" i="4" a="1"/>
  <c r="L368" i="4" a="1"/>
  <c r="L421" i="4" a="1"/>
  <c r="L474" i="4" a="1"/>
  <c r="L312" i="4" a="1"/>
  <c r="L228" i="4" a="1"/>
  <c r="L229" i="4" a="1"/>
  <c r="L216" i="4" a="1"/>
  <c r="L240" i="4" a="1"/>
  <c r="L391" i="4" a="1"/>
  <c r="L433" i="4" a="1"/>
  <c r="L473" i="4" a="1"/>
  <c r="L390" i="4" a="1"/>
  <c r="L335" i="4" a="1"/>
  <c r="L361" i="4" a="1"/>
  <c r="L333" i="4" a="1"/>
  <c r="L317" i="4" a="1"/>
  <c r="L359" i="4" a="1"/>
  <c r="L412" i="4" a="1"/>
  <c r="L465" i="4" a="1"/>
  <c r="L303" i="4" a="1"/>
  <c r="L281" i="4" a="1"/>
  <c r="L282" i="4" a="1"/>
  <c r="L269" i="4" a="1"/>
  <c r="L231" i="4" a="1"/>
  <c r="J364" i="4" a="1"/>
  <c r="J352" i="4" a="1"/>
  <c r="J450" i="4" a="1"/>
  <c r="J378" i="4" a="1"/>
  <c r="J320" i="4" a="1"/>
  <c r="J346" i="4" a="1"/>
  <c r="J318" i="4" a="1"/>
  <c r="J302" i="4" a="1"/>
  <c r="J350" i="4" a="1"/>
  <c r="J403" i="4" a="1"/>
  <c r="J456" i="4" a="1"/>
  <c r="J294" i="4" a="1"/>
  <c r="J263" i="4" a="1"/>
  <c r="J273" i="4" a="1"/>
  <c r="J260" i="4" a="1"/>
  <c r="J222" i="4" a="1"/>
  <c r="J255" i="4" a="1"/>
  <c r="J213" i="4" a="1"/>
  <c r="J227" i="4" a="1"/>
  <c r="J444" i="4" a="1"/>
  <c r="J419" i="4" a="1"/>
  <c r="J452" i="4" a="1"/>
  <c r="J232" i="4" a="1"/>
  <c r="J428" i="4" a="1"/>
  <c r="J313" i="4" a="1"/>
  <c r="J499" i="4" a="1"/>
  <c r="J357" i="4" a="1"/>
  <c r="J481" i="4" a="1"/>
  <c r="J217" i="4" a="1"/>
  <c r="J389" i="4" a="1"/>
  <c r="J274" i="4" a="1"/>
  <c r="J374" i="4" a="1"/>
  <c r="J386" i="4" a="1"/>
  <c r="J264" i="4" a="1"/>
  <c r="J258" i="4" a="1"/>
  <c r="J362" i="4" a="1"/>
  <c r="J321" i="4" a="1"/>
  <c r="J433" i="4" a="1"/>
  <c r="J412" i="4" a="1"/>
  <c r="J281" i="4" a="1"/>
  <c r="J337" i="4" a="1"/>
  <c r="J298" i="4" a="1"/>
  <c r="J424" i="4" a="1"/>
  <c r="J351" i="4" a="1"/>
  <c r="J308" i="4" a="1"/>
  <c r="J334" i="4" a="1"/>
  <c r="J306" i="4" a="1"/>
  <c r="J290" i="4" a="1"/>
  <c r="J341" i="4" a="1"/>
  <c r="J394" i="4" a="1"/>
  <c r="J447" i="4" a="1"/>
  <c r="J285" i="4" a="1"/>
  <c r="J245" i="4" a="1"/>
  <c r="J251" i="4" a="1"/>
  <c r="J237" i="4" a="1"/>
  <c r="J233" i="4" a="1"/>
  <c r="J381" i="4" a="1"/>
  <c r="J370" i="4" a="1"/>
  <c r="J490" i="4" a="1"/>
  <c r="J485" i="4" a="1"/>
  <c r="J376" i="4" a="1"/>
  <c r="J275" i="4" a="1"/>
  <c r="J280" i="4" a="1"/>
  <c r="J472" i="4" a="1"/>
  <c r="J437" i="4" a="1"/>
  <c r="J243" i="4" a="1"/>
  <c r="J392" i="4" a="1"/>
  <c r="J454" i="4" a="1"/>
  <c r="J425" i="4" a="1"/>
  <c r="J484" i="4" a="1"/>
  <c r="J375" i="4" a="1"/>
  <c r="J225" i="4" a="1"/>
  <c r="J328" i="4" a="1"/>
  <c r="J442" i="4" a="1"/>
  <c r="J410" i="4" a="1"/>
  <c r="J366" i="4" a="1"/>
  <c r="J223" i="4" a="1"/>
  <c r="J416" i="4" a="1"/>
  <c r="J235" i="4" a="1"/>
  <c r="J486" i="4" a="1"/>
  <c r="J427" i="4" a="1"/>
  <c r="J457" i="4" a="1"/>
  <c r="J215" i="4" a="1"/>
  <c r="J406" i="4" a="1"/>
  <c r="J395" i="4" a="1"/>
  <c r="J220" i="4" a="1"/>
  <c r="J354" i="4" a="1"/>
  <c r="J400" i="4" a="1"/>
  <c r="J356" i="4" a="1"/>
  <c r="J380" i="4" a="1"/>
  <c r="J388" i="4" a="1"/>
  <c r="J430" i="4" a="1"/>
  <c r="J234" i="4" a="1"/>
  <c r="J418" i="4" a="1"/>
  <c r="J299" i="4" a="1"/>
  <c r="J368" i="4" a="1"/>
  <c r="J228" i="4" a="1"/>
  <c r="J391" i="4" a="1"/>
  <c r="J361" i="4" a="1"/>
  <c r="J465" i="4" a="1"/>
  <c r="J282" i="4" a="1"/>
  <c r="J408" i="4" a="1"/>
  <c r="J310" i="4" a="1"/>
  <c r="J435" i="4" a="1"/>
  <c r="J397" i="4" a="1"/>
  <c r="J336" i="4" a="1"/>
  <c r="J293" i="4" a="1"/>
  <c r="J319" i="4" a="1"/>
  <c r="J291" i="4" a="1"/>
  <c r="J494" i="4" a="1"/>
  <c r="J332" i="4" a="1"/>
  <c r="J385" i="4" a="1"/>
  <c r="J438" i="4" a="1"/>
  <c r="J284" i="4" a="1"/>
  <c r="J327" i="4" a="1"/>
  <c r="J324" i="4" a="1"/>
  <c r="J307" i="4" a="1"/>
  <c r="J500" i="4" a="1"/>
  <c r="J323" i="4" a="1"/>
  <c r="J429" i="4" a="1"/>
  <c r="J219" i="4" a="1"/>
  <c r="J224" i="4" a="1"/>
  <c r="J393" i="4" a="1"/>
  <c r="J261" i="4" a="1"/>
  <c r="J250" i="4" a="1"/>
  <c r="J468" i="4" a="1"/>
  <c r="J440" i="4" a="1"/>
  <c r="J493" i="4" a="1"/>
  <c r="J230" i="4" a="1"/>
  <c r="J423" i="4" a="1"/>
  <c r="J262" i="4" a="1"/>
  <c r="J459" i="4" a="1"/>
  <c r="J278" i="4" a="1"/>
  <c r="J369" i="4" a="1"/>
  <c r="J304" i="4" a="1"/>
  <c r="J265" i="4" a="1"/>
  <c r="J311" i="4" a="1"/>
  <c r="J399" i="4" a="1"/>
  <c r="J295" i="4" a="1"/>
  <c r="J348" i="4" a="1"/>
  <c r="J495" i="4" a="1"/>
  <c r="J415" i="4" a="1"/>
  <c r="J339" i="4" a="1"/>
  <c r="J267" i="4" a="1"/>
  <c r="J288" i="4" a="1"/>
  <c r="J492" i="4" a="1"/>
  <c r="J256" i="4" a="1"/>
  <c r="J470" i="4" a="1"/>
  <c r="J483" i="4" a="1"/>
  <c r="J345" i="4" a="1"/>
  <c r="J474" i="4" a="1"/>
  <c r="J229" i="4" a="1"/>
  <c r="J473" i="4" a="1"/>
  <c r="J333" i="4" a="1"/>
  <c r="J359" i="4" a="1"/>
  <c r="J269" i="4" a="1"/>
  <c r="J460" i="4" a="1"/>
  <c r="J487" i="4" a="1"/>
  <c r="J300" i="4" a="1"/>
  <c r="J343" i="4" a="1"/>
  <c r="J309" i="4" a="1"/>
  <c r="J469" i="4" a="1"/>
  <c r="J292" i="4" a="1"/>
  <c r="J477" i="4" a="1"/>
  <c r="J476" i="4" a="1"/>
  <c r="J314" i="4" a="1"/>
  <c r="J367" i="4" a="1"/>
  <c r="J420" i="4" a="1"/>
  <c r="J266" i="4" a="1"/>
  <c r="J253" i="4" a="1"/>
  <c r="J272" i="4" a="1"/>
  <c r="J277" i="4" a="1"/>
  <c r="J496" i="4" a="1"/>
  <c r="J462" i="4" a="1"/>
  <c r="J482" i="4" a="1"/>
  <c r="J316" i="4" a="1"/>
  <c r="J480" i="4" a="1"/>
  <c r="J432" i="4" a="1"/>
  <c r="J478" i="4" a="1"/>
  <c r="J463" i="4" a="1"/>
  <c r="J467" i="4" a="1"/>
  <c r="J305" i="4" a="1"/>
  <c r="J358" i="4" a="1"/>
  <c r="J411" i="4" a="1"/>
  <c r="J257" i="4" a="1"/>
  <c r="J226" i="4" a="1"/>
  <c r="J254" i="4" a="1"/>
  <c r="J268" i="4" a="1"/>
  <c r="J409" i="4" a="1"/>
  <c r="J407" i="4" a="1"/>
  <c r="J497" i="4" a="1"/>
  <c r="J491" i="4" a="1"/>
  <c r="J441" i="4" a="1"/>
  <c r="J451" i="4" a="1"/>
  <c r="J449" i="4" a="1"/>
  <c r="J287" i="4" a="1"/>
  <c r="J340" i="4" a="1"/>
  <c r="J218" i="4" a="1"/>
  <c r="J353" i="4" a="1"/>
  <c r="J297" i="4" a="1"/>
  <c r="J331" i="4" a="1"/>
  <c r="J271" i="4" a="1"/>
  <c r="J355" i="4" a="1"/>
  <c r="J479" i="4" a="1"/>
  <c r="J431" i="4" a="1"/>
  <c r="J221" i="4" a="1"/>
  <c r="J365" i="4" a="1"/>
  <c r="J426" i="4" a="1"/>
  <c r="J422" i="4" a="1"/>
  <c r="J283" i="4" a="1"/>
  <c r="J338" i="4" a="1"/>
  <c r="J453" i="4" a="1"/>
  <c r="J398" i="4" a="1"/>
  <c r="J466" i="4" a="1"/>
  <c r="J242" i="4" a="1"/>
  <c r="J342" i="4" a="1"/>
  <c r="J383" i="4" a="1"/>
  <c r="J247" i="4" a="1"/>
  <c r="J461" i="4" a="1"/>
  <c r="J387" i="4" a="1"/>
  <c r="J448" i="4" a="1"/>
  <c r="J270" i="4" a="1"/>
  <c r="J379" i="4" a="1"/>
  <c r="J439" i="4" a="1"/>
  <c r="J455" i="4" a="1"/>
  <c r="J344" i="4" a="1"/>
  <c r="J246" i="4" a="1"/>
  <c r="J249" i="4" a="1"/>
  <c r="J417" i="4" a="1"/>
  <c r="J373" i="4" a="1"/>
  <c r="J421" i="4" a="1"/>
  <c r="J240" i="4" a="1"/>
  <c r="J335" i="4" a="1"/>
  <c r="J317" i="4" a="1"/>
  <c r="J446" i="4" a="1"/>
  <c r="J436" i="4" a="1"/>
  <c r="J434" i="4" a="1"/>
  <c r="J289" i="4" a="1"/>
  <c r="J443" i="4" a="1"/>
  <c r="J405" i="4" a="1"/>
  <c r="J464" i="4" a="1"/>
  <c r="J488" i="4" a="1"/>
  <c r="J458" i="4" a="1"/>
  <c r="J296" i="4" a="1"/>
  <c r="J349" i="4" a="1"/>
  <c r="J402" i="4" a="1"/>
  <c r="J248" i="4" a="1"/>
  <c r="J279" i="4" a="1"/>
  <c r="J236" i="4" a="1"/>
  <c r="J259" i="4" a="1"/>
  <c r="J471" i="4" a="1"/>
  <c r="J363" i="4" a="1"/>
  <c r="J239" i="4" a="1"/>
  <c r="J382" i="4" a="1"/>
  <c r="J489" i="4" a="1"/>
  <c r="J384" i="4" a="1"/>
  <c r="J241" i="4" a="1"/>
  <c r="J326" i="4" a="1"/>
  <c r="J322" i="4" a="1"/>
  <c r="J396" i="4" a="1"/>
  <c r="J475" i="4" a="1"/>
  <c r="J244" i="4" a="1"/>
  <c r="J301" i="4" a="1"/>
  <c r="J414" i="4" a="1"/>
  <c r="J413" i="4" a="1"/>
  <c r="J214" i="4" a="1"/>
  <c r="J401" i="4" a="1"/>
  <c r="J404" i="4" a="1"/>
  <c r="J276" i="4" a="1"/>
  <c r="J315" i="4" a="1"/>
  <c r="J371" i="4" a="1"/>
  <c r="J286" i="4" a="1"/>
  <c r="J445" i="4" a="1"/>
  <c r="J372" i="4" a="1"/>
  <c r="J330" i="4" a="1"/>
  <c r="J252" i="4" a="1"/>
  <c r="J325" i="4" a="1"/>
  <c r="J360" i="4" a="1"/>
  <c r="J377" i="4" a="1"/>
  <c r="J238" i="4" a="1"/>
  <c r="J498" i="4" a="1"/>
  <c r="J347" i="4" a="1"/>
  <c r="J329" i="4" a="1"/>
  <c r="J312" i="4" a="1"/>
  <c r="J216" i="4" a="1"/>
  <c r="J390" i="4" a="1"/>
  <c r="J303" i="4" a="1"/>
  <c r="J231" i="4" a="1"/>
  <c r="H364" i="4" a="1"/>
  <c r="H352" i="4" a="1"/>
  <c r="H450" i="4" a="1"/>
  <c r="H378" i="4" a="1"/>
  <c r="H320" i="4" a="1"/>
  <c r="H346" i="4" a="1"/>
  <c r="H318" i="4" a="1"/>
  <c r="H302" i="4" a="1"/>
  <c r="H350" i="4" a="1"/>
  <c r="H403" i="4" a="1"/>
  <c r="H456" i="4" a="1"/>
  <c r="H294" i="4" a="1"/>
  <c r="H263" i="4" a="1"/>
  <c r="H273" i="4" a="1"/>
  <c r="H260" i="4" a="1"/>
  <c r="H222" i="4" a="1"/>
  <c r="H337" i="4" a="1"/>
  <c r="H298" i="4" a="1"/>
  <c r="H424" i="4" a="1"/>
  <c r="H351" i="4" a="1"/>
  <c r="H308" i="4" a="1"/>
  <c r="H334" i="4" a="1"/>
  <c r="H306" i="4" a="1"/>
  <c r="H290" i="4" a="1"/>
  <c r="H341" i="4" a="1"/>
  <c r="H394" i="4" a="1"/>
  <c r="H447" i="4" a="1"/>
  <c r="H285" i="4" a="1"/>
  <c r="H245" i="4" a="1"/>
  <c r="H255" i="4" a="1"/>
  <c r="H251" i="4" a="1"/>
  <c r="H213" i="4" a="1"/>
  <c r="H408" i="4" a="1"/>
  <c r="H310" i="4" a="1"/>
  <c r="H435" i="4" a="1"/>
  <c r="H397" i="4" a="1"/>
  <c r="H336" i="4" a="1"/>
  <c r="H293" i="4" a="1"/>
  <c r="H319" i="4" a="1"/>
  <c r="H291" i="4" a="1"/>
  <c r="H494" i="4" a="1"/>
  <c r="H332" i="4" a="1"/>
  <c r="H385" i="4" a="1"/>
  <c r="H438" i="4" a="1"/>
  <c r="H284" i="4" a="1"/>
  <c r="H227" i="4" a="1"/>
  <c r="H237" i="4" a="1"/>
  <c r="H233" i="4" a="1"/>
  <c r="H327" i="4" a="1"/>
  <c r="H444" i="4" a="1"/>
  <c r="H381" i="4" a="1"/>
  <c r="H370" i="4" a="1"/>
  <c r="H324" i="4" a="1"/>
  <c r="H490" i="4" a="1"/>
  <c r="H307" i="4" a="1"/>
  <c r="H500" i="4" a="1"/>
  <c r="H485" i="4" a="1"/>
  <c r="H323" i="4" a="1"/>
  <c r="H376" i="4" a="1"/>
  <c r="H429" i="4" a="1"/>
  <c r="H275" i="4" a="1"/>
  <c r="H280" i="4" a="1"/>
  <c r="H219" i="4" a="1"/>
  <c r="H224" i="4" a="1"/>
  <c r="H437" i="4" a="1"/>
  <c r="H493" i="4" a="1"/>
  <c r="H384" i="4" a="1"/>
  <c r="H243" i="4" a="1"/>
  <c r="H271" i="4" a="1"/>
  <c r="H392" i="4" a="1"/>
  <c r="H326" i="4" a="1"/>
  <c r="H454" i="4" a="1"/>
  <c r="H479" i="4" a="1"/>
  <c r="H425" i="4" a="1"/>
  <c r="H484" i="4" a="1"/>
  <c r="H375" i="4" a="1"/>
  <c r="H225" i="4" a="1"/>
  <c r="H232" i="4" a="1"/>
  <c r="H328" i="4" a="1"/>
  <c r="H396" i="4" a="1"/>
  <c r="H442" i="4" a="1"/>
  <c r="H410" i="4" a="1"/>
  <c r="H475" i="4" a="1"/>
  <c r="H366" i="4" a="1"/>
  <c r="H278" i="4" a="1"/>
  <c r="H223" i="4" a="1"/>
  <c r="H301" i="4" a="1"/>
  <c r="H499" i="4" a="1"/>
  <c r="H416" i="4" a="1"/>
  <c r="H414" i="4" a="1"/>
  <c r="H413" i="4" a="1"/>
  <c r="H304" i="4" a="1"/>
  <c r="H265" i="4" a="1"/>
  <c r="H235" i="4" a="1"/>
  <c r="H311" i="4" a="1"/>
  <c r="H481" i="4" a="1"/>
  <c r="H401" i="4" a="1"/>
  <c r="H399" i="4" a="1"/>
  <c r="H404" i="4" a="1"/>
  <c r="H295" i="4" a="1"/>
  <c r="H247" i="4" a="1"/>
  <c r="H217" i="4" a="1"/>
  <c r="H495" i="4" a="1"/>
  <c r="H406" i="4" a="1"/>
  <c r="H315" i="4" a="1"/>
  <c r="H415" i="4" a="1"/>
  <c r="H371" i="4" a="1"/>
  <c r="H395" i="4" a="1"/>
  <c r="H286" i="4" a="1"/>
  <c r="H220" i="4" a="1"/>
  <c r="H270" i="4" a="1"/>
  <c r="H445" i="4" a="1"/>
  <c r="H379" i="4" a="1"/>
  <c r="H374" i="4" a="1"/>
  <c r="H372" i="4" a="1"/>
  <c r="H386" i="4" a="1"/>
  <c r="H492" i="4" a="1"/>
  <c r="H264" i="4" a="1"/>
  <c r="H252" i="4" a="1"/>
  <c r="H470" i="4" a="1"/>
  <c r="H325" i="4" a="1"/>
  <c r="H362" i="4" a="1"/>
  <c r="H360" i="4" a="1"/>
  <c r="H377" i="4" a="1"/>
  <c r="H483" i="4" a="1"/>
  <c r="H321" i="4" a="1"/>
  <c r="H246" i="4" a="1"/>
  <c r="H234" i="4" a="1"/>
  <c r="H418" i="4" a="1"/>
  <c r="H498" i="4" a="1"/>
  <c r="H347" i="4" a="1"/>
  <c r="H345" i="4" a="1"/>
  <c r="H368" i="4" a="1"/>
  <c r="H474" i="4" a="1"/>
  <c r="H228" i="4" a="1"/>
  <c r="H216" i="4" a="1"/>
  <c r="H391" i="4" a="1"/>
  <c r="H473" i="4" a="1"/>
  <c r="H390" i="4" a="1"/>
  <c r="H335" i="4" a="1"/>
  <c r="H361" i="4" a="1"/>
  <c r="H333" i="4" a="1"/>
  <c r="H317" i="4" a="1"/>
  <c r="H359" i="4" a="1"/>
  <c r="H412" i="4" a="1"/>
  <c r="H465" i="4" a="1"/>
  <c r="H303" i="4" a="1"/>
  <c r="H281" i="4" a="1"/>
  <c r="H282" i="4" a="1"/>
  <c r="H269" i="4" a="1"/>
  <c r="H460" i="4" a="1"/>
  <c r="H487" i="4" a="1"/>
  <c r="H300" i="4" a="1"/>
  <c r="H343" i="4" a="1"/>
  <c r="H309" i="4" a="1"/>
  <c r="H469" i="4" a="1"/>
  <c r="H292" i="4" a="1"/>
  <c r="H477" i="4" a="1"/>
  <c r="H476" i="4" a="1"/>
  <c r="H314" i="4" a="1"/>
  <c r="H367" i="4" a="1"/>
  <c r="H420" i="4" a="1"/>
  <c r="H266" i="4" a="1"/>
  <c r="H253" i="4" a="1"/>
  <c r="H272" i="4" a="1"/>
  <c r="H277" i="4" a="1"/>
  <c r="H496" i="4" a="1"/>
  <c r="H462" i="4" a="1"/>
  <c r="H482" i="4" a="1"/>
  <c r="H316" i="4" a="1"/>
  <c r="H480" i="4" a="1"/>
  <c r="H432" i="4" a="1"/>
  <c r="H478" i="4" a="1"/>
  <c r="H463" i="4" a="1"/>
  <c r="H467" i="4" a="1"/>
  <c r="H305" i="4" a="1"/>
  <c r="H358" i="4" a="1"/>
  <c r="H411" i="4" a="1"/>
  <c r="H257" i="4" a="1"/>
  <c r="H226" i="4" a="1"/>
  <c r="H254" i="4" a="1"/>
  <c r="H268" i="4" a="1"/>
  <c r="H446" i="4" a="1"/>
  <c r="H436" i="4" a="1"/>
  <c r="H434" i="4" a="1"/>
  <c r="H289" i="4" a="1"/>
  <c r="H443" i="4" a="1"/>
  <c r="H405" i="4" a="1"/>
  <c r="H464" i="4" a="1"/>
  <c r="H488" i="4" a="1"/>
  <c r="H458" i="4" a="1"/>
  <c r="H296" i="4" a="1"/>
  <c r="H349" i="4" a="1"/>
  <c r="H402" i="4" a="1"/>
  <c r="H248" i="4" a="1"/>
  <c r="H279" i="4" a="1"/>
  <c r="H236" i="4" a="1"/>
  <c r="H259" i="4" a="1"/>
  <c r="H471" i="4" a="1"/>
  <c r="H409" i="4" a="1"/>
  <c r="H407" i="4" a="1"/>
  <c r="H497" i="4" a="1"/>
  <c r="H491" i="4" a="1"/>
  <c r="H363" i="4" a="1"/>
  <c r="H441" i="4" a="1"/>
  <c r="H451" i="4" a="1"/>
  <c r="H449" i="4" a="1"/>
  <c r="H287" i="4" a="1"/>
  <c r="H340" i="4" a="1"/>
  <c r="H393" i="4" a="1"/>
  <c r="H239" i="4" a="1"/>
  <c r="H261" i="4" a="1"/>
  <c r="H218" i="4" a="1"/>
  <c r="H250" i="4" a="1"/>
  <c r="H419" i="4" a="1"/>
  <c r="H382" i="4" a="1"/>
  <c r="H353" i="4" a="1"/>
  <c r="H472" i="4" a="1"/>
  <c r="H468" i="4" a="1"/>
  <c r="H297" i="4" a="1"/>
  <c r="H489" i="4" a="1"/>
  <c r="H440" i="4" a="1"/>
  <c r="H331" i="4" a="1"/>
  <c r="H230" i="4" a="1"/>
  <c r="H241" i="4" a="1"/>
  <c r="H355" i="4" a="1"/>
  <c r="H423" i="4" a="1"/>
  <c r="H452" i="4" a="1"/>
  <c r="H431" i="4" a="1"/>
  <c r="H322" i="4" a="1"/>
  <c r="H221" i="4" a="1"/>
  <c r="H262" i="4" a="1"/>
  <c r="H365" i="4" a="1"/>
  <c r="H459" i="4" a="1"/>
  <c r="H428" i="4" a="1"/>
  <c r="H426" i="4" a="1"/>
  <c r="H422" i="4" a="1"/>
  <c r="H313" i="4" a="1"/>
  <c r="H283" i="4" a="1"/>
  <c r="H244" i="4" a="1"/>
  <c r="H338" i="4" a="1"/>
  <c r="H369" i="4" a="1"/>
  <c r="H453" i="4" a="1"/>
  <c r="H398" i="4" a="1"/>
  <c r="H466" i="4" a="1"/>
  <c r="H357" i="4" a="1"/>
  <c r="H242" i="4" a="1"/>
  <c r="H214" i="4" a="1"/>
  <c r="H486" i="4" a="1"/>
  <c r="H342" i="4" a="1"/>
  <c r="H427" i="4" a="1"/>
  <c r="H383" i="4" a="1"/>
  <c r="H457" i="4" a="1"/>
  <c r="H348" i="4" a="1"/>
  <c r="H215" i="4" a="1"/>
  <c r="H276" i="4" a="1"/>
  <c r="H461" i="4" a="1"/>
  <c r="H389" i="4" a="1"/>
  <c r="H387" i="4" a="1"/>
  <c r="H448" i="4" a="1"/>
  <c r="H339" i="4" a="1"/>
  <c r="H274" i="4" a="1"/>
  <c r="H267" i="4" a="1"/>
  <c r="H354" i="4" a="1"/>
  <c r="H288" i="4" a="1"/>
  <c r="H400" i="4" a="1"/>
  <c r="H356" i="4" a="1"/>
  <c r="H439" i="4" a="1"/>
  <c r="H330" i="4" a="1"/>
  <c r="H256" i="4" a="1"/>
  <c r="H258" i="4" a="1"/>
  <c r="H380" i="4" a="1"/>
  <c r="H455" i="4" a="1"/>
  <c r="H388" i="4" a="1"/>
  <c r="H344" i="4" a="1"/>
  <c r="H430" i="4" a="1"/>
  <c r="H238" i="4" a="1"/>
  <c r="H249" i="4" a="1"/>
  <c r="H299" i="4" a="1"/>
  <c r="H417" i="4" a="1"/>
  <c r="H373" i="4" a="1"/>
  <c r="H329" i="4" a="1"/>
  <c r="H421" i="4" a="1"/>
  <c r="H312" i="4" a="1"/>
  <c r="H229" i="4" a="1"/>
  <c r="H240" i="4" a="1"/>
  <c r="H433" i="4" a="1"/>
  <c r="H231" i="4" a="1"/>
  <c r="C408" i="4" a="1"/>
  <c r="C327" i="4" a="1"/>
  <c r="E332" i="4" a="1"/>
  <c r="D324" i="4" a="1"/>
  <c r="G284" i="4" a="1"/>
  <c r="C397" i="4" a="1"/>
  <c r="D224" i="4" a="1"/>
  <c r="G481" i="4" a="1"/>
  <c r="E488" i="4" a="1"/>
  <c r="D322" i="4" a="1"/>
  <c r="D233" i="4" a="1"/>
  <c r="C375" i="4" a="1"/>
  <c r="G261" i="4" a="1"/>
  <c r="G477" i="4" a="1"/>
  <c r="G241" i="4" a="1"/>
  <c r="E266" i="4" a="1"/>
  <c r="G397" i="4" a="1"/>
  <c r="G488" i="4" a="1"/>
  <c r="G467" i="4" a="1"/>
  <c r="C471" i="4" a="1"/>
  <c r="G215" i="4" a="1"/>
  <c r="D443" i="4" a="1"/>
  <c r="C257" i="4" a="1"/>
  <c r="D432" i="4" a="1"/>
  <c r="D487" i="4" a="1"/>
  <c r="E461" i="4" a="1"/>
  <c r="E219" i="4" a="1"/>
  <c r="G343" i="4" a="1"/>
  <c r="G444" i="4" a="1"/>
  <c r="E323" i="4" a="1"/>
  <c r="G310" i="4" a="1"/>
  <c r="E438" i="4" a="1"/>
  <c r="C219" i="4" a="1"/>
  <c r="C253" i="4" a="1"/>
  <c r="E271" i="4" a="1"/>
  <c r="D326" i="4" a="1"/>
  <c r="D237" i="4" a="1"/>
  <c r="D407" i="4" a="1"/>
  <c r="D429" i="4" a="1"/>
  <c r="D276" i="4" a="1"/>
  <c r="G233" i="4" a="1"/>
  <c r="E440" i="4" a="1"/>
  <c r="C314" i="4" a="1"/>
  <c r="D291" i="4" a="1"/>
  <c r="E336" i="4" a="1"/>
  <c r="G314" i="4" a="1"/>
  <c r="G293" i="4" a="1"/>
  <c r="D385" i="4" a="1"/>
  <c r="G292" i="4" a="1"/>
  <c r="E476" i="4" a="1"/>
  <c r="G485" i="4" a="1"/>
  <c r="D336" i="4" a="1"/>
  <c r="E494" i="4" a="1"/>
  <c r="G349" i="4" a="1"/>
  <c r="E392" i="4" a="1"/>
  <c r="D438" i="4" a="1"/>
  <c r="C221" i="4" a="1"/>
  <c r="E297" i="4" a="1"/>
  <c r="G300" i="4" a="1"/>
  <c r="D327" i="4" a="1"/>
  <c r="C324" i="4" a="1"/>
  <c r="C494" i="4" a="1"/>
  <c r="E224" i="4" a="1"/>
  <c r="D309" i="4" a="1"/>
  <c r="D227" i="4" a="1"/>
  <c r="D332" i="4" a="1"/>
  <c r="G432" i="4" a="1"/>
  <c r="C383" i="4" a="1"/>
  <c r="E253" i="4" a="1"/>
  <c r="E493" i="4" a="1"/>
  <c r="C460" i="4" a="1"/>
  <c r="D440" i="4" a="1"/>
  <c r="C435" i="4" a="1"/>
  <c r="D490" i="4" a="1"/>
  <c r="G259" i="4" a="1"/>
  <c r="C464" i="4" a="1"/>
  <c r="D444" i="4" a="1"/>
  <c r="E435" i="4" a="1"/>
  <c r="E296" i="4" a="1"/>
  <c r="D493" i="4" a="1"/>
  <c r="G419" i="4" a="1"/>
  <c r="C500" i="4" a="1"/>
  <c r="G408" i="4" a="1"/>
  <c r="C370" i="4" a="1"/>
  <c r="G348" i="4" a="1"/>
  <c r="D271" i="4" a="1"/>
  <c r="D279" i="4" a="1"/>
  <c r="E407" i="4" a="1"/>
  <c r="E496" i="4" a="1"/>
  <c r="C247" i="4" a="1"/>
  <c r="D441" i="4" a="1"/>
  <c r="D287" i="4" a="1"/>
  <c r="G236" i="4" a="1"/>
  <c r="E289" i="4" a="1"/>
  <c r="E381" i="4" a="1"/>
  <c r="D331" i="4" a="1"/>
  <c r="D434" i="4" a="1"/>
  <c r="C488" i="4" a="1"/>
  <c r="D489" i="4" a="1"/>
  <c r="G327" i="4" a="1"/>
  <c r="G248" i="4" a="1"/>
  <c r="G402" i="4" a="1"/>
  <c r="G440" i="4" a="1"/>
  <c r="D392" i="4" a="1"/>
  <c r="G289" i="4" a="1"/>
  <c r="C472" i="4" a="1"/>
  <c r="C227" i="4" a="1"/>
  <c r="G490" i="4" a="1"/>
  <c r="G429" i="4" a="1"/>
  <c r="G435" i="4" a="1"/>
  <c r="C469" i="4" a="1"/>
  <c r="D500" i="4" a="1"/>
  <c r="D471" i="4" a="1"/>
  <c r="E469" i="4" a="1"/>
  <c r="G319" i="4" a="1"/>
  <c r="G469" i="4" a="1"/>
  <c r="G332" i="4" a="1"/>
  <c r="C437" i="4" a="1"/>
  <c r="C468" i="4" a="1"/>
  <c r="C444" i="4" a="1"/>
  <c r="C489" i="4" a="1"/>
  <c r="D405" i="4" a="1"/>
  <c r="E485" i="4" a="1"/>
  <c r="E468" i="4" a="1"/>
  <c r="E230" i="4" a="1"/>
  <c r="D381" i="4" a="1"/>
  <c r="G500" i="4" a="1"/>
  <c r="D289" i="4" a="1"/>
  <c r="E408" i="4" a="1"/>
  <c r="E464" i="4" a="1"/>
  <c r="E310" i="4" a="1"/>
  <c r="G279" i="4" a="1"/>
  <c r="G237" i="4" a="1"/>
  <c r="G311" i="4" a="1"/>
  <c r="G280" i="4" a="1"/>
  <c r="D408" i="4" a="1"/>
  <c r="E280" i="4" a="1"/>
  <c r="D280" i="4" a="1"/>
  <c r="D310" i="4" a="1"/>
  <c r="D402" i="4" a="1"/>
  <c r="D323" i="4" a="1"/>
  <c r="D395" i="4" a="1"/>
  <c r="G437" i="4" a="1"/>
  <c r="C259" i="4" a="1"/>
  <c r="C493" i="4" a="1"/>
  <c r="C248" i="4" a="1"/>
  <c r="E340" i="4" a="1"/>
  <c r="D358" i="4" a="1"/>
  <c r="D270" i="4" a="1"/>
  <c r="D380" i="4" a="1"/>
  <c r="D455" i="4" a="1"/>
  <c r="G250" i="4" a="1"/>
  <c r="G353" i="4" a="1"/>
  <c r="C270" i="4" a="1"/>
  <c r="D494" i="4" a="1"/>
  <c r="G415" i="4" a="1"/>
  <c r="D457" i="4" a="1"/>
  <c r="C387" i="4" a="1"/>
  <c r="G275" i="4" a="1"/>
  <c r="D472" i="4" a="1"/>
  <c r="G291" i="4" a="1"/>
  <c r="G448" i="4" a="1"/>
  <c r="G383" i="4" a="1"/>
  <c r="G425" i="4" a="1"/>
  <c r="C284" i="4" a="1"/>
  <c r="C366" i="4" a="1"/>
  <c r="D376" i="4" a="1"/>
  <c r="E385" i="4" a="1"/>
  <c r="G468" i="4" a="1"/>
  <c r="C224" i="4" a="1"/>
  <c r="C405" i="4" a="1"/>
  <c r="E443" i="4" a="1"/>
  <c r="C291" i="4" a="1"/>
  <c r="C277" i="4" a="1"/>
  <c r="E276" i="4" a="1"/>
  <c r="C440" i="4" a="1"/>
  <c r="D225" i="4" a="1"/>
  <c r="C236" i="4" a="1"/>
  <c r="C279" i="4" a="1"/>
  <c r="D461" i="4" a="1"/>
  <c r="D479" i="4" a="1"/>
  <c r="D348" i="4" a="1"/>
  <c r="E239" i="4" a="1"/>
  <c r="C323" i="4" a="1"/>
  <c r="C289" i="4" a="1"/>
  <c r="C463" i="4" a="1"/>
  <c r="C344" i="4" a="1"/>
  <c r="G480" i="4" a="1"/>
  <c r="E262" i="4" a="1"/>
  <c r="C340" i="4" a="1"/>
  <c r="C402" i="4" a="1"/>
  <c r="E429" i="4" a="1"/>
  <c r="D367" i="4" a="1"/>
  <c r="E293" i="4" a="1"/>
  <c r="D339" i="4" a="1"/>
  <c r="G256" i="4" a="1"/>
  <c r="G232" i="4" a="1"/>
  <c r="G443" i="4" a="1"/>
  <c r="E227" i="4" a="1"/>
  <c r="C385" i="4" a="1"/>
  <c r="E295" i="4" a="1"/>
  <c r="E490" i="4" a="1"/>
  <c r="D397" i="4" a="1"/>
  <c r="G376" i="4" a="1"/>
  <c r="C353" i="4" a="1"/>
  <c r="E376" i="4" a="1"/>
  <c r="D458" i="4" a="1"/>
  <c r="G458" i="4" a="1"/>
  <c r="C429" i="4" a="1"/>
  <c r="G270" i="4" a="1"/>
  <c r="C233" i="4" a="1"/>
  <c r="G452" i="4" a="1"/>
  <c r="C293" i="4" a="1"/>
  <c r="C407" i="4" a="1"/>
  <c r="E275" i="4" a="1"/>
  <c r="E225" i="4" a="1"/>
  <c r="E355" i="4" a="1"/>
  <c r="D399" i="4" a="1"/>
  <c r="C326" i="4" a="1"/>
  <c r="G287" i="4" a="1"/>
  <c r="E397" i="4" a="1"/>
  <c r="E384" i="4" a="1"/>
  <c r="G227" i="4" a="1"/>
  <c r="E236" i="4" a="1"/>
  <c r="E268" i="4" a="1"/>
  <c r="C254" i="4" a="1"/>
  <c r="G370" i="4" a="1"/>
  <c r="C319" i="4" a="1"/>
  <c r="G464" i="4" a="1"/>
  <c r="G271" i="4" a="1"/>
  <c r="G434" i="4" a="1"/>
  <c r="D253" i="4" a="1"/>
  <c r="D435" i="4" a="1"/>
  <c r="D393" i="4" a="1"/>
  <c r="G493" i="4" a="1"/>
  <c r="E495" i="4" a="1"/>
  <c r="C297" i="4" a="1"/>
  <c r="C332" i="4" a="1"/>
  <c r="E243" i="4" a="1"/>
  <c r="G404" i="4" a="1"/>
  <c r="E402" i="4" a="1"/>
  <c r="D217" i="4" a="1"/>
  <c r="C448" i="4" a="1"/>
  <c r="E455" i="4" a="1"/>
  <c r="C232" i="4" a="1"/>
  <c r="E218" i="4" a="1"/>
  <c r="G382" i="4" a="1"/>
  <c r="E458" i="4" a="1"/>
  <c r="C401" i="4" a="1"/>
  <c r="G436" i="4" a="1"/>
  <c r="C484" i="4" a="1"/>
  <c r="D241" i="4" a="1"/>
  <c r="D496" i="4" a="1"/>
  <c r="E452" i="4" a="1"/>
  <c r="G446" i="4" a="1"/>
  <c r="E436" i="4" a="1"/>
  <c r="E434" i="4" a="1"/>
  <c r="D236" i="4" a="1"/>
  <c r="D259" i="4" a="1"/>
  <c r="D319" i="4" a="1"/>
  <c r="E472" i="4" a="1"/>
  <c r="G297" i="4" a="1"/>
  <c r="C336" i="4" a="1"/>
  <c r="G324" i="4" a="1"/>
  <c r="E267" i="4" a="1"/>
  <c r="D363" i="4" a="1"/>
  <c r="C419" i="4" a="1"/>
  <c r="G479" i="4" a="1"/>
  <c r="E241" i="4" a="1"/>
  <c r="D460" i="4" a="1"/>
  <c r="E471" i="4" a="1"/>
  <c r="E274" i="4" a="1"/>
  <c r="D476" i="4" a="1"/>
  <c r="E353" i="4" a="1"/>
  <c r="C349" i="4" a="1"/>
  <c r="G286" i="4" a="1"/>
  <c r="E238" i="4" a="1"/>
  <c r="C381" i="4" a="1"/>
  <c r="D419" i="4" a="1"/>
  <c r="D353" i="4" a="1"/>
  <c r="D468" i="4" a="1"/>
  <c r="E437" i="4" a="1"/>
  <c r="C331" i="4" a="1"/>
  <c r="G384" i="4" a="1"/>
  <c r="C438" i="4" a="1"/>
  <c r="D248" i="4" a="1"/>
  <c r="D311" i="4" a="1"/>
  <c r="E404" i="4" a="1"/>
  <c r="C446" i="4" a="1"/>
  <c r="E419" i="4" a="1"/>
  <c r="E291" i="4" a="1"/>
  <c r="D464" i="4" a="1"/>
  <c r="C292" i="4" a="1"/>
  <c r="G457" i="4" a="1"/>
  <c r="G438" i="4" a="1"/>
  <c r="C280" i="4" a="1"/>
  <c r="D219" i="4" a="1"/>
  <c r="E284" i="4" a="1"/>
  <c r="C376" i="4" a="1"/>
  <c r="E307" i="4" a="1"/>
  <c r="D314" i="4" a="1"/>
  <c r="D275" i="4" a="1"/>
  <c r="E327" i="4" a="1"/>
  <c r="D463" i="4" a="1"/>
  <c r="C322" i="4" a="1"/>
  <c r="D437" i="4" a="1"/>
  <c r="C271" i="4" a="1"/>
  <c r="E444" i="4" a="1"/>
  <c r="E226" i="4" a="1"/>
  <c r="D277" i="4" a="1"/>
  <c r="G336" i="4" a="1"/>
  <c r="G379" i="4" a="1"/>
  <c r="G492" i="4" a="1"/>
  <c r="C237" i="4" a="1"/>
  <c r="D370" i="4" a="1"/>
  <c r="D296" i="4" a="1"/>
  <c r="D486" i="4" a="1"/>
  <c r="C272" i="4" a="1"/>
  <c r="G249" i="4" a="1"/>
  <c r="E233" i="4" a="1"/>
  <c r="E247" i="4" a="1"/>
  <c r="C305" i="4" a="1"/>
  <c r="E324" i="4" a="1"/>
  <c r="G381" i="4" a="1"/>
  <c r="D375" i="4" a="1"/>
  <c r="C217" i="4" a="1"/>
  <c r="D492" i="4" a="1"/>
  <c r="G331" i="4" a="1"/>
  <c r="C415" i="4" a="1"/>
  <c r="D273" i="4" a="1"/>
  <c r="C382" i="4" a="1"/>
  <c r="D382" i="4" a="1"/>
  <c r="C434" i="4" a="1"/>
  <c r="D297" i="4" a="1"/>
  <c r="D374" i="4" a="1"/>
  <c r="E386" i="4" a="1"/>
  <c r="C241" i="4" a="1"/>
  <c r="D485" i="4" a="1"/>
  <c r="D488" i="4" a="1"/>
  <c r="D292" i="4" a="1"/>
  <c r="G272" i="4" a="1"/>
  <c r="D349" i="4" a="1"/>
  <c r="G476" i="4" a="1"/>
  <c r="E316" i="4" a="1"/>
  <c r="C411" i="4" a="1"/>
  <c r="E259" i="4" a="1"/>
  <c r="D272" i="4" a="1"/>
  <c r="C275" i="4" a="1"/>
  <c r="G454" i="4" a="1"/>
  <c r="D316" i="4" a="1"/>
  <c r="C216" i="4" a="1"/>
  <c r="E277" i="4" a="1"/>
  <c r="D284" i="4" a="1"/>
  <c r="E427" i="4" a="1"/>
  <c r="C436" i="4" a="1"/>
  <c r="G409" i="4" a="1"/>
  <c r="C230" i="4" a="1"/>
  <c r="E382" i="4" a="1"/>
  <c r="D436" i="4" a="1"/>
  <c r="D483" i="4" a="1"/>
  <c r="C246" i="4" a="1"/>
  <c r="D249" i="4" a="1"/>
  <c r="G307" i="4" a="1"/>
  <c r="C443" i="4" a="1"/>
  <c r="C299" i="4" a="1"/>
  <c r="G498" i="4" a="1"/>
  <c r="G277" i="4" a="1"/>
  <c r="E489" i="4" a="1"/>
  <c r="E237" i="4" a="1"/>
  <c r="G405" i="4" a="1"/>
  <c r="E446" i="4" a="1"/>
  <c r="E319" i="4" a="1"/>
  <c r="G494" i="4" a="1"/>
  <c r="C485" i="4" a="1"/>
  <c r="C486" i="4" a="1"/>
  <c r="E500" i="4" a="1"/>
  <c r="C310" i="4" a="1"/>
  <c r="D293" i="4" a="1"/>
  <c r="G253" i="4" a="1"/>
  <c r="C215" i="4" a="1"/>
  <c r="G323" i="4" a="1"/>
  <c r="C239" i="4" a="1"/>
  <c r="D254" i="4" a="1"/>
  <c r="E250" i="4" a="1"/>
  <c r="G224" i="4" a="1"/>
  <c r="E367" i="4" a="1"/>
  <c r="E413" i="4" a="1"/>
  <c r="G235" i="4" a="1"/>
  <c r="C490" i="4" a="1"/>
  <c r="D401" i="4" a="1"/>
  <c r="G240" i="4" a="1"/>
  <c r="D341" i="4" a="1"/>
  <c r="E331" i="4" a="1"/>
  <c r="D426" i="4" a="1"/>
  <c r="G385" i="4" a="1"/>
  <c r="E304" i="4" a="1"/>
  <c r="C357" i="4" a="1"/>
  <c r="E480" i="4" a="1"/>
  <c r="D244" i="4" a="1"/>
  <c r="C451" i="4" a="1"/>
  <c r="G338" i="4" a="1"/>
  <c r="G499" i="4" a="1"/>
  <c r="G304" i="4" a="1"/>
  <c r="C449" i="4" a="1"/>
  <c r="D266" i="4" a="1"/>
  <c r="C287" i="4" a="1"/>
  <c r="E220" i="4" a="1"/>
  <c r="E370" i="4" a="1"/>
  <c r="E363" i="4" a="1"/>
  <c r="C307" i="4" a="1"/>
  <c r="G453" i="4" a="1"/>
  <c r="D221" i="4" a="1"/>
  <c r="G219" i="4" a="1"/>
  <c r="C226" i="4" a="1"/>
  <c r="D230" i="4" a="1"/>
  <c r="G328" i="4" a="1"/>
  <c r="D427" i="4" a="1"/>
  <c r="D247" i="4" a="1"/>
  <c r="G230" i="4" a="1"/>
  <c r="D499" i="4" a="1"/>
  <c r="E214" i="4" a="1"/>
  <c r="D258" i="4" a="1"/>
  <c r="G234" i="4" a="1"/>
  <c r="D307" i="4" a="1"/>
  <c r="E431" i="4" a="1"/>
  <c r="D214" i="4" a="1"/>
  <c r="G487" i="4" a="1"/>
  <c r="D260" i="4" a="1"/>
  <c r="C497" i="4" a="1"/>
  <c r="C431" i="4" a="1"/>
  <c r="D424" i="4" a="1"/>
  <c r="E432" i="4" a="1"/>
  <c r="E321" i="4" a="1"/>
  <c r="C457" i="4" a="1"/>
  <c r="D269" i="4" a="1"/>
  <c r="G387" i="4" a="1"/>
  <c r="E320" i="4" a="1"/>
  <c r="G398" i="4" a="1"/>
  <c r="G268" i="4" a="1"/>
  <c r="E364" i="4" a="1"/>
  <c r="E405" i="4" a="1"/>
  <c r="P475" i="4" l="1"/>
  <c r="P422" i="4"/>
  <c r="P410" i="4"/>
  <c r="P214" i="4"/>
  <c r="P235" i="4"/>
  <c r="P242" i="4"/>
  <c r="P265" i="4"/>
  <c r="P357" i="4"/>
  <c r="P304" i="4"/>
  <c r="P466" i="4"/>
  <c r="P413" i="4"/>
  <c r="P398" i="4"/>
  <c r="P414" i="4"/>
  <c r="P453" i="4"/>
  <c r="P416" i="4"/>
  <c r="P369" i="4"/>
  <c r="P499" i="4"/>
  <c r="P301" i="4"/>
  <c r="P223" i="4"/>
  <c r="P426" i="4"/>
  <c r="P232" i="4"/>
  <c r="P338" i="4"/>
  <c r="P442" i="4"/>
  <c r="P428" i="4"/>
  <c r="P396" i="4"/>
  <c r="P459" i="4"/>
  <c r="P244" i="4"/>
  <c r="P328" i="4"/>
  <c r="P365" i="4"/>
  <c r="P278" i="4"/>
  <c r="P283" i="4"/>
  <c r="P366" i="4"/>
  <c r="P313" i="4"/>
  <c r="P262" i="4"/>
  <c r="P225" i="4"/>
  <c r="P221" i="4"/>
  <c r="P375" i="4"/>
  <c r="P322" i="4"/>
  <c r="P484" i="4"/>
  <c r="P431" i="4"/>
  <c r="P425" i="4"/>
  <c r="P452" i="4"/>
  <c r="P479" i="4"/>
  <c r="P454" i="4"/>
  <c r="P423" i="4"/>
  <c r="P326" i="4"/>
  <c r="P355" i="4"/>
  <c r="P392" i="4"/>
  <c r="P241" i="4"/>
  <c r="P271" i="4"/>
  <c r="P243" i="4"/>
  <c r="P230" i="4"/>
  <c r="P384" i="4"/>
  <c r="P331" i="4"/>
  <c r="P493" i="4"/>
  <c r="P440" i="4"/>
  <c r="P437" i="4"/>
  <c r="P489" i="4"/>
  <c r="P297" i="4"/>
  <c r="P468" i="4"/>
  <c r="P472" i="4"/>
  <c r="P353" i="4"/>
  <c r="P382" i="4"/>
  <c r="P419" i="4"/>
  <c r="P250" i="4"/>
  <c r="P218" i="4"/>
  <c r="P261" i="4"/>
  <c r="P239" i="4"/>
  <c r="P393" i="4"/>
  <c r="P340" i="4"/>
  <c r="P287" i="4"/>
  <c r="P449" i="4"/>
  <c r="P451" i="4"/>
  <c r="P441" i="4"/>
  <c r="P363" i="4"/>
  <c r="P491" i="4"/>
  <c r="P497" i="4"/>
  <c r="P407" i="4"/>
  <c r="P409" i="4"/>
  <c r="P471" i="4"/>
  <c r="P259" i="4"/>
  <c r="P236" i="4"/>
  <c r="P279" i="4"/>
  <c r="P248" i="4"/>
  <c r="P402" i="4"/>
  <c r="P349" i="4"/>
  <c r="P296" i="4"/>
  <c r="P458" i="4"/>
  <c r="P488" i="4"/>
  <c r="P464" i="4"/>
  <c r="P405" i="4"/>
  <c r="P443" i="4"/>
  <c r="P289" i="4"/>
  <c r="P434" i="4"/>
  <c r="P436" i="4"/>
  <c r="P446" i="4"/>
  <c r="P268" i="4"/>
  <c r="P254" i="4"/>
  <c r="P226" i="4"/>
  <c r="P257" i="4"/>
  <c r="P411" i="4"/>
  <c r="P358" i="4"/>
  <c r="P305" i="4"/>
  <c r="P467" i="4"/>
  <c r="P463" i="4"/>
  <c r="P478" i="4"/>
  <c r="P432" i="4"/>
  <c r="P480" i="4"/>
  <c r="P316" i="4"/>
  <c r="P482" i="4"/>
  <c r="P462" i="4"/>
  <c r="P496" i="4"/>
  <c r="P277" i="4"/>
  <c r="P272" i="4"/>
  <c r="P253" i="4"/>
  <c r="P266" i="4"/>
  <c r="P420" i="4"/>
  <c r="P367" i="4"/>
  <c r="P314" i="4"/>
  <c r="P476" i="4"/>
  <c r="P477" i="4"/>
  <c r="P292" i="4"/>
  <c r="P469" i="4"/>
  <c r="P309" i="4"/>
  <c r="P343" i="4"/>
  <c r="P300" i="4"/>
  <c r="P487" i="4"/>
  <c r="P460" i="4"/>
  <c r="P224" i="4"/>
  <c r="P219" i="4"/>
  <c r="P280" i="4"/>
  <c r="P275" i="4"/>
  <c r="P429" i="4"/>
  <c r="P376" i="4"/>
  <c r="P323" i="4"/>
  <c r="P485" i="4"/>
  <c r="P500" i="4"/>
  <c r="P307" i="4"/>
  <c r="P490" i="4"/>
  <c r="P324" i="4"/>
  <c r="P370" i="4"/>
  <c r="P381" i="4"/>
  <c r="P444" i="4"/>
  <c r="P327" i="4"/>
  <c r="P233" i="4"/>
  <c r="P237" i="4"/>
  <c r="P227" i="4"/>
  <c r="P284" i="4"/>
  <c r="P438" i="4"/>
  <c r="P385" i="4"/>
  <c r="P332" i="4"/>
  <c r="P494" i="4"/>
  <c r="P291" i="4"/>
  <c r="P319" i="4"/>
  <c r="P293" i="4"/>
  <c r="P336" i="4"/>
  <c r="P397" i="4"/>
  <c r="P435" i="4"/>
  <c r="P310" i="4"/>
  <c r="P408" i="4"/>
  <c r="P213" i="4"/>
  <c r="P251" i="4"/>
  <c r="P255" i="4"/>
  <c r="P245" i="4"/>
  <c r="P285" i="4"/>
  <c r="P447" i="4"/>
  <c r="P394" i="4"/>
  <c r="P341" i="4"/>
  <c r="P290" i="4"/>
  <c r="P306" i="4"/>
  <c r="P334" i="4"/>
  <c r="P308" i="4"/>
  <c r="P351" i="4"/>
  <c r="P424" i="4"/>
  <c r="P298" i="4"/>
  <c r="P337" i="4"/>
  <c r="P222" i="4"/>
  <c r="P260" i="4"/>
  <c r="P273" i="4"/>
  <c r="P263" i="4"/>
  <c r="P294" i="4"/>
  <c r="P456" i="4"/>
  <c r="P403" i="4"/>
  <c r="P350" i="4"/>
  <c r="P302" i="4"/>
  <c r="P318" i="4"/>
  <c r="P346" i="4"/>
  <c r="P320" i="4"/>
  <c r="P378" i="4"/>
  <c r="P450" i="4"/>
  <c r="P352" i="4"/>
  <c r="P364" i="4"/>
  <c r="P231" i="4"/>
  <c r="P269" i="4"/>
  <c r="P282" i="4"/>
  <c r="P281" i="4"/>
  <c r="P303" i="4"/>
  <c r="P465" i="4"/>
  <c r="P412" i="4"/>
  <c r="P359" i="4"/>
  <c r="P317" i="4"/>
  <c r="P333" i="4"/>
  <c r="P361" i="4"/>
  <c r="P335" i="4"/>
  <c r="P390" i="4"/>
  <c r="P473" i="4"/>
  <c r="P433" i="4"/>
  <c r="P391" i="4"/>
  <c r="P240" i="4"/>
  <c r="P216" i="4"/>
  <c r="P229" i="4"/>
  <c r="P228" i="4"/>
  <c r="P312" i="4"/>
  <c r="P474" i="4"/>
  <c r="P421" i="4"/>
  <c r="P368" i="4"/>
  <c r="P329" i="4"/>
  <c r="P345" i="4"/>
  <c r="P373" i="4"/>
  <c r="P347" i="4"/>
  <c r="P417" i="4"/>
  <c r="P498" i="4"/>
  <c r="P299" i="4"/>
  <c r="P418" i="4"/>
  <c r="P249" i="4"/>
  <c r="P234" i="4"/>
  <c r="P238" i="4"/>
  <c r="P246" i="4"/>
  <c r="P321" i="4"/>
  <c r="P483" i="4"/>
  <c r="P430" i="4"/>
  <c r="P377" i="4"/>
  <c r="P344" i="4"/>
  <c r="P360" i="4"/>
  <c r="P388" i="4"/>
  <c r="P362" i="4"/>
  <c r="P455" i="4"/>
  <c r="P325" i="4"/>
  <c r="P380" i="4"/>
  <c r="P470" i="4"/>
  <c r="P258" i="4"/>
  <c r="P252" i="4"/>
  <c r="P256" i="4"/>
  <c r="P264" i="4"/>
  <c r="P330" i="4"/>
  <c r="P492" i="4"/>
  <c r="P439" i="4"/>
  <c r="P386" i="4"/>
  <c r="P356" i="4"/>
  <c r="P372" i="4"/>
  <c r="P400" i="4"/>
  <c r="P374" i="4"/>
  <c r="P288" i="4"/>
  <c r="P379" i="4"/>
  <c r="P354" i="4"/>
  <c r="P445" i="4"/>
  <c r="P267" i="4"/>
  <c r="P270" i="4"/>
  <c r="P274" i="4"/>
  <c r="P220" i="4"/>
  <c r="P339" i="4"/>
  <c r="P286" i="4"/>
  <c r="P448" i="4"/>
  <c r="P395" i="4"/>
  <c r="P371" i="4"/>
  <c r="P387" i="4"/>
  <c r="P415" i="4"/>
  <c r="P389" i="4"/>
  <c r="P315" i="4"/>
  <c r="P406" i="4"/>
  <c r="P461" i="4"/>
  <c r="P495" i="4"/>
  <c r="P276" i="4"/>
  <c r="P217" i="4"/>
  <c r="P215" i="4"/>
  <c r="P247" i="4"/>
  <c r="P348" i="4"/>
  <c r="P295" i="4"/>
  <c r="P457" i="4"/>
  <c r="P404" i="4"/>
  <c r="P383" i="4"/>
  <c r="P399" i="4"/>
  <c r="P427" i="4"/>
  <c r="P401" i="4"/>
  <c r="P342" i="4"/>
  <c r="P481" i="4"/>
  <c r="P486" i="4"/>
  <c r="P311" i="4"/>
  <c r="N269" i="4"/>
  <c r="N231" i="4"/>
  <c r="N303" i="4"/>
  <c r="N361" i="4"/>
  <c r="N474" i="4"/>
  <c r="N347" i="4"/>
  <c r="N362" i="4"/>
  <c r="N252" i="4"/>
  <c r="N386" i="4"/>
  <c r="N270" i="4"/>
  <c r="N371" i="4"/>
  <c r="N276" i="4"/>
  <c r="N404" i="4"/>
  <c r="N481" i="4"/>
  <c r="N214" i="4"/>
  <c r="N304" i="4"/>
  <c r="N453" i="4"/>
  <c r="N313" i="4"/>
  <c r="N396" i="4"/>
  <c r="N225" i="4"/>
  <c r="N425" i="4"/>
  <c r="N243" i="4"/>
  <c r="N493" i="4"/>
  <c r="N363" i="4"/>
  <c r="N236" i="4"/>
  <c r="N279" i="4"/>
  <c r="N248" i="4"/>
  <c r="N402" i="4"/>
  <c r="N349" i="4"/>
  <c r="N296" i="4"/>
  <c r="N458" i="4"/>
  <c r="N488" i="4"/>
  <c r="N464" i="4"/>
  <c r="N405" i="4"/>
  <c r="N443" i="4"/>
  <c r="N289" i="4"/>
  <c r="N434" i="4"/>
  <c r="N436" i="4"/>
  <c r="N446" i="4"/>
  <c r="N412" i="4"/>
  <c r="N390" i="4"/>
  <c r="N345" i="4"/>
  <c r="N299" i="4"/>
  <c r="N234" i="4"/>
  <c r="N377" i="4"/>
  <c r="N325" i="4"/>
  <c r="N258" i="4"/>
  <c r="N492" i="4"/>
  <c r="N372" i="4"/>
  <c r="N374" i="4"/>
  <c r="N354" i="4"/>
  <c r="N220" i="4"/>
  <c r="N395" i="4"/>
  <c r="N461" i="4"/>
  <c r="N348" i="4"/>
  <c r="N401" i="4"/>
  <c r="N311" i="4"/>
  <c r="N357" i="4"/>
  <c r="N413" i="4"/>
  <c r="N499" i="4"/>
  <c r="N223" i="4"/>
  <c r="N283" i="4"/>
  <c r="N422" i="4"/>
  <c r="N328" i="4"/>
  <c r="N232" i="4"/>
  <c r="N221" i="4"/>
  <c r="N452" i="4"/>
  <c r="N489" i="4"/>
  <c r="N472" i="4"/>
  <c r="N239" i="4"/>
  <c r="N449" i="4"/>
  <c r="N497" i="4"/>
  <c r="N471" i="4"/>
  <c r="N257" i="4"/>
  <c r="N358" i="4"/>
  <c r="N463" i="4"/>
  <c r="N432" i="4"/>
  <c r="N480" i="4"/>
  <c r="N316" i="4"/>
  <c r="N482" i="4"/>
  <c r="N462" i="4"/>
  <c r="N496" i="4"/>
  <c r="N277" i="4"/>
  <c r="N272" i="4"/>
  <c r="N253" i="4"/>
  <c r="N266" i="4"/>
  <c r="N420" i="4"/>
  <c r="N367" i="4"/>
  <c r="N314" i="4"/>
  <c r="N476" i="4"/>
  <c r="N477" i="4"/>
  <c r="N292" i="4"/>
  <c r="N469" i="4"/>
  <c r="N309" i="4"/>
  <c r="N343" i="4"/>
  <c r="N300" i="4"/>
  <c r="N487" i="4"/>
  <c r="N460" i="4"/>
  <c r="N282" i="4"/>
  <c r="N465" i="4"/>
  <c r="N359" i="4"/>
  <c r="N333" i="4"/>
  <c r="N335" i="4"/>
  <c r="N473" i="4"/>
  <c r="N391" i="4"/>
  <c r="N240" i="4"/>
  <c r="N216" i="4"/>
  <c r="N229" i="4"/>
  <c r="N312" i="4"/>
  <c r="N421" i="4"/>
  <c r="N329" i="4"/>
  <c r="N373" i="4"/>
  <c r="N417" i="4"/>
  <c r="N418" i="4"/>
  <c r="N238" i="4"/>
  <c r="N246" i="4"/>
  <c r="N321" i="4"/>
  <c r="N430" i="4"/>
  <c r="N344" i="4"/>
  <c r="N360" i="4"/>
  <c r="N455" i="4"/>
  <c r="N470" i="4"/>
  <c r="N256" i="4"/>
  <c r="N330" i="4"/>
  <c r="N356" i="4"/>
  <c r="N400" i="4"/>
  <c r="N379" i="4"/>
  <c r="N445" i="4"/>
  <c r="N274" i="4"/>
  <c r="N339" i="4"/>
  <c r="N286" i="4"/>
  <c r="N448" i="4"/>
  <c r="N387" i="4"/>
  <c r="N389" i="4"/>
  <c r="N315" i="4"/>
  <c r="N495" i="4"/>
  <c r="N217" i="4"/>
  <c r="N247" i="4"/>
  <c r="N295" i="4"/>
  <c r="N383" i="4"/>
  <c r="N399" i="4"/>
  <c r="N427" i="4"/>
  <c r="N486" i="4"/>
  <c r="N242" i="4"/>
  <c r="N265" i="4"/>
  <c r="N466" i="4"/>
  <c r="N398" i="4"/>
  <c r="N414" i="4"/>
  <c r="N416" i="4"/>
  <c r="N369" i="4"/>
  <c r="N338" i="4"/>
  <c r="N244" i="4"/>
  <c r="N366" i="4"/>
  <c r="N410" i="4"/>
  <c r="N426" i="4"/>
  <c r="N428" i="4"/>
  <c r="N459" i="4"/>
  <c r="N365" i="4"/>
  <c r="N262" i="4"/>
  <c r="N375" i="4"/>
  <c r="N322" i="4"/>
  <c r="N484" i="4"/>
  <c r="N479" i="4"/>
  <c r="N454" i="4"/>
  <c r="N423" i="4"/>
  <c r="N326" i="4"/>
  <c r="N392" i="4"/>
  <c r="N271" i="4"/>
  <c r="N230" i="4"/>
  <c r="N331" i="4"/>
  <c r="N437" i="4"/>
  <c r="N297" i="4"/>
  <c r="N353" i="4"/>
  <c r="N419" i="4"/>
  <c r="N250" i="4"/>
  <c r="N261" i="4"/>
  <c r="N393" i="4"/>
  <c r="N287" i="4"/>
  <c r="N451" i="4"/>
  <c r="N491" i="4"/>
  <c r="N409" i="4"/>
  <c r="N259" i="4"/>
  <c r="N268" i="4"/>
  <c r="N226" i="4"/>
  <c r="N411" i="4"/>
  <c r="N305" i="4"/>
  <c r="N478" i="4"/>
  <c r="N219" i="4"/>
  <c r="N280" i="4"/>
  <c r="N429" i="4"/>
  <c r="N376" i="4"/>
  <c r="N500" i="4"/>
  <c r="N490" i="4"/>
  <c r="N324" i="4"/>
  <c r="N370" i="4"/>
  <c r="N381" i="4"/>
  <c r="N327" i="4"/>
  <c r="N237" i="4"/>
  <c r="N227" i="4"/>
  <c r="N438" i="4"/>
  <c r="N385" i="4"/>
  <c r="N494" i="4"/>
  <c r="N319" i="4"/>
  <c r="N293" i="4"/>
  <c r="N336" i="4"/>
  <c r="N397" i="4"/>
  <c r="N435" i="4"/>
  <c r="N310" i="4"/>
  <c r="N408" i="4"/>
  <c r="N213" i="4"/>
  <c r="N251" i="4"/>
  <c r="N255" i="4"/>
  <c r="N245" i="4"/>
  <c r="N285" i="4"/>
  <c r="N447" i="4"/>
  <c r="N394" i="4"/>
  <c r="N341" i="4"/>
  <c r="N290" i="4"/>
  <c r="N306" i="4"/>
  <c r="N334" i="4"/>
  <c r="N308" i="4"/>
  <c r="N351" i="4"/>
  <c r="N424" i="4"/>
  <c r="N298" i="4"/>
  <c r="N337" i="4"/>
  <c r="N281" i="4"/>
  <c r="N317" i="4"/>
  <c r="N433" i="4"/>
  <c r="N228" i="4"/>
  <c r="N368" i="4"/>
  <c r="N498" i="4"/>
  <c r="N249" i="4"/>
  <c r="N483" i="4"/>
  <c r="N388" i="4"/>
  <c r="N380" i="4"/>
  <c r="N264" i="4"/>
  <c r="N439" i="4"/>
  <c r="N288" i="4"/>
  <c r="N267" i="4"/>
  <c r="N415" i="4"/>
  <c r="N406" i="4"/>
  <c r="N215" i="4"/>
  <c r="N457" i="4"/>
  <c r="N342" i="4"/>
  <c r="N235" i="4"/>
  <c r="N301" i="4"/>
  <c r="N278" i="4"/>
  <c r="N475" i="4"/>
  <c r="N442" i="4"/>
  <c r="N431" i="4"/>
  <c r="N355" i="4"/>
  <c r="N241" i="4"/>
  <c r="N384" i="4"/>
  <c r="N440" i="4"/>
  <c r="N468" i="4"/>
  <c r="N382" i="4"/>
  <c r="N218" i="4"/>
  <c r="N340" i="4"/>
  <c r="N441" i="4"/>
  <c r="N407" i="4"/>
  <c r="N254" i="4"/>
  <c r="N467" i="4"/>
  <c r="N224" i="4"/>
  <c r="N275" i="4"/>
  <c r="N323" i="4"/>
  <c r="N485" i="4"/>
  <c r="N307" i="4"/>
  <c r="N444" i="4"/>
  <c r="N233" i="4"/>
  <c r="N284" i="4"/>
  <c r="N332" i="4"/>
  <c r="N291" i="4"/>
  <c r="N222" i="4"/>
  <c r="N260" i="4"/>
  <c r="N273" i="4"/>
  <c r="N263" i="4"/>
  <c r="N294" i="4"/>
  <c r="N456" i="4"/>
  <c r="N403" i="4"/>
  <c r="N350" i="4"/>
  <c r="N302" i="4"/>
  <c r="N318" i="4"/>
  <c r="N346" i="4"/>
  <c r="N320" i="4"/>
  <c r="N378" i="4"/>
  <c r="N450" i="4"/>
  <c r="N352" i="4"/>
  <c r="N364" i="4"/>
  <c r="L231" i="4"/>
  <c r="L269" i="4"/>
  <c r="L282" i="4"/>
  <c r="L281" i="4"/>
  <c r="L303" i="4"/>
  <c r="L465" i="4"/>
  <c r="L412" i="4"/>
  <c r="L359" i="4"/>
  <c r="L317" i="4"/>
  <c r="L333" i="4"/>
  <c r="L361" i="4"/>
  <c r="L335" i="4"/>
  <c r="L390" i="4"/>
  <c r="L473" i="4"/>
  <c r="L433" i="4"/>
  <c r="L391" i="4"/>
  <c r="L240" i="4"/>
  <c r="L216" i="4"/>
  <c r="L229" i="4"/>
  <c r="L228" i="4"/>
  <c r="L312" i="4"/>
  <c r="L474" i="4"/>
  <c r="L421" i="4"/>
  <c r="L368" i="4"/>
  <c r="L329" i="4"/>
  <c r="L345" i="4"/>
  <c r="L373" i="4"/>
  <c r="L347" i="4"/>
  <c r="L417" i="4"/>
  <c r="L498" i="4"/>
  <c r="L299" i="4"/>
  <c r="L418" i="4"/>
  <c r="L249" i="4"/>
  <c r="L234" i="4"/>
  <c r="L238" i="4"/>
  <c r="L246" i="4"/>
  <c r="L321" i="4"/>
  <c r="L483" i="4"/>
  <c r="L430" i="4"/>
  <c r="L377" i="4"/>
  <c r="L344" i="4"/>
  <c r="L360" i="4"/>
  <c r="L388" i="4"/>
  <c r="L362" i="4"/>
  <c r="L455" i="4"/>
  <c r="L325" i="4"/>
  <c r="L380" i="4"/>
  <c r="L470" i="4"/>
  <c r="L258" i="4"/>
  <c r="L252" i="4"/>
  <c r="L256" i="4"/>
  <c r="L264" i="4"/>
  <c r="L330" i="4"/>
  <c r="L492" i="4"/>
  <c r="L439" i="4"/>
  <c r="L386" i="4"/>
  <c r="L356" i="4"/>
  <c r="L372" i="4"/>
  <c r="L400" i="4"/>
  <c r="L374" i="4"/>
  <c r="L288" i="4"/>
  <c r="L379" i="4"/>
  <c r="L354" i="4"/>
  <c r="L445" i="4"/>
  <c r="L267" i="4"/>
  <c r="L270" i="4"/>
  <c r="L274" i="4"/>
  <c r="L220" i="4"/>
  <c r="L339" i="4"/>
  <c r="L286" i="4"/>
  <c r="L448" i="4"/>
  <c r="L395" i="4"/>
  <c r="L371" i="4"/>
  <c r="L387" i="4"/>
  <c r="L415" i="4"/>
  <c r="L389" i="4"/>
  <c r="L315" i="4"/>
  <c r="L406" i="4"/>
  <c r="L461" i="4"/>
  <c r="L495" i="4"/>
  <c r="L276" i="4"/>
  <c r="L217" i="4"/>
  <c r="L215" i="4"/>
  <c r="L247" i="4"/>
  <c r="L348" i="4"/>
  <c r="L295" i="4"/>
  <c r="L457" i="4"/>
  <c r="L404" i="4"/>
  <c r="L383" i="4"/>
  <c r="L399" i="4"/>
  <c r="L427" i="4"/>
  <c r="L401" i="4"/>
  <c r="L342" i="4"/>
  <c r="L481" i="4"/>
  <c r="L486" i="4"/>
  <c r="L311" i="4"/>
  <c r="L214" i="4"/>
  <c r="L235" i="4"/>
  <c r="L242" i="4"/>
  <c r="L265" i="4"/>
  <c r="L357" i="4"/>
  <c r="L304" i="4"/>
  <c r="L466" i="4"/>
  <c r="L413" i="4"/>
  <c r="L398" i="4"/>
  <c r="L414" i="4"/>
  <c r="L453" i="4"/>
  <c r="L416" i="4"/>
  <c r="L369" i="4"/>
  <c r="L499" i="4"/>
  <c r="L301" i="4"/>
  <c r="L338" i="4"/>
  <c r="L223" i="4"/>
  <c r="L244" i="4"/>
  <c r="L278" i="4"/>
  <c r="L283" i="4"/>
  <c r="L366" i="4"/>
  <c r="L313" i="4"/>
  <c r="L475" i="4"/>
  <c r="L422" i="4"/>
  <c r="L410" i="4"/>
  <c r="L426" i="4"/>
  <c r="L442" i="4"/>
  <c r="L428" i="4"/>
  <c r="L396" i="4"/>
  <c r="L459" i="4"/>
  <c r="L328" i="4"/>
  <c r="L365" i="4"/>
  <c r="L232" i="4"/>
  <c r="L262" i="4"/>
  <c r="L225" i="4"/>
  <c r="L221" i="4"/>
  <c r="L375" i="4"/>
  <c r="L322" i="4"/>
  <c r="L484" i="4"/>
  <c r="L431" i="4"/>
  <c r="L425" i="4"/>
  <c r="L452" i="4"/>
  <c r="L479" i="4"/>
  <c r="L454" i="4"/>
  <c r="L423" i="4"/>
  <c r="L326" i="4"/>
  <c r="L355" i="4"/>
  <c r="L392" i="4"/>
  <c r="L241" i="4"/>
  <c r="L271" i="4"/>
  <c r="L243" i="4"/>
  <c r="L230" i="4"/>
  <c r="L384" i="4"/>
  <c r="L331" i="4"/>
  <c r="L493" i="4"/>
  <c r="L440" i="4"/>
  <c r="L437" i="4"/>
  <c r="L489" i="4"/>
  <c r="L297" i="4"/>
  <c r="L468" i="4"/>
  <c r="L472" i="4"/>
  <c r="L353" i="4"/>
  <c r="L382" i="4"/>
  <c r="L419" i="4"/>
  <c r="L250" i="4"/>
  <c r="L218" i="4"/>
  <c r="L261" i="4"/>
  <c r="L239" i="4"/>
  <c r="L393" i="4"/>
  <c r="L340" i="4"/>
  <c r="L287" i="4"/>
  <c r="L449" i="4"/>
  <c r="L451" i="4"/>
  <c r="L441" i="4"/>
  <c r="L363" i="4"/>
  <c r="L491" i="4"/>
  <c r="L497" i="4"/>
  <c r="L407" i="4"/>
  <c r="L409" i="4"/>
  <c r="L471" i="4"/>
  <c r="L259" i="4"/>
  <c r="L236" i="4"/>
  <c r="L279" i="4"/>
  <c r="L248" i="4"/>
  <c r="L402" i="4"/>
  <c r="L349" i="4"/>
  <c r="L296" i="4"/>
  <c r="L458" i="4"/>
  <c r="L488" i="4"/>
  <c r="L464" i="4"/>
  <c r="L405" i="4"/>
  <c r="L443" i="4"/>
  <c r="L289" i="4"/>
  <c r="L434" i="4"/>
  <c r="L436" i="4"/>
  <c r="L446" i="4"/>
  <c r="L268" i="4"/>
  <c r="L254" i="4"/>
  <c r="L226" i="4"/>
  <c r="L257" i="4"/>
  <c r="L411" i="4"/>
  <c r="L358" i="4"/>
  <c r="L305" i="4"/>
  <c r="L467" i="4"/>
  <c r="L463" i="4"/>
  <c r="L478" i="4"/>
  <c r="L432" i="4"/>
  <c r="L480" i="4"/>
  <c r="L316" i="4"/>
  <c r="L482" i="4"/>
  <c r="L462" i="4"/>
  <c r="L496" i="4"/>
  <c r="L277" i="4"/>
  <c r="L272" i="4"/>
  <c r="L253" i="4"/>
  <c r="L266" i="4"/>
  <c r="L420" i="4"/>
  <c r="L367" i="4"/>
  <c r="L314" i="4"/>
  <c r="L476" i="4"/>
  <c r="L477" i="4"/>
  <c r="L292" i="4"/>
  <c r="L469" i="4"/>
  <c r="L309" i="4"/>
  <c r="L343" i="4"/>
  <c r="L300" i="4"/>
  <c r="L487" i="4"/>
  <c r="L460" i="4"/>
  <c r="L224" i="4"/>
  <c r="L219" i="4"/>
  <c r="L280" i="4"/>
  <c r="L275" i="4"/>
  <c r="L429" i="4"/>
  <c r="L376" i="4"/>
  <c r="L323" i="4"/>
  <c r="L485" i="4"/>
  <c r="L500" i="4"/>
  <c r="L307" i="4"/>
  <c r="L490" i="4"/>
  <c r="L324" i="4"/>
  <c r="L370" i="4"/>
  <c r="L381" i="4"/>
  <c r="L444" i="4"/>
  <c r="L327" i="4"/>
  <c r="L233" i="4"/>
  <c r="L237" i="4"/>
  <c r="L227" i="4"/>
  <c r="L284" i="4"/>
  <c r="L438" i="4"/>
  <c r="L385" i="4"/>
  <c r="L332" i="4"/>
  <c r="L494" i="4"/>
  <c r="L291" i="4"/>
  <c r="L319" i="4"/>
  <c r="L293" i="4"/>
  <c r="L336" i="4"/>
  <c r="L397" i="4"/>
  <c r="L435" i="4"/>
  <c r="L310" i="4"/>
  <c r="L408" i="4"/>
  <c r="L213" i="4"/>
  <c r="L251" i="4"/>
  <c r="L255" i="4"/>
  <c r="L245" i="4"/>
  <c r="L285" i="4"/>
  <c r="L447" i="4"/>
  <c r="L394" i="4"/>
  <c r="L341" i="4"/>
  <c r="L290" i="4"/>
  <c r="L306" i="4"/>
  <c r="L334" i="4"/>
  <c r="L308" i="4"/>
  <c r="L351" i="4"/>
  <c r="L424" i="4"/>
  <c r="L298" i="4"/>
  <c r="L337" i="4"/>
  <c r="L222" i="4"/>
  <c r="L260" i="4"/>
  <c r="L273" i="4"/>
  <c r="L263" i="4"/>
  <c r="L294" i="4"/>
  <c r="L456" i="4"/>
  <c r="L403" i="4"/>
  <c r="L350" i="4"/>
  <c r="L302" i="4"/>
  <c r="L318" i="4"/>
  <c r="L346" i="4"/>
  <c r="L320" i="4"/>
  <c r="L378" i="4"/>
  <c r="L450" i="4"/>
  <c r="L352" i="4"/>
  <c r="L364" i="4"/>
  <c r="J231" i="4"/>
  <c r="J303" i="4"/>
  <c r="J390" i="4"/>
  <c r="J216" i="4"/>
  <c r="J312" i="4"/>
  <c r="J329" i="4"/>
  <c r="J347" i="4"/>
  <c r="J498" i="4"/>
  <c r="J238" i="4"/>
  <c r="J377" i="4"/>
  <c r="J360" i="4"/>
  <c r="J325" i="4"/>
  <c r="J252" i="4"/>
  <c r="J330" i="4"/>
  <c r="J372" i="4"/>
  <c r="J445" i="4"/>
  <c r="J286" i="4"/>
  <c r="J371" i="4"/>
  <c r="J315" i="4"/>
  <c r="J276" i="4"/>
  <c r="J404" i="4"/>
  <c r="J401" i="4"/>
  <c r="J214" i="4"/>
  <c r="J413" i="4"/>
  <c r="J414" i="4"/>
  <c r="J301" i="4"/>
  <c r="J244" i="4"/>
  <c r="J475" i="4"/>
  <c r="J396" i="4"/>
  <c r="J322" i="4"/>
  <c r="J326" i="4"/>
  <c r="J241" i="4"/>
  <c r="J384" i="4"/>
  <c r="J489" i="4"/>
  <c r="J382" i="4"/>
  <c r="J239" i="4"/>
  <c r="J363" i="4"/>
  <c r="J471" i="4"/>
  <c r="J259" i="4"/>
  <c r="J236" i="4"/>
  <c r="J279" i="4"/>
  <c r="J248" i="4"/>
  <c r="J402" i="4"/>
  <c r="J349" i="4"/>
  <c r="J296" i="4"/>
  <c r="J458" i="4"/>
  <c r="J488" i="4"/>
  <c r="J464" i="4"/>
  <c r="J405" i="4"/>
  <c r="J443" i="4"/>
  <c r="J289" i="4"/>
  <c r="J434" i="4"/>
  <c r="J436" i="4"/>
  <c r="J446" i="4"/>
  <c r="J317" i="4"/>
  <c r="J335" i="4"/>
  <c r="J240" i="4"/>
  <c r="J421" i="4"/>
  <c r="J373" i="4"/>
  <c r="J417" i="4"/>
  <c r="J249" i="4"/>
  <c r="J246" i="4"/>
  <c r="J344" i="4"/>
  <c r="J455" i="4"/>
  <c r="J439" i="4"/>
  <c r="J379" i="4"/>
  <c r="J270" i="4"/>
  <c r="J448" i="4"/>
  <c r="J387" i="4"/>
  <c r="J461" i="4"/>
  <c r="J247" i="4"/>
  <c r="J383" i="4"/>
  <c r="J342" i="4"/>
  <c r="J242" i="4"/>
  <c r="J466" i="4"/>
  <c r="J398" i="4"/>
  <c r="J453" i="4"/>
  <c r="J338" i="4"/>
  <c r="J283" i="4"/>
  <c r="J422" i="4"/>
  <c r="J426" i="4"/>
  <c r="J365" i="4"/>
  <c r="J221" i="4"/>
  <c r="J431" i="4"/>
  <c r="J479" i="4"/>
  <c r="J355" i="4"/>
  <c r="J271" i="4"/>
  <c r="J331" i="4"/>
  <c r="J297" i="4"/>
  <c r="J353" i="4"/>
  <c r="J218" i="4"/>
  <c r="J340" i="4"/>
  <c r="J287" i="4"/>
  <c r="J449" i="4"/>
  <c r="J451" i="4"/>
  <c r="J441" i="4"/>
  <c r="J491" i="4"/>
  <c r="J497" i="4"/>
  <c r="J407" i="4"/>
  <c r="J409" i="4"/>
  <c r="J268" i="4"/>
  <c r="J254" i="4"/>
  <c r="J226" i="4"/>
  <c r="J257" i="4"/>
  <c r="J411" i="4"/>
  <c r="J358" i="4"/>
  <c r="J305" i="4"/>
  <c r="J467" i="4"/>
  <c r="J463" i="4"/>
  <c r="J478" i="4"/>
  <c r="J432" i="4"/>
  <c r="J480" i="4"/>
  <c r="J316" i="4"/>
  <c r="J482" i="4"/>
  <c r="J462" i="4"/>
  <c r="J496" i="4"/>
  <c r="J277" i="4"/>
  <c r="J272" i="4"/>
  <c r="J253" i="4"/>
  <c r="J266" i="4"/>
  <c r="J420" i="4"/>
  <c r="J367" i="4"/>
  <c r="J314" i="4"/>
  <c r="J476" i="4"/>
  <c r="J477" i="4"/>
  <c r="J292" i="4"/>
  <c r="J469" i="4"/>
  <c r="J309" i="4"/>
  <c r="J343" i="4"/>
  <c r="J300" i="4"/>
  <c r="J487" i="4"/>
  <c r="J460" i="4"/>
  <c r="J269" i="4"/>
  <c r="J359" i="4"/>
  <c r="J333" i="4"/>
  <c r="J473" i="4"/>
  <c r="J229" i="4"/>
  <c r="J474" i="4"/>
  <c r="J345" i="4"/>
  <c r="J483" i="4"/>
  <c r="J470" i="4"/>
  <c r="J256" i="4"/>
  <c r="J492" i="4"/>
  <c r="J288" i="4"/>
  <c r="J267" i="4"/>
  <c r="J339" i="4"/>
  <c r="J415" i="4"/>
  <c r="J495" i="4"/>
  <c r="J348" i="4"/>
  <c r="J295" i="4"/>
  <c r="J399" i="4"/>
  <c r="J311" i="4"/>
  <c r="J265" i="4"/>
  <c r="J304" i="4"/>
  <c r="J369" i="4"/>
  <c r="J278" i="4"/>
  <c r="J459" i="4"/>
  <c r="J262" i="4"/>
  <c r="J423" i="4"/>
  <c r="J230" i="4"/>
  <c r="J493" i="4"/>
  <c r="J440" i="4"/>
  <c r="J468" i="4"/>
  <c r="J250" i="4"/>
  <c r="J261" i="4"/>
  <c r="J393" i="4"/>
  <c r="J224" i="4"/>
  <c r="J219" i="4"/>
  <c r="J429" i="4"/>
  <c r="J323" i="4"/>
  <c r="J500" i="4"/>
  <c r="J307" i="4"/>
  <c r="J324" i="4"/>
  <c r="J327" i="4"/>
  <c r="J284" i="4"/>
  <c r="J438" i="4"/>
  <c r="J385" i="4"/>
  <c r="J332" i="4"/>
  <c r="J494" i="4"/>
  <c r="J291" i="4"/>
  <c r="J319" i="4"/>
  <c r="J293" i="4"/>
  <c r="J336" i="4"/>
  <c r="J397" i="4"/>
  <c r="J435" i="4"/>
  <c r="J310" i="4"/>
  <c r="J408" i="4"/>
  <c r="J282" i="4"/>
  <c r="J465" i="4"/>
  <c r="J361" i="4"/>
  <c r="J391" i="4"/>
  <c r="J228" i="4"/>
  <c r="J368" i="4"/>
  <c r="J299" i="4"/>
  <c r="J418" i="4"/>
  <c r="J234" i="4"/>
  <c r="J430" i="4"/>
  <c r="J388" i="4"/>
  <c r="J380" i="4"/>
  <c r="J356" i="4"/>
  <c r="J400" i="4"/>
  <c r="J354" i="4"/>
  <c r="J220" i="4"/>
  <c r="J395" i="4"/>
  <c r="J406" i="4"/>
  <c r="J215" i="4"/>
  <c r="J457" i="4"/>
  <c r="J427" i="4"/>
  <c r="J486" i="4"/>
  <c r="J235" i="4"/>
  <c r="J416" i="4"/>
  <c r="J223" i="4"/>
  <c r="J366" i="4"/>
  <c r="J410" i="4"/>
  <c r="J442" i="4"/>
  <c r="J328" i="4"/>
  <c r="J225" i="4"/>
  <c r="J375" i="4"/>
  <c r="J484" i="4"/>
  <c r="J425" i="4"/>
  <c r="J454" i="4"/>
  <c r="J392" i="4"/>
  <c r="J243" i="4"/>
  <c r="J437" i="4"/>
  <c r="J472" i="4"/>
  <c r="J280" i="4"/>
  <c r="J275" i="4"/>
  <c r="J376" i="4"/>
  <c r="J485" i="4"/>
  <c r="J490" i="4"/>
  <c r="J370" i="4"/>
  <c r="J381" i="4"/>
  <c r="J233" i="4"/>
  <c r="J237" i="4"/>
  <c r="J251" i="4"/>
  <c r="J245" i="4"/>
  <c r="J285" i="4"/>
  <c r="J447" i="4"/>
  <c r="J394" i="4"/>
  <c r="J341" i="4"/>
  <c r="J290" i="4"/>
  <c r="J306" i="4"/>
  <c r="J334" i="4"/>
  <c r="J308" i="4"/>
  <c r="J351" i="4"/>
  <c r="J424" i="4"/>
  <c r="J298" i="4"/>
  <c r="J337" i="4"/>
  <c r="J281" i="4"/>
  <c r="J412" i="4"/>
  <c r="J433" i="4"/>
  <c r="J321" i="4"/>
  <c r="J362" i="4"/>
  <c r="J258" i="4"/>
  <c r="J264" i="4"/>
  <c r="J386" i="4"/>
  <c r="J374" i="4"/>
  <c r="J274" i="4"/>
  <c r="J389" i="4"/>
  <c r="J217" i="4"/>
  <c r="J481" i="4"/>
  <c r="J357" i="4"/>
  <c r="J499" i="4"/>
  <c r="J313" i="4"/>
  <c r="J428" i="4"/>
  <c r="J232" i="4"/>
  <c r="J452" i="4"/>
  <c r="J419" i="4"/>
  <c r="J444" i="4"/>
  <c r="J227" i="4"/>
  <c r="J213" i="4"/>
  <c r="J255" i="4"/>
  <c r="J222" i="4"/>
  <c r="J260" i="4"/>
  <c r="J273" i="4"/>
  <c r="J263" i="4"/>
  <c r="J294" i="4"/>
  <c r="J456" i="4"/>
  <c r="J403" i="4"/>
  <c r="J350" i="4"/>
  <c r="J302" i="4"/>
  <c r="J318" i="4"/>
  <c r="J346" i="4"/>
  <c r="J320" i="4"/>
  <c r="J378" i="4"/>
  <c r="J450" i="4"/>
  <c r="J352" i="4"/>
  <c r="J364" i="4"/>
  <c r="H231" i="4"/>
  <c r="H433" i="4"/>
  <c r="H240" i="4"/>
  <c r="H229" i="4"/>
  <c r="H312" i="4"/>
  <c r="H421" i="4"/>
  <c r="H329" i="4"/>
  <c r="H373" i="4"/>
  <c r="H417" i="4"/>
  <c r="H299" i="4"/>
  <c r="H249" i="4"/>
  <c r="H238" i="4"/>
  <c r="H430" i="4"/>
  <c r="H344" i="4"/>
  <c r="H388" i="4"/>
  <c r="H455" i="4"/>
  <c r="H380" i="4"/>
  <c r="H258" i="4"/>
  <c r="H256" i="4"/>
  <c r="H330" i="4"/>
  <c r="H439" i="4"/>
  <c r="H356" i="4"/>
  <c r="H400" i="4"/>
  <c r="H288" i="4"/>
  <c r="H354" i="4"/>
  <c r="H267" i="4"/>
  <c r="H274" i="4"/>
  <c r="H339" i="4"/>
  <c r="H448" i="4"/>
  <c r="H387" i="4"/>
  <c r="H389" i="4"/>
  <c r="H461" i="4"/>
  <c r="H276" i="4"/>
  <c r="H215" i="4"/>
  <c r="H348" i="4"/>
  <c r="H457" i="4"/>
  <c r="H383" i="4"/>
  <c r="H427" i="4"/>
  <c r="H342" i="4"/>
  <c r="H486" i="4"/>
  <c r="H214" i="4"/>
  <c r="H242" i="4"/>
  <c r="H357" i="4"/>
  <c r="H466" i="4"/>
  <c r="H398" i="4"/>
  <c r="H453" i="4"/>
  <c r="H369" i="4"/>
  <c r="H338" i="4"/>
  <c r="H244" i="4"/>
  <c r="H283" i="4"/>
  <c r="H313" i="4"/>
  <c r="H422" i="4"/>
  <c r="H426" i="4"/>
  <c r="H428" i="4"/>
  <c r="H459" i="4"/>
  <c r="H365" i="4"/>
  <c r="H262" i="4"/>
  <c r="H221" i="4"/>
  <c r="H322" i="4"/>
  <c r="H431" i="4"/>
  <c r="H452" i="4"/>
  <c r="H423" i="4"/>
  <c r="H355" i="4"/>
  <c r="H241" i="4"/>
  <c r="H230" i="4"/>
  <c r="H331" i="4"/>
  <c r="H440" i="4"/>
  <c r="H489" i="4"/>
  <c r="H297" i="4"/>
  <c r="H468" i="4"/>
  <c r="H472" i="4"/>
  <c r="H353" i="4"/>
  <c r="H382" i="4"/>
  <c r="H419" i="4"/>
  <c r="H250" i="4"/>
  <c r="H218" i="4"/>
  <c r="H261" i="4"/>
  <c r="H239" i="4"/>
  <c r="H393" i="4"/>
  <c r="H340" i="4"/>
  <c r="H287" i="4"/>
  <c r="H449" i="4"/>
  <c r="H451" i="4"/>
  <c r="H441" i="4"/>
  <c r="H363" i="4"/>
  <c r="H491" i="4"/>
  <c r="H497" i="4"/>
  <c r="H407" i="4"/>
  <c r="H409" i="4"/>
  <c r="H471" i="4"/>
  <c r="H259" i="4"/>
  <c r="H236" i="4"/>
  <c r="H279" i="4"/>
  <c r="H248" i="4"/>
  <c r="H402" i="4"/>
  <c r="H349" i="4"/>
  <c r="H296" i="4"/>
  <c r="H458" i="4"/>
  <c r="H488" i="4"/>
  <c r="H464" i="4"/>
  <c r="H405" i="4"/>
  <c r="H443" i="4"/>
  <c r="H289" i="4"/>
  <c r="H434" i="4"/>
  <c r="H436" i="4"/>
  <c r="H446" i="4"/>
  <c r="H268" i="4"/>
  <c r="H254" i="4"/>
  <c r="H226" i="4"/>
  <c r="H257" i="4"/>
  <c r="H411" i="4"/>
  <c r="H358" i="4"/>
  <c r="H305" i="4"/>
  <c r="H467" i="4"/>
  <c r="H463" i="4"/>
  <c r="H478" i="4"/>
  <c r="H432" i="4"/>
  <c r="H480" i="4"/>
  <c r="H316" i="4"/>
  <c r="H482" i="4"/>
  <c r="H462" i="4"/>
  <c r="H496" i="4"/>
  <c r="H277" i="4"/>
  <c r="H272" i="4"/>
  <c r="H253" i="4"/>
  <c r="H266" i="4"/>
  <c r="H420" i="4"/>
  <c r="H367" i="4"/>
  <c r="H314" i="4"/>
  <c r="H476" i="4"/>
  <c r="H477" i="4"/>
  <c r="H292" i="4"/>
  <c r="H469" i="4"/>
  <c r="H309" i="4"/>
  <c r="H343" i="4"/>
  <c r="H300" i="4"/>
  <c r="H487" i="4"/>
  <c r="H460" i="4"/>
  <c r="H269" i="4"/>
  <c r="H282" i="4"/>
  <c r="H281" i="4"/>
  <c r="H303" i="4"/>
  <c r="H465" i="4"/>
  <c r="H412" i="4"/>
  <c r="H359" i="4"/>
  <c r="H317" i="4"/>
  <c r="H333" i="4"/>
  <c r="H361" i="4"/>
  <c r="H335" i="4"/>
  <c r="H390" i="4"/>
  <c r="H473" i="4"/>
  <c r="H391" i="4"/>
  <c r="H216" i="4"/>
  <c r="H228" i="4"/>
  <c r="H474" i="4"/>
  <c r="H368" i="4"/>
  <c r="H345" i="4"/>
  <c r="H347" i="4"/>
  <c r="H498" i="4"/>
  <c r="H418" i="4"/>
  <c r="H234" i="4"/>
  <c r="H246" i="4"/>
  <c r="H321" i="4"/>
  <c r="H483" i="4"/>
  <c r="H377" i="4"/>
  <c r="H360" i="4"/>
  <c r="H362" i="4"/>
  <c r="H325" i="4"/>
  <c r="H470" i="4"/>
  <c r="H252" i="4"/>
  <c r="H264" i="4"/>
  <c r="H492" i="4"/>
  <c r="H386" i="4"/>
  <c r="H372" i="4"/>
  <c r="H374" i="4"/>
  <c r="H379" i="4"/>
  <c r="H445" i="4"/>
  <c r="H270" i="4"/>
  <c r="H220" i="4"/>
  <c r="H286" i="4"/>
  <c r="H395" i="4"/>
  <c r="H371" i="4"/>
  <c r="H415" i="4"/>
  <c r="H315" i="4"/>
  <c r="H406" i="4"/>
  <c r="H495" i="4"/>
  <c r="H217" i="4"/>
  <c r="H247" i="4"/>
  <c r="H295" i="4"/>
  <c r="H404" i="4"/>
  <c r="H399" i="4"/>
  <c r="H401" i="4"/>
  <c r="H481" i="4"/>
  <c r="H311" i="4"/>
  <c r="H235" i="4"/>
  <c r="H265" i="4"/>
  <c r="H304" i="4"/>
  <c r="H413" i="4"/>
  <c r="H414" i="4"/>
  <c r="H416" i="4"/>
  <c r="H499" i="4"/>
  <c r="H301" i="4"/>
  <c r="H223" i="4"/>
  <c r="H278" i="4"/>
  <c r="H366" i="4"/>
  <c r="H475" i="4"/>
  <c r="H410" i="4"/>
  <c r="H442" i="4"/>
  <c r="H396" i="4"/>
  <c r="H328" i="4"/>
  <c r="H232" i="4"/>
  <c r="H225" i="4"/>
  <c r="H375" i="4"/>
  <c r="H484" i="4"/>
  <c r="H425" i="4"/>
  <c r="H479" i="4"/>
  <c r="H454" i="4"/>
  <c r="H326" i="4"/>
  <c r="H392" i="4"/>
  <c r="H271" i="4"/>
  <c r="H243" i="4"/>
  <c r="H384" i="4"/>
  <c r="H493" i="4"/>
  <c r="H437" i="4"/>
  <c r="H224" i="4"/>
  <c r="H219" i="4"/>
  <c r="H280" i="4"/>
  <c r="H275" i="4"/>
  <c r="H429" i="4"/>
  <c r="H376" i="4"/>
  <c r="H323" i="4"/>
  <c r="H485" i="4"/>
  <c r="H500" i="4"/>
  <c r="H307" i="4"/>
  <c r="H490" i="4"/>
  <c r="H324" i="4"/>
  <c r="H370" i="4"/>
  <c r="H381" i="4"/>
  <c r="H444" i="4"/>
  <c r="H327" i="4"/>
  <c r="H233" i="4"/>
  <c r="H237" i="4"/>
  <c r="H227" i="4"/>
  <c r="H284" i="4"/>
  <c r="H438" i="4"/>
  <c r="H385" i="4"/>
  <c r="H332" i="4"/>
  <c r="H494" i="4"/>
  <c r="H291" i="4"/>
  <c r="H319" i="4"/>
  <c r="H293" i="4"/>
  <c r="H336" i="4"/>
  <c r="H397" i="4"/>
  <c r="H435" i="4"/>
  <c r="H310" i="4"/>
  <c r="H408" i="4"/>
  <c r="H213" i="4"/>
  <c r="H251" i="4"/>
  <c r="H255" i="4"/>
  <c r="H245" i="4"/>
  <c r="H285" i="4"/>
  <c r="H447" i="4"/>
  <c r="H394" i="4"/>
  <c r="H341" i="4"/>
  <c r="H290" i="4"/>
  <c r="H306" i="4"/>
  <c r="H334" i="4"/>
  <c r="H308" i="4"/>
  <c r="H351" i="4"/>
  <c r="H424" i="4"/>
  <c r="H298" i="4"/>
  <c r="H337" i="4"/>
  <c r="H222" i="4"/>
  <c r="H260" i="4"/>
  <c r="H273" i="4"/>
  <c r="H263" i="4"/>
  <c r="H294" i="4"/>
  <c r="H456" i="4"/>
  <c r="H403" i="4"/>
  <c r="H350" i="4"/>
  <c r="H302" i="4"/>
  <c r="H318" i="4"/>
  <c r="H346" i="4"/>
  <c r="H320" i="4"/>
  <c r="H378" i="4"/>
  <c r="H450" i="4"/>
  <c r="H352" i="4"/>
  <c r="H364" i="4"/>
  <c r="C299" i="4"/>
  <c r="D424" i="4"/>
  <c r="G498" i="4"/>
  <c r="D380" i="4"/>
  <c r="E461" i="4"/>
  <c r="D461" i="4"/>
  <c r="D341" i="4"/>
  <c r="E320" i="4"/>
  <c r="E364" i="4"/>
  <c r="E321" i="4"/>
  <c r="D483" i="4"/>
  <c r="C344" i="4"/>
  <c r="D455" i="4"/>
  <c r="E455" i="4"/>
  <c r="D492" i="4"/>
  <c r="G492" i="4"/>
  <c r="E386" i="4"/>
  <c r="D374" i="4"/>
  <c r="G379" i="4"/>
  <c r="D339" i="4"/>
  <c r="G286" i="4"/>
  <c r="G448" i="4"/>
  <c r="C448" i="4"/>
  <c r="D395" i="4"/>
  <c r="C387" i="4"/>
  <c r="G387" i="4"/>
  <c r="G415" i="4"/>
  <c r="C415" i="4"/>
  <c r="E495" i="4"/>
  <c r="G348" i="4"/>
  <c r="D348" i="4"/>
  <c r="E295" i="4"/>
  <c r="G457" i="4"/>
  <c r="C457" i="4"/>
  <c r="D457" i="4"/>
  <c r="G404" i="4"/>
  <c r="E404" i="4"/>
  <c r="G383" i="4"/>
  <c r="C383" i="4"/>
  <c r="D399" i="4"/>
  <c r="E427" i="4"/>
  <c r="D427" i="4"/>
  <c r="D401" i="4"/>
  <c r="C401" i="4"/>
  <c r="D311" i="4"/>
  <c r="G311" i="4"/>
  <c r="C357" i="4"/>
  <c r="E304" i="4"/>
  <c r="G304" i="4"/>
  <c r="E413" i="4"/>
  <c r="G398" i="4"/>
  <c r="G453" i="4"/>
  <c r="G338" i="4"/>
  <c r="C366" i="4"/>
  <c r="D426" i="4"/>
  <c r="G328" i="4"/>
  <c r="C375" i="4"/>
  <c r="D375" i="4"/>
  <c r="D322" i="4"/>
  <c r="C322" i="4"/>
  <c r="C484" i="4"/>
  <c r="C431" i="4"/>
  <c r="E431" i="4"/>
  <c r="G425" i="4"/>
  <c r="E452" i="4"/>
  <c r="G452" i="4"/>
  <c r="D479" i="4"/>
  <c r="G479" i="4"/>
  <c r="G454" i="4"/>
  <c r="D326" i="4"/>
  <c r="C326" i="4"/>
  <c r="E355" i="4"/>
  <c r="D392" i="4"/>
  <c r="E392" i="4"/>
  <c r="D486" i="4"/>
  <c r="C486" i="4"/>
  <c r="C411" i="4"/>
  <c r="C305" i="4"/>
  <c r="C463" i="4"/>
  <c r="D463" i="4"/>
  <c r="E480" i="4"/>
  <c r="G480" i="4"/>
  <c r="D496" i="4"/>
  <c r="E496" i="4"/>
  <c r="G481" i="4"/>
  <c r="D499" i="4"/>
  <c r="G499" i="4"/>
  <c r="D358" i="4"/>
  <c r="G467" i="4"/>
  <c r="D432" i="4"/>
  <c r="G432" i="4"/>
  <c r="E432" i="4"/>
  <c r="E316" i="4"/>
  <c r="D316" i="4"/>
  <c r="G476" i="4"/>
  <c r="E476" i="4"/>
  <c r="D476" i="4"/>
  <c r="D367" i="4"/>
  <c r="E367" i="4"/>
  <c r="C314" i="4"/>
  <c r="D314" i="4"/>
  <c r="G314" i="4"/>
  <c r="G477" i="4"/>
  <c r="G292" i="4"/>
  <c r="C292" i="4"/>
  <c r="D292" i="4"/>
  <c r="G469" i="4"/>
  <c r="E469" i="4"/>
  <c r="C469" i="4"/>
  <c r="D309" i="4"/>
  <c r="G343" i="4"/>
  <c r="G300" i="4"/>
  <c r="D487" i="4"/>
  <c r="G487" i="4"/>
  <c r="C460" i="4"/>
  <c r="D460" i="4"/>
  <c r="G419" i="4"/>
  <c r="D419" i="4"/>
  <c r="E419" i="4"/>
  <c r="C419" i="4"/>
  <c r="G384" i="4"/>
  <c r="E384" i="4"/>
  <c r="G331" i="4"/>
  <c r="C331" i="4"/>
  <c r="D331" i="4"/>
  <c r="E331" i="4"/>
  <c r="G493" i="4"/>
  <c r="C493" i="4"/>
  <c r="D493" i="4"/>
  <c r="E493" i="4"/>
  <c r="E440" i="4"/>
  <c r="D440" i="4"/>
  <c r="G440" i="4"/>
  <c r="C440" i="4"/>
  <c r="D437" i="4"/>
  <c r="E437" i="4"/>
  <c r="C437" i="4"/>
  <c r="G437" i="4"/>
  <c r="C489" i="4"/>
  <c r="D489" i="4"/>
  <c r="E489" i="4"/>
  <c r="C297" i="4"/>
  <c r="E297" i="4"/>
  <c r="D297" i="4"/>
  <c r="G297" i="4"/>
  <c r="D468" i="4"/>
  <c r="E468" i="4"/>
  <c r="C468" i="4"/>
  <c r="G468" i="4"/>
  <c r="C472" i="4"/>
  <c r="E472" i="4"/>
  <c r="D472" i="4"/>
  <c r="C353" i="4"/>
  <c r="G353" i="4"/>
  <c r="D353" i="4"/>
  <c r="E353" i="4"/>
  <c r="C382" i="4"/>
  <c r="E382" i="4"/>
  <c r="G382" i="4"/>
  <c r="D382" i="4"/>
  <c r="D429" i="4"/>
  <c r="C429" i="4"/>
  <c r="E429" i="4"/>
  <c r="G429" i="4"/>
  <c r="G376" i="4"/>
  <c r="E376" i="4"/>
  <c r="C376" i="4"/>
  <c r="D376" i="4"/>
  <c r="C323" i="4"/>
  <c r="E323" i="4"/>
  <c r="G323" i="4"/>
  <c r="D323" i="4"/>
  <c r="E485" i="4"/>
  <c r="D485" i="4"/>
  <c r="C485" i="4"/>
  <c r="G485" i="4"/>
  <c r="G500" i="4"/>
  <c r="D500" i="4"/>
  <c r="E500" i="4"/>
  <c r="C500" i="4"/>
  <c r="C307" i="4"/>
  <c r="G307" i="4"/>
  <c r="D307" i="4"/>
  <c r="E307" i="4"/>
  <c r="D490" i="4"/>
  <c r="E490" i="4"/>
  <c r="C490" i="4"/>
  <c r="G490" i="4"/>
  <c r="E324" i="4"/>
  <c r="C324" i="4"/>
  <c r="D324" i="4"/>
  <c r="G324" i="4"/>
  <c r="D370" i="4"/>
  <c r="C370" i="4"/>
  <c r="G370" i="4"/>
  <c r="E370" i="4"/>
  <c r="E381" i="4"/>
  <c r="C381" i="4"/>
  <c r="G381" i="4"/>
  <c r="D381" i="4"/>
  <c r="C444" i="4"/>
  <c r="E444" i="4"/>
  <c r="D444" i="4"/>
  <c r="G444" i="4"/>
  <c r="C327" i="4"/>
  <c r="E327" i="4"/>
  <c r="D327" i="4"/>
  <c r="G327" i="4"/>
  <c r="D393" i="4"/>
  <c r="E340" i="4"/>
  <c r="C340" i="4"/>
  <c r="G287" i="4"/>
  <c r="D287" i="4"/>
  <c r="C287" i="4"/>
  <c r="C449" i="4"/>
  <c r="C451" i="4"/>
  <c r="D441" i="4"/>
  <c r="E363" i="4"/>
  <c r="D363" i="4"/>
  <c r="C497" i="4"/>
  <c r="E407" i="4"/>
  <c r="C407" i="4"/>
  <c r="D407" i="4"/>
  <c r="G409" i="4"/>
  <c r="D471" i="4"/>
  <c r="C471" i="4"/>
  <c r="E471" i="4"/>
  <c r="D402" i="4"/>
  <c r="G402" i="4"/>
  <c r="C402" i="4"/>
  <c r="E402" i="4"/>
  <c r="C349" i="4"/>
  <c r="D349" i="4"/>
  <c r="G349" i="4"/>
  <c r="D296" i="4"/>
  <c r="E296" i="4"/>
  <c r="E458" i="4"/>
  <c r="D458" i="4"/>
  <c r="G458" i="4"/>
  <c r="C488" i="4"/>
  <c r="G488" i="4"/>
  <c r="D488" i="4"/>
  <c r="E488" i="4"/>
  <c r="D464" i="4"/>
  <c r="C464" i="4"/>
  <c r="E464" i="4"/>
  <c r="G464" i="4"/>
  <c r="E405" i="4"/>
  <c r="C405" i="4"/>
  <c r="D405" i="4"/>
  <c r="G405" i="4"/>
  <c r="D443" i="4"/>
  <c r="G443" i="4"/>
  <c r="C443" i="4"/>
  <c r="E443" i="4"/>
  <c r="C289" i="4"/>
  <c r="G289" i="4"/>
  <c r="E289" i="4"/>
  <c r="D289" i="4"/>
  <c r="C434" i="4"/>
  <c r="D434" i="4"/>
  <c r="E434" i="4"/>
  <c r="G434" i="4"/>
  <c r="D436" i="4"/>
  <c r="G436" i="4"/>
  <c r="E436" i="4"/>
  <c r="C436" i="4"/>
  <c r="G446" i="4"/>
  <c r="C446" i="4"/>
  <c r="E446" i="4"/>
  <c r="D438" i="4"/>
  <c r="E438" i="4"/>
  <c r="G438" i="4"/>
  <c r="C438" i="4"/>
  <c r="G385" i="4"/>
  <c r="D385" i="4"/>
  <c r="E385" i="4"/>
  <c r="C385" i="4"/>
  <c r="E332" i="4"/>
  <c r="C332" i="4"/>
  <c r="G332" i="4"/>
  <c r="D332" i="4"/>
  <c r="E494" i="4"/>
  <c r="D494" i="4"/>
  <c r="G494" i="4"/>
  <c r="C494" i="4"/>
  <c r="C291" i="4"/>
  <c r="E291" i="4"/>
  <c r="G291" i="4"/>
  <c r="D291" i="4"/>
  <c r="D319" i="4"/>
  <c r="G319" i="4"/>
  <c r="C319" i="4"/>
  <c r="E319" i="4"/>
  <c r="C293" i="4"/>
  <c r="E293" i="4"/>
  <c r="G293" i="4"/>
  <c r="D293" i="4"/>
  <c r="C336" i="4"/>
  <c r="E336" i="4"/>
  <c r="D336" i="4"/>
  <c r="G336" i="4"/>
  <c r="C397" i="4"/>
  <c r="G397" i="4"/>
  <c r="D397" i="4"/>
  <c r="E397" i="4"/>
  <c r="E435" i="4"/>
  <c r="G435" i="4"/>
  <c r="C435" i="4"/>
  <c r="D435" i="4"/>
  <c r="G310" i="4"/>
  <c r="E310" i="4"/>
  <c r="C310" i="4"/>
  <c r="D310" i="4"/>
  <c r="G408" i="4"/>
  <c r="D408" i="4"/>
  <c r="E408" i="4"/>
  <c r="C408" i="4"/>
  <c r="D260" i="4"/>
  <c r="D273" i="4"/>
  <c r="D269" i="4"/>
  <c r="G240" i="4"/>
  <c r="C216" i="4"/>
  <c r="D249" i="4"/>
  <c r="G249" i="4"/>
  <c r="G234" i="4"/>
  <c r="E238" i="4"/>
  <c r="C246" i="4"/>
  <c r="D258" i="4"/>
  <c r="G256" i="4"/>
  <c r="E267" i="4"/>
  <c r="C270" i="4"/>
  <c r="D270" i="4"/>
  <c r="G270" i="4"/>
  <c r="E274" i="4"/>
  <c r="E220" i="4"/>
  <c r="D276" i="4"/>
  <c r="E276" i="4"/>
  <c r="C217" i="4"/>
  <c r="D217" i="4"/>
  <c r="G215" i="4"/>
  <c r="C215" i="4"/>
  <c r="C247" i="4"/>
  <c r="D247" i="4"/>
  <c r="E247" i="4"/>
  <c r="D214" i="4"/>
  <c r="E214" i="4"/>
  <c r="G235" i="4"/>
  <c r="D244" i="4"/>
  <c r="G232" i="4"/>
  <c r="C232" i="4"/>
  <c r="E262" i="4"/>
  <c r="E225" i="4"/>
  <c r="D225" i="4"/>
  <c r="D221" i="4"/>
  <c r="C221" i="4"/>
  <c r="E241" i="4"/>
  <c r="D241" i="4"/>
  <c r="G241" i="4"/>
  <c r="C241" i="4"/>
  <c r="C271" i="4"/>
  <c r="E271" i="4"/>
  <c r="G271" i="4"/>
  <c r="D271" i="4"/>
  <c r="E243" i="4"/>
  <c r="G230" i="4"/>
  <c r="C230" i="4"/>
  <c r="D230" i="4"/>
  <c r="E230" i="4"/>
  <c r="E250" i="4"/>
  <c r="G250" i="4"/>
  <c r="E218" i="4"/>
  <c r="G261" i="4"/>
  <c r="C239" i="4"/>
  <c r="E239" i="4"/>
  <c r="C233" i="4"/>
  <c r="D233" i="4"/>
  <c r="E233" i="4"/>
  <c r="G233" i="4"/>
  <c r="C237" i="4"/>
  <c r="D237" i="4"/>
  <c r="G237" i="4"/>
  <c r="E237" i="4"/>
  <c r="C227" i="4"/>
  <c r="D227" i="4"/>
  <c r="E227" i="4"/>
  <c r="G227" i="4"/>
  <c r="D284" i="4"/>
  <c r="G284" i="4"/>
  <c r="E284" i="4"/>
  <c r="C284" i="4"/>
  <c r="C224" i="4"/>
  <c r="E224" i="4"/>
  <c r="D224" i="4"/>
  <c r="G224" i="4"/>
  <c r="C219" i="4"/>
  <c r="D219" i="4"/>
  <c r="E219" i="4"/>
  <c r="G219" i="4"/>
  <c r="G280" i="4"/>
  <c r="C280" i="4"/>
  <c r="D280" i="4"/>
  <c r="E280" i="4"/>
  <c r="C275" i="4"/>
  <c r="D275" i="4"/>
  <c r="E275" i="4"/>
  <c r="G275" i="4"/>
  <c r="D259" i="4"/>
  <c r="C259" i="4"/>
  <c r="E259" i="4"/>
  <c r="G259" i="4"/>
  <c r="D236" i="4"/>
  <c r="G236" i="4"/>
  <c r="C236" i="4"/>
  <c r="E236" i="4"/>
  <c r="C279" i="4"/>
  <c r="G279" i="4"/>
  <c r="D279" i="4"/>
  <c r="G248" i="4"/>
  <c r="D248" i="4"/>
  <c r="C248" i="4"/>
  <c r="E268" i="4"/>
  <c r="G268" i="4"/>
  <c r="C254" i="4"/>
  <c r="D254" i="4"/>
  <c r="C226" i="4"/>
  <c r="E226" i="4"/>
  <c r="C257" i="4"/>
  <c r="C277" i="4"/>
  <c r="D277" i="4"/>
  <c r="G277" i="4"/>
  <c r="E277" i="4"/>
  <c r="G272" i="4"/>
  <c r="D272" i="4"/>
  <c r="C272" i="4"/>
  <c r="C253" i="4"/>
  <c r="D253" i="4"/>
  <c r="G253" i="4"/>
  <c r="E253" i="4"/>
  <c r="D266" i="4"/>
  <c r="E266" i="4"/>
  <c r="I404" i="4" a="1"/>
  <c r="I429" i="4" a="1"/>
  <c r="I435" i="4" a="1"/>
  <c r="I236" i="4" a="1"/>
  <c r="I392" i="4" a="1"/>
  <c r="I432" i="4" a="1"/>
  <c r="I363" i="4" a="1"/>
  <c r="I296" i="4" a="1"/>
  <c r="I438" i="4" a="1"/>
  <c r="I271" i="4" a="1"/>
  <c r="I219" i="4" a="1"/>
  <c r="I316" i="4" a="1"/>
  <c r="I468" i="4" a="1"/>
  <c r="I458" i="4" a="1"/>
  <c r="I443" i="4" a="1"/>
  <c r="I238" i="4" a="1"/>
  <c r="I247" i="4" a="1"/>
  <c r="I493" i="4" a="1"/>
  <c r="I376" i="4" a="1"/>
  <c r="I307" i="4" a="1"/>
  <c r="I444" i="4" a="1"/>
  <c r="I494" i="4" a="1"/>
  <c r="I226" i="4" a="1"/>
  <c r="I455" i="4" a="1"/>
  <c r="I295" i="4" a="1"/>
  <c r="I413" i="4" a="1"/>
  <c r="I382" i="4" a="1"/>
  <c r="I405" i="4" a="1"/>
  <c r="I276" i="4" a="1"/>
  <c r="I259" i="4" a="1"/>
  <c r="I239" i="4" a="1"/>
  <c r="I386" i="4" a="1"/>
  <c r="I297" i="4" a="1"/>
  <c r="I500" i="4" a="1"/>
  <c r="I461" i="4" a="1"/>
  <c r="I427" i="4" a="1"/>
  <c r="I440" i="4" a="1"/>
  <c r="I407" i="4" a="1"/>
  <c r="I214" i="4" a="1"/>
  <c r="I243" i="4" a="1"/>
  <c r="I237" i="4" a="1"/>
  <c r="I472" i="4" a="1"/>
  <c r="I496" i="4" a="1"/>
  <c r="I353" i="4" a="1"/>
  <c r="I464" i="4" a="1"/>
  <c r="I336" i="4" a="1"/>
  <c r="I220" i="4" a="1"/>
  <c r="I218" i="4" a="1"/>
  <c r="I384" i="4" a="1"/>
  <c r="I489" i="4" a="1"/>
  <c r="I224" i="4" a="1"/>
  <c r="I370" i="4" a="1"/>
  <c r="I381" i="4" a="1"/>
  <c r="I476" i="4" a="1"/>
  <c r="I490" i="4" a="1"/>
  <c r="I289" i="4" a="1"/>
  <c r="I319" i="4" a="1"/>
  <c r="I310" i="4" a="1"/>
  <c r="I385" i="4" a="1"/>
  <c r="I267" i="4" a="1"/>
  <c r="I280" i="4" a="1"/>
  <c r="I253" i="4" a="1"/>
  <c r="I320" i="4" a="1"/>
  <c r="I323" i="4" a="1"/>
  <c r="I327" i="4" a="1"/>
  <c r="I293" i="4" a="1"/>
  <c r="I227" i="4" a="1"/>
  <c r="I268" i="4" a="1"/>
  <c r="I364" i="4" a="1"/>
  <c r="I431" i="4" a="1"/>
  <c r="I480" i="4" a="1"/>
  <c r="I367" i="4" a="1"/>
  <c r="I324" i="4" a="1"/>
  <c r="I488" i="4" a="1"/>
  <c r="I332" i="4" a="1"/>
  <c r="I230" i="4" a="1"/>
  <c r="I266" i="4" a="1"/>
  <c r="I321" i="4" a="1"/>
  <c r="I437" i="4" a="1"/>
  <c r="I434" i="4" a="1"/>
  <c r="I262" i="4" a="1"/>
  <c r="I250" i="4" a="1"/>
  <c r="I275" i="4" a="1"/>
  <c r="I495" i="4" a="1"/>
  <c r="I452" i="4" a="1"/>
  <c r="I419" i="4" a="1"/>
  <c r="I485" i="4" a="1"/>
  <c r="I471" i="4" a="1"/>
  <c r="I408" i="4" a="1"/>
  <c r="I274" i="4" a="1"/>
  <c r="I225" i="4" a="1"/>
  <c r="I304" i="4" a="1"/>
  <c r="I340" i="4" a="1"/>
  <c r="I284" i="4" a="1"/>
  <c r="I436" i="4" a="1"/>
  <c r="I402" i="4" a="1"/>
  <c r="I241" i="4" a="1"/>
  <c r="I355" i="4" a="1"/>
  <c r="I469" i="4" a="1"/>
  <c r="I331" i="4" a="1"/>
  <c r="I446" i="4" a="1"/>
  <c r="I291" i="4" a="1"/>
  <c r="I397" i="4" a="1"/>
  <c r="I233" i="4" a="1"/>
  <c r="I277" i="4" a="1"/>
  <c r="Q404" i="4" a="1"/>
  <c r="Q429" i="4" a="1"/>
  <c r="Q435" i="4" a="1"/>
  <c r="Q236" i="4" a="1"/>
  <c r="Q316" i="4" a="1"/>
  <c r="Q468" i="4" a="1"/>
  <c r="Q458" i="4" a="1"/>
  <c r="Q443" i="4" a="1"/>
  <c r="Q238" i="4" a="1"/>
  <c r="Q247" i="4" a="1"/>
  <c r="Q444" i="4" a="1"/>
  <c r="Q427" i="4" a="1"/>
  <c r="Q440" i="4" a="1"/>
  <c r="Q407" i="4" a="1"/>
  <c r="Q214" i="4" a="1"/>
  <c r="Q490" i="4" a="1"/>
  <c r="Q289" i="4" a="1"/>
  <c r="Q319" i="4" a="1"/>
  <c r="Q392" i="4" a="1"/>
  <c r="Q432" i="4" a="1"/>
  <c r="Q363" i="4" a="1"/>
  <c r="Q296" i="4" a="1"/>
  <c r="Q438" i="4" a="1"/>
  <c r="Q271" i="4" a="1"/>
  <c r="Q219" i="4" a="1"/>
  <c r="Q493" i="4" a="1"/>
  <c r="Q376" i="4" a="1"/>
  <c r="Q307" i="4" a="1"/>
  <c r="Q237" i="4" a="1"/>
  <c r="Q310" i="4" a="1"/>
  <c r="Q385" i="4" a="1"/>
  <c r="Q267" i="4" a="1"/>
  <c r="Q253" i="4" a="1"/>
  <c r="Q461" i="4" a="1"/>
  <c r="Q243" i="4" a="1"/>
  <c r="Q280" i="4" a="1"/>
  <c r="Q476" i="4" a="1"/>
  <c r="Q472" i="4" a="1"/>
  <c r="Q320" i="4" a="1"/>
  <c r="Q323" i="4" a="1"/>
  <c r="Q327" i="4" a="1"/>
  <c r="Q293" i="4" a="1"/>
  <c r="Q227" i="4" a="1"/>
  <c r="Q268" i="4" a="1"/>
  <c r="Q364" i="4" a="1"/>
  <c r="Q431" i="4" a="1"/>
  <c r="Q480" i="4" a="1"/>
  <c r="Q367" i="4" a="1"/>
  <c r="Q324" i="4" a="1"/>
  <c r="Q488" i="4" a="1"/>
  <c r="Q332" i="4" a="1"/>
  <c r="Q230" i="4" a="1"/>
  <c r="Q266" i="4" a="1"/>
  <c r="Q321" i="4" a="1"/>
  <c r="Q437" i="4" a="1"/>
  <c r="Q434" i="4" a="1"/>
  <c r="Q262" i="4" a="1"/>
  <c r="Q250" i="4" a="1"/>
  <c r="Q275" i="4" a="1"/>
  <c r="Q495" i="4" a="1"/>
  <c r="Q452" i="4" a="1"/>
  <c r="Q419" i="4" a="1"/>
  <c r="Q485" i="4" a="1"/>
  <c r="Q471" i="4" a="1"/>
  <c r="Q408" i="4" a="1"/>
  <c r="Q274" i="4" a="1"/>
  <c r="Q225" i="4" a="1"/>
  <c r="Q304" i="4" a="1"/>
  <c r="Q496" i="4" a="1"/>
  <c r="Q353" i="4" a="1"/>
  <c r="Q340" i="4" a="1"/>
  <c r="Q464" i="4" a="1"/>
  <c r="Q336" i="4" a="1"/>
  <c r="Q220" i="4" a="1"/>
  <c r="Q218" i="4" a="1"/>
  <c r="Q284" i="4" a="1"/>
  <c r="Q494" i="4" a="1"/>
  <c r="Q226" i="4" a="1"/>
  <c r="Q455" i="4" a="1"/>
  <c r="Q295" i="4" a="1"/>
  <c r="Q413" i="4" a="1"/>
  <c r="Q384" i="4" a="1"/>
  <c r="Q382" i="4" a="1"/>
  <c r="Q405" i="4" a="1"/>
  <c r="Q436" i="4" a="1"/>
  <c r="Q276" i="4" a="1"/>
  <c r="Q259" i="4" a="1"/>
  <c r="Q489" i="4" a="1"/>
  <c r="Q402" i="4" a="1"/>
  <c r="Q241" i="4" a="1"/>
  <c r="Q239" i="4" a="1"/>
  <c r="Q224" i="4" a="1"/>
  <c r="Q370" i="4" a="1"/>
  <c r="Q386" i="4" a="1"/>
  <c r="Q297" i="4" a="1"/>
  <c r="Q500" i="4" a="1"/>
  <c r="Q381" i="4" a="1"/>
  <c r="Q355" i="4" a="1"/>
  <c r="Q469" i="4" a="1"/>
  <c r="Q331" i="4" a="1"/>
  <c r="Q446" i="4" a="1"/>
  <c r="Q291" i="4" a="1"/>
  <c r="Q397" i="4" a="1"/>
  <c r="Q233" i="4" a="1"/>
  <c r="Q277" i="4" a="1"/>
  <c r="O455" i="4" a="1"/>
  <c r="O392" i="4" a="1"/>
  <c r="O429" i="4" a="1"/>
  <c r="O327" i="4" a="1"/>
  <c r="O276" i="4" a="1"/>
  <c r="O233" i="4" a="1"/>
  <c r="O224" i="4" a="1"/>
  <c r="O427" i="4" a="1"/>
  <c r="O293" i="4" a="1"/>
  <c r="O243" i="4" a="1"/>
  <c r="O432" i="4" a="1"/>
  <c r="O469" i="4" a="1"/>
  <c r="O384" i="4" a="1"/>
  <c r="O437" i="4" a="1"/>
  <c r="O500" i="4" a="1"/>
  <c r="O262" i="4" a="1"/>
  <c r="O413" i="4" a="1"/>
  <c r="O434" i="4" a="1"/>
  <c r="O495" i="4" a="1"/>
  <c r="O316" i="4" a="1"/>
  <c r="O472" i="4" a="1"/>
  <c r="O376" i="4" a="1"/>
  <c r="O494" i="4" a="1"/>
  <c r="O310" i="4" a="1"/>
  <c r="O238" i="4" a="1"/>
  <c r="O253" i="4" a="1"/>
  <c r="O225" i="4" a="1"/>
  <c r="O385" i="4" a="1"/>
  <c r="O355" i="4" a="1"/>
  <c r="O419" i="4" a="1"/>
  <c r="O468" i="4" a="1"/>
  <c r="O407" i="4" a="1"/>
  <c r="O319" i="4" a="1"/>
  <c r="O220" i="4" a="1"/>
  <c r="O458" i="4" a="1"/>
  <c r="O332" i="4" a="1"/>
  <c r="O268" i="4" a="1"/>
  <c r="O275" i="4" a="1"/>
  <c r="O259" i="4" a="1"/>
  <c r="O280" i="4" a="1"/>
  <c r="O277" i="4" a="1"/>
  <c r="O274" i="4" a="1"/>
  <c r="O386" i="4" a="1"/>
  <c r="O370" i="4" a="1"/>
  <c r="O340" i="4" a="1"/>
  <c r="O471" i="4" a="1"/>
  <c r="O443" i="4" a="1"/>
  <c r="O397" i="4" a="1"/>
  <c r="O296" i="4" a="1"/>
  <c r="O436" i="4" a="1"/>
  <c r="O446" i="4" a="1"/>
  <c r="O230" i="4" a="1"/>
  <c r="O237" i="4" a="1"/>
  <c r="O226" i="4" a="1"/>
  <c r="O266" i="4" a="1"/>
  <c r="O476" i="4" a="1"/>
  <c r="O331" i="4" a="1"/>
  <c r="O381" i="4" a="1"/>
  <c r="O488" i="4" a="1"/>
  <c r="O295" i="4" a="1"/>
  <c r="O431" i="4" a="1"/>
  <c r="O438" i="4" a="1"/>
  <c r="O336" i="4" a="1"/>
  <c r="O250" i="4" a="1"/>
  <c r="O219" i="4" a="1"/>
  <c r="O461" i="4" a="1"/>
  <c r="O480" i="4" a="1"/>
  <c r="O489" i="4" a="1"/>
  <c r="O323" i="4" a="1"/>
  <c r="O307" i="4" a="1"/>
  <c r="O289" i="4" a="1"/>
  <c r="O236" i="4" a="1"/>
  <c r="O304" i="4" a="1"/>
  <c r="O452" i="4" a="1"/>
  <c r="O353" i="4" a="1"/>
  <c r="O402" i="4" a="1"/>
  <c r="O291" i="4" a="1"/>
  <c r="O267" i="4" a="1"/>
  <c r="O247" i="4" a="1"/>
  <c r="O241" i="4" a="1"/>
  <c r="O367" i="4" a="1"/>
  <c r="O297" i="4" a="1"/>
  <c r="O408" i="4" a="1"/>
  <c r="O218" i="4" a="1"/>
  <c r="O227" i="4" a="1"/>
  <c r="O320" i="4" a="1"/>
  <c r="O496" i="4" a="1"/>
  <c r="O382" i="4" a="1"/>
  <c r="O490" i="4" a="1"/>
  <c r="O464" i="4" a="1"/>
  <c r="O214" i="4" a="1"/>
  <c r="O364" i="4" a="1"/>
  <c r="O493" i="4" a="1"/>
  <c r="O485" i="4" a="1"/>
  <c r="O444" i="4" a="1"/>
  <c r="O363" i="4" a="1"/>
  <c r="O404" i="4" a="1"/>
  <c r="O321" i="4" a="1"/>
  <c r="O440" i="4" a="1"/>
  <c r="O324" i="4" a="1"/>
  <c r="O405" i="4" a="1"/>
  <c r="O239" i="4" a="1"/>
  <c r="O435" i="4" a="1"/>
  <c r="O271" i="4" a="1"/>
  <c r="O284" i="4" a="1"/>
  <c r="K455" i="4" a="1"/>
  <c r="K392" i="4" a="1"/>
  <c r="K429" i="4" a="1"/>
  <c r="K327" i="4" a="1"/>
  <c r="K276" i="4" a="1"/>
  <c r="K233" i="4" a="1"/>
  <c r="K224" i="4" a="1"/>
  <c r="K427" i="4" a="1"/>
  <c r="K293" i="4" a="1"/>
  <c r="K243" i="4" a="1"/>
  <c r="K432" i="4" a="1"/>
  <c r="K469" i="4" a="1"/>
  <c r="K384" i="4" a="1"/>
  <c r="K437" i="4" a="1"/>
  <c r="K500" i="4" a="1"/>
  <c r="K262" i="4" a="1"/>
  <c r="K495" i="4" a="1"/>
  <c r="K316" i="4" a="1"/>
  <c r="K472" i="4" a="1"/>
  <c r="K376" i="4" a="1"/>
  <c r="K494" i="4" a="1"/>
  <c r="K310" i="4" a="1"/>
  <c r="K238" i="4" a="1"/>
  <c r="K259" i="4" a="1"/>
  <c r="K253" i="4" a="1"/>
  <c r="K386" i="4" a="1"/>
  <c r="K370" i="4" a="1"/>
  <c r="K340" i="4" a="1"/>
  <c r="K471" i="4" a="1"/>
  <c r="K443" i="4" a="1"/>
  <c r="K225" i="4" a="1"/>
  <c r="K446" i="4" a="1"/>
  <c r="K230" i="4" a="1"/>
  <c r="K237" i="4" a="1"/>
  <c r="K226" i="4" a="1"/>
  <c r="K266" i="4" a="1"/>
  <c r="K493" i="4" a="1"/>
  <c r="K485" i="4" a="1"/>
  <c r="K444" i="4" a="1"/>
  <c r="K280" i="4" a="1"/>
  <c r="K277" i="4" a="1"/>
  <c r="K321" i="4" a="1"/>
  <c r="K440" i="4" a="1"/>
  <c r="K324" i="4" a="1"/>
  <c r="K405" i="4" a="1"/>
  <c r="K274" i="4" a="1"/>
  <c r="K239" i="4" a="1"/>
  <c r="K468" i="4" a="1"/>
  <c r="K458" i="4" a="1"/>
  <c r="K436" i="4" a="1"/>
  <c r="K332" i="4" a="1"/>
  <c r="K275" i="4" a="1"/>
  <c r="K268" i="4" a="1"/>
  <c r="K476" i="4" a="1"/>
  <c r="K331" i="4" a="1"/>
  <c r="K381" i="4" a="1"/>
  <c r="K488" i="4" a="1"/>
  <c r="K295" i="4" a="1"/>
  <c r="K431" i="4" a="1"/>
  <c r="K438" i="4" a="1"/>
  <c r="K336" i="4" a="1"/>
  <c r="K250" i="4" a="1"/>
  <c r="K219" i="4" a="1"/>
  <c r="K461" i="4" a="1"/>
  <c r="K480" i="4" a="1"/>
  <c r="K489" i="4" a="1"/>
  <c r="K323" i="4" a="1"/>
  <c r="K307" i="4" a="1"/>
  <c r="K289" i="4" a="1"/>
  <c r="K236" i="4" a="1"/>
  <c r="K304" i="4" a="1"/>
  <c r="K452" i="4" a="1"/>
  <c r="K353" i="4" a="1"/>
  <c r="K402" i="4" a="1"/>
  <c r="K291" i="4" a="1"/>
  <c r="K267" i="4" a="1"/>
  <c r="K247" i="4" a="1"/>
  <c r="K241" i="4" a="1"/>
  <c r="K367" i="4" a="1"/>
  <c r="K297" i="4" a="1"/>
  <c r="K408" i="4" a="1"/>
  <c r="K218" i="4" a="1"/>
  <c r="K227" i="4" a="1"/>
  <c r="K320" i="4" a="1"/>
  <c r="K413" i="4" a="1"/>
  <c r="K496" i="4" a="1"/>
  <c r="K382" i="4" a="1"/>
  <c r="K490" i="4" a="1"/>
  <c r="K464" i="4" a="1"/>
  <c r="K214" i="4" a="1"/>
  <c r="K364" i="4" a="1"/>
  <c r="K363" i="4" a="1"/>
  <c r="K404" i="4" a="1"/>
  <c r="K434" i="4" a="1"/>
  <c r="K385" i="4" a="1"/>
  <c r="K397" i="4" a="1"/>
  <c r="K296" i="4" a="1"/>
  <c r="K435" i="4" a="1"/>
  <c r="K271" i="4" a="1"/>
  <c r="K284" i="4" a="1"/>
  <c r="K355" i="4" a="1"/>
  <c r="K419" i="4" a="1"/>
  <c r="K407" i="4" a="1"/>
  <c r="K319" i="4" a="1"/>
  <c r="K220" i="4" a="1"/>
  <c r="M455" i="4" a="1"/>
  <c r="M392" i="4" a="1"/>
  <c r="M429" i="4" a="1"/>
  <c r="M327" i="4" a="1"/>
  <c r="M276" i="4" a="1"/>
  <c r="M233" i="4" a="1"/>
  <c r="M224" i="4" a="1"/>
  <c r="M432" i="4" a="1"/>
  <c r="M469" i="4" a="1"/>
  <c r="M384" i="4" a="1"/>
  <c r="M500" i="4" a="1"/>
  <c r="M262" i="4" a="1"/>
  <c r="M495" i="4" a="1"/>
  <c r="M316" i="4" a="1"/>
  <c r="M472" i="4" a="1"/>
  <c r="M376" i="4" a="1"/>
  <c r="M494" i="4" a="1"/>
  <c r="M310" i="4" a="1"/>
  <c r="M238" i="4" a="1"/>
  <c r="M259" i="4" a="1"/>
  <c r="M253" i="4" a="1"/>
  <c r="M386" i="4" a="1"/>
  <c r="M370" i="4" a="1"/>
  <c r="M340" i="4" a="1"/>
  <c r="M471" i="4" a="1"/>
  <c r="M443" i="4" a="1"/>
  <c r="M225" i="4" a="1"/>
  <c r="M446" i="4" a="1"/>
  <c r="M230" i="4" a="1"/>
  <c r="M237" i="4" a="1"/>
  <c r="M226" i="4" a="1"/>
  <c r="M266" i="4" a="1"/>
  <c r="M476" i="4" a="1"/>
  <c r="M331" i="4" a="1"/>
  <c r="M381" i="4" a="1"/>
  <c r="M488" i="4" a="1"/>
  <c r="M419" i="4" a="1"/>
  <c r="M458" i="4" a="1"/>
  <c r="M332" i="4" a="1"/>
  <c r="M275" i="4" a="1"/>
  <c r="M268" i="4" a="1"/>
  <c r="M427" i="4" a="1"/>
  <c r="M293" i="4" a="1"/>
  <c r="M243" i="4" a="1"/>
  <c r="M437" i="4" a="1"/>
  <c r="M436" i="4" a="1"/>
  <c r="M295" i="4" a="1"/>
  <c r="M431" i="4" a="1"/>
  <c r="M438" i="4" a="1"/>
  <c r="M336" i="4" a="1"/>
  <c r="M250" i="4" a="1"/>
  <c r="M219" i="4" a="1"/>
  <c r="M461" i="4" a="1"/>
  <c r="M480" i="4" a="1"/>
  <c r="M489" i="4" a="1"/>
  <c r="M323" i="4" a="1"/>
  <c r="M307" i="4" a="1"/>
  <c r="M289" i="4" a="1"/>
  <c r="M236" i="4" a="1"/>
  <c r="M296" i="4" a="1"/>
  <c r="M435" i="4" a="1"/>
  <c r="M284" i="4" a="1"/>
  <c r="M468" i="4" a="1"/>
  <c r="M220" i="4" a="1"/>
  <c r="M304" i="4" a="1"/>
  <c r="M452" i="4" a="1"/>
  <c r="M353" i="4" a="1"/>
  <c r="M402" i="4" a="1"/>
  <c r="M291" i="4" a="1"/>
  <c r="M267" i="4" a="1"/>
  <c r="M247" i="4" a="1"/>
  <c r="M241" i="4" a="1"/>
  <c r="M367" i="4" a="1"/>
  <c r="M297" i="4" a="1"/>
  <c r="M408" i="4" a="1"/>
  <c r="M218" i="4" a="1"/>
  <c r="M227" i="4" a="1"/>
  <c r="M320" i="4" a="1"/>
  <c r="M413" i="4" a="1"/>
  <c r="M496" i="4" a="1"/>
  <c r="M382" i="4" a="1"/>
  <c r="M490" i="4" a="1"/>
  <c r="M464" i="4" a="1"/>
  <c r="M214" i="4" a="1"/>
  <c r="M364" i="4" a="1"/>
  <c r="M493" i="4" a="1"/>
  <c r="M485" i="4" a="1"/>
  <c r="M444" i="4" a="1"/>
  <c r="M363" i="4" a="1"/>
  <c r="M280" i="4" a="1"/>
  <c r="M277" i="4" a="1"/>
  <c r="M404" i="4" a="1"/>
  <c r="M434" i="4" a="1"/>
  <c r="M385" i="4" a="1"/>
  <c r="M397" i="4" a="1"/>
  <c r="M321" i="4" a="1"/>
  <c r="M440" i="4" a="1"/>
  <c r="M324" i="4" a="1"/>
  <c r="M405" i="4" a="1"/>
  <c r="M274" i="4" a="1"/>
  <c r="M239" i="4" a="1"/>
  <c r="M271" i="4" a="1"/>
  <c r="M355" i="4" a="1"/>
  <c r="M407" i="4" a="1"/>
  <c r="M319" i="4" a="1"/>
  <c r="D301" i="4" a="1"/>
  <c r="G214" i="4" a="1"/>
  <c r="E499" i="4" a="1"/>
  <c r="D304" i="4" a="1"/>
  <c r="D384" i="4" a="1"/>
  <c r="G346" i="4" a="1"/>
  <c r="D232" i="4" a="1"/>
  <c r="E251" i="4" a="1"/>
  <c r="C422" i="4" a="1"/>
  <c r="G368" i="4" a="1"/>
  <c r="C278" i="4" a="1"/>
  <c r="D315" i="4" a="1"/>
  <c r="B124" i="4" a="1"/>
  <c r="E447" i="4" a="1"/>
  <c r="G351" i="4" a="1"/>
  <c r="E351" i="4" a="1"/>
  <c r="C483" i="4" a="1"/>
  <c r="E339" i="4" a="1"/>
  <c r="G301" i="4" a="1"/>
  <c r="D404" i="4" a="1"/>
  <c r="D379" i="4" a="1"/>
  <c r="G442" i="4" a="1"/>
  <c r="B169" i="4" a="1"/>
  <c r="E347" i="4" a="1"/>
  <c r="D450" i="4" a="1"/>
  <c r="C294" i="4" a="1"/>
  <c r="E244" i="4" a="1"/>
  <c r="F437" i="4" a="1"/>
  <c r="B97" i="4" a="1"/>
  <c r="D264" i="4" a="1"/>
  <c r="G341" i="4" a="1"/>
  <c r="F253" i="4" a="1"/>
  <c r="C240" i="4" a="1"/>
  <c r="E330" i="4" a="1"/>
  <c r="C428" i="4" a="1"/>
  <c r="D430" i="4" a="1"/>
  <c r="B187" i="4" a="1"/>
  <c r="C260" i="4" a="1"/>
  <c r="C244" i="4" a="1"/>
  <c r="B196" i="4" a="1"/>
  <c r="B42" i="4" a="1"/>
  <c r="B96" i="4" a="1"/>
  <c r="C374" i="4" a="1"/>
  <c r="F266" i="4" a="1"/>
  <c r="E287" i="4" a="1"/>
  <c r="G231" i="4" a="1"/>
  <c r="C398" i="4" a="1"/>
  <c r="D369" i="4" a="1"/>
  <c r="D243" i="4" a="1"/>
  <c r="E231" i="4" a="1"/>
  <c r="E313" i="4" a="1"/>
  <c r="C342" i="4" a="1"/>
  <c r="G456" i="4" a="1"/>
  <c r="C372" i="4" a="1"/>
  <c r="G220" i="4" a="1"/>
  <c r="C316" i="4" a="1"/>
  <c r="G362" i="4" a="1"/>
  <c r="C426" i="4" a="1"/>
  <c r="D409" i="4" a="1"/>
  <c r="C373" i="4" a="1"/>
  <c r="G391" i="4" a="1"/>
  <c r="C386" i="4" a="1"/>
  <c r="E315" i="4" a="1"/>
  <c r="C491" i="4" a="1"/>
  <c r="B70" i="4" a="1"/>
  <c r="D306" i="4" a="1"/>
  <c r="E465" i="4" a="1"/>
  <c r="F275" i="4" a="1"/>
  <c r="G285" i="4" a="1"/>
  <c r="G450" i="4" a="1"/>
  <c r="E360" i="4" a="1"/>
  <c r="D415" i="4" a="1"/>
  <c r="D286" i="4" a="1"/>
  <c r="F218" i="4" a="1"/>
  <c r="D255" i="4" a="1"/>
  <c r="G393" i="4" a="1"/>
  <c r="D342" i="4" a="1"/>
  <c r="B79" i="4" a="1"/>
  <c r="C421" i="4" a="1"/>
  <c r="E270" i="4" a="1"/>
  <c r="D447" i="4" a="1"/>
  <c r="B92" i="4" a="1"/>
  <c r="B198" i="4" a="1"/>
  <c r="C321" i="4" a="1"/>
  <c r="F444" i="4" a="1"/>
  <c r="B66" i="4" a="1"/>
  <c r="G374" i="4" a="1"/>
  <c r="E346" i="4" a="1"/>
  <c r="G428" i="4" a="1"/>
  <c r="C416" i="4" a="1"/>
  <c r="F227" i="4" a="1"/>
  <c r="C478" i="4" a="1"/>
  <c r="B193" i="4" a="1"/>
  <c r="G213" i="4" a="1"/>
  <c r="C364" i="4" a="1"/>
  <c r="D235" i="4" a="1"/>
  <c r="D223" i="4" a="1"/>
  <c r="E406" i="4" a="1"/>
  <c r="E286" i="4" a="1"/>
  <c r="C427" i="4" a="1"/>
  <c r="G302" i="4" a="1"/>
  <c r="E395" i="4" a="1"/>
  <c r="C394" i="4" a="1"/>
  <c r="D302" i="4" a="1"/>
  <c r="D351" i="4" a="1"/>
  <c r="G262" i="4" a="1"/>
  <c r="C348" i="4" a="1"/>
  <c r="E383" i="4" a="1"/>
  <c r="B109" i="4" a="1"/>
  <c r="C222" i="4" a="1"/>
  <c r="E278" i="4" a="1"/>
  <c r="E491" i="4" a="1"/>
  <c r="B164" i="4" a="1"/>
  <c r="F324" i="4" a="1"/>
  <c r="D222" i="4" a="1"/>
  <c r="D467" i="4" a="1"/>
  <c r="C229" i="4" a="1"/>
  <c r="C360" i="4" a="1"/>
  <c r="E415" i="4" a="1"/>
  <c r="E314" i="4" a="1"/>
  <c r="E394" i="4" a="1"/>
  <c r="D313" i="4" a="1"/>
  <c r="G299" i="4" a="1"/>
  <c r="E424" i="4" a="1"/>
  <c r="D383" i="4" a="1"/>
  <c r="C445" i="4" a="1"/>
  <c r="F427" i="4" a="1"/>
  <c r="B185" i="4" a="1"/>
  <c r="B62" i="4" a="1"/>
  <c r="G317" i="4" a="1"/>
  <c r="C320" i="4" a="1"/>
  <c r="D362" i="4" a="1"/>
  <c r="B26" i="4" a="1"/>
  <c r="G238" i="4" a="1"/>
  <c r="E283" i="4" a="1"/>
  <c r="G228" i="4" a="1"/>
  <c r="C223" i="4" a="1"/>
  <c r="F214" i="4" a="1"/>
  <c r="B8" i="4" a="1"/>
  <c r="C389" i="4" a="1"/>
  <c r="E479" i="4" a="1"/>
  <c r="G342" i="4" a="1"/>
  <c r="E403" i="4" a="1"/>
  <c r="F295" i="4" a="1"/>
  <c r="B90" i="4" a="1"/>
  <c r="E475" i="4" a="1"/>
  <c r="C311" i="4" a="1"/>
  <c r="F267" i="4" a="1"/>
  <c r="D347" i="4" a="1"/>
  <c r="G265" i="4" a="1"/>
  <c r="D414" i="4" a="1"/>
  <c r="E240" i="4" a="1"/>
  <c r="E369" i="4" a="1"/>
  <c r="D446" i="4" a="1"/>
  <c r="D229" i="4" a="1"/>
  <c r="D412" i="4" a="1"/>
  <c r="E379" i="4" a="1"/>
  <c r="C470" i="4" a="1"/>
  <c r="C352" i="4" a="1"/>
  <c r="G459" i="4" a="1"/>
  <c r="G486" i="4" a="1"/>
  <c r="G350" i="4" a="1"/>
  <c r="B5" i="4" a="1"/>
  <c r="C403" i="4" a="1"/>
  <c r="G245" i="4" a="1"/>
  <c r="D226" i="4" a="1"/>
  <c r="C256" i="4" a="1"/>
  <c r="G229" i="4" a="1"/>
  <c r="D325" i="4" a="1"/>
  <c r="F485" i="4" a="1"/>
  <c r="G407" i="4" a="1"/>
  <c r="D238" i="4" a="1"/>
  <c r="B168" i="4" a="1"/>
  <c r="G325" i="4" a="1"/>
  <c r="C213" i="4" a="1"/>
  <c r="G221" i="4" a="1"/>
  <c r="F293" i="4" a="1"/>
  <c r="B205" i="4" a="1"/>
  <c r="B89" i="4" a="1"/>
  <c r="E412" i="4" a="1"/>
  <c r="G495" i="4" a="1"/>
  <c r="G399" i="4" a="1"/>
  <c r="D300" i="4" a="1"/>
  <c r="G244" i="4" a="1"/>
  <c r="G371" i="4" a="1"/>
  <c r="F243" i="4" a="1"/>
  <c r="G337" i="4" a="1"/>
  <c r="F385" i="4" a="1"/>
  <c r="F262" i="4" a="1"/>
  <c r="G416" i="4" a="1"/>
  <c r="C361" i="4" a="1"/>
  <c r="B30" i="4" a="1"/>
  <c r="D477" i="4" a="1"/>
  <c r="E453" i="4" a="1"/>
  <c r="D338" i="4" a="1"/>
  <c r="D242" i="4" a="1"/>
  <c r="E311" i="4" a="1"/>
  <c r="D312" i="4" a="1"/>
  <c r="C473" i="4" a="1"/>
  <c r="D355" i="4" a="1"/>
  <c r="E337" i="4" a="1"/>
  <c r="C269" i="4" a="1"/>
  <c r="E399" i="4" a="1"/>
  <c r="G330" i="4" a="1"/>
  <c r="C474" i="4" a="1"/>
  <c r="G283" i="4" a="1"/>
  <c r="D333" i="4" a="1"/>
  <c r="G308" i="4" a="1"/>
  <c r="D234" i="4" a="1"/>
  <c r="D360" i="4" a="1"/>
  <c r="D215" i="4" a="1"/>
  <c r="F440" i="4" a="1"/>
  <c r="F468" i="4" a="1"/>
  <c r="D318" i="4" a="1"/>
  <c r="E345" i="4" a="1"/>
  <c r="C425" i="4" a="1"/>
  <c r="D256" i="4" a="1"/>
  <c r="B105" i="4" a="1"/>
  <c r="G263" i="4" a="1"/>
  <c r="G496" i="4" a="1"/>
  <c r="G430" i="4" a="1"/>
  <c r="B88" i="4" a="1"/>
  <c r="E459" i="4" a="1"/>
  <c r="C341" i="4" a="1"/>
  <c r="E433" i="4" a="1"/>
  <c r="B112" i="4" a="1"/>
  <c r="G359" i="4" a="1"/>
  <c r="E400" i="4" a="1"/>
  <c r="B27" i="4" a="1"/>
  <c r="E442" i="4" a="1"/>
  <c r="G269" i="4" a="1"/>
  <c r="C285" i="4" a="1"/>
  <c r="C274" i="4" a="1"/>
  <c r="D365" i="4" a="1"/>
  <c r="B74" i="4" a="1"/>
  <c r="G424" i="4" a="1"/>
  <c r="B85" i="4" a="1"/>
  <c r="E393" i="4" a="1"/>
  <c r="B93" i="4" a="1"/>
  <c r="B166" i="4" a="1"/>
  <c r="F219" i="4" a="1"/>
  <c r="E344" i="4" a="1"/>
  <c r="B18" i="4" a="1"/>
  <c r="C371" i="4" a="1"/>
  <c r="B34" i="4" a="1"/>
  <c r="C266" i="4" a="1"/>
  <c r="B120" i="4" a="1"/>
  <c r="E242" i="4" a="1"/>
  <c r="D368" i="4" a="1"/>
  <c r="C249" i="4" a="1"/>
  <c r="E372" i="4" a="1"/>
  <c r="D283" i="4" a="1"/>
  <c r="C439" i="4" a="1"/>
  <c r="E462" i="4" a="1"/>
  <c r="G329" i="4" a="1"/>
  <c r="G390" i="4" a="1"/>
  <c r="C301" i="4" a="1"/>
  <c r="G339" i="4" a="1"/>
  <c r="G369" i="4" a="1"/>
  <c r="B11" i="4" a="1"/>
  <c r="E282" i="4" a="1"/>
  <c r="G366" i="4" a="1"/>
  <c r="C282" i="4" a="1"/>
  <c r="E498" i="4" a="1"/>
  <c r="D425" i="4" a="1"/>
  <c r="G403" i="4" a="1"/>
  <c r="E359" i="4" a="1"/>
  <c r="D257" i="4" a="1"/>
  <c r="G433" i="4" a="1"/>
  <c r="E334" i="4" a="1"/>
  <c r="C308" i="4" a="1"/>
  <c r="G421" i="4" a="1"/>
  <c r="G309" i="4" a="1"/>
  <c r="B100" i="4" a="1"/>
  <c r="B32" i="4" a="1"/>
  <c r="G321" i="4" a="1"/>
  <c r="C362" i="4" a="1"/>
  <c r="E290" i="4" a="1"/>
  <c r="C391" i="4" a="1"/>
  <c r="E448" i="4" a="1"/>
  <c r="D387" i="4" a="1"/>
  <c r="G303" i="4" a="1"/>
  <c r="E478" i="4" a="1"/>
  <c r="B40" i="4" a="1"/>
  <c r="C499" i="4" a="1"/>
  <c r="C338" i="4" a="1"/>
  <c r="C265" i="4" a="1"/>
  <c r="G473" i="4" a="1"/>
  <c r="E260" i="4" a="1"/>
  <c r="G257" i="4" a="1"/>
  <c r="C404" i="4" a="1"/>
  <c r="G333" i="4" a="1"/>
  <c r="C392" i="4" a="1"/>
  <c r="D251" i="4" a="1"/>
  <c r="B212" i="4" a="1"/>
  <c r="G455" i="4" a="1"/>
  <c r="F382" i="4" a="1"/>
  <c r="D354" i="4" a="1"/>
  <c r="G260" i="4" a="1"/>
  <c r="C300" i="4" a="1"/>
  <c r="D320" i="4" a="1"/>
  <c r="D448" i="4" a="1"/>
  <c r="D228" i="4" a="1"/>
  <c r="C313" i="4" a="1"/>
  <c r="D294" i="4" a="1"/>
  <c r="G417" i="4" a="1"/>
  <c r="D411" i="4" a="1"/>
  <c r="F304" i="4" a="1"/>
  <c r="B186" i="4" a="1"/>
  <c r="D359" i="4" a="1"/>
  <c r="E463" i="4" a="1"/>
  <c r="D274" i="4" a="1"/>
  <c r="G364" i="4" a="1"/>
  <c r="F381" i="4" a="1"/>
  <c r="B28" i="4" a="1"/>
  <c r="D281" i="4" a="1"/>
  <c r="G226" i="4" a="1"/>
  <c r="G276" i="4" a="1"/>
  <c r="B130" i="4" a="1"/>
  <c r="F225" i="4" a="1"/>
  <c r="D295" i="4" a="1"/>
  <c r="B49" i="4" a="1"/>
  <c r="E377" i="4" a="1"/>
  <c r="F238" i="4" a="1"/>
  <c r="G413" i="4" a="1"/>
  <c r="G414" i="4" a="1"/>
  <c r="C242" i="4" a="1"/>
  <c r="G472" i="4" a="1"/>
  <c r="G305" i="4" a="1"/>
  <c r="E380" i="4" a="1"/>
  <c r="G315" i="4" a="1"/>
  <c r="C498" i="4" a="1"/>
  <c r="E252" i="4" a="1"/>
  <c r="C420" i="4" a="1"/>
  <c r="B126" i="4" a="1"/>
  <c r="B156" i="4" a="1"/>
  <c r="G225" i="4" a="1"/>
  <c r="D366" i="4" a="1"/>
  <c r="G389" i="4" a="1"/>
  <c r="D308" i="4" a="1"/>
  <c r="B21" i="4" a="1"/>
  <c r="C482" i="4" a="1"/>
  <c r="B113" i="4" a="1"/>
  <c r="C410" i="4" a="1"/>
  <c r="E223" i="4" a="1"/>
  <c r="B150" i="4" a="1"/>
  <c r="D299" i="4" a="1"/>
  <c r="C479" i="4" a="1"/>
  <c r="G497" i="4" a="1"/>
  <c r="F289" i="4" a="1"/>
  <c r="E342" i="4" a="1"/>
  <c r="B57" i="4" a="1"/>
  <c r="B175" i="4" a="1"/>
  <c r="C476" i="4" a="1"/>
  <c r="B183" i="4" a="1"/>
  <c r="B115" i="4" a="1"/>
  <c r="F419" i="4" a="1"/>
  <c r="B143" i="4" a="1"/>
  <c r="B45" i="4" a="1"/>
  <c r="E477" i="4" a="1"/>
  <c r="G334" i="4" a="1"/>
  <c r="B99" i="4" a="1"/>
  <c r="F405" i="4" a="1"/>
  <c r="B197" i="4" a="1"/>
  <c r="F490" i="4" a="1"/>
  <c r="B78" i="4" a="1"/>
  <c r="G246" i="4" a="1"/>
  <c r="E456" i="4" a="1"/>
  <c r="E335" i="4" a="1"/>
  <c r="E391" i="4" a="1"/>
  <c r="D495" i="4" a="1"/>
  <c r="E470" i="4" a="1"/>
  <c r="C393" i="4" a="1"/>
  <c r="D262" i="4" a="1"/>
  <c r="E492" i="4" a="1"/>
  <c r="G447" i="4" a="1"/>
  <c r="E358" i="4" a="1"/>
  <c r="E457" i="4" a="1"/>
  <c r="G218" i="4" a="1"/>
  <c r="E326" i="4" a="1"/>
  <c r="F274" i="4" a="1"/>
  <c r="D481" i="4" a="1"/>
  <c r="C441" i="4" a="1"/>
  <c r="G274" i="4" a="1"/>
  <c r="G313" i="4" a="1"/>
  <c r="C453" i="4" a="1"/>
  <c r="C413" i="4" a="1"/>
  <c r="E338" i="4" a="1"/>
  <c r="E483" i="4" a="1"/>
  <c r="G426" i="4" a="1"/>
  <c r="D428" i="4" a="1"/>
  <c r="C495" i="4" a="1"/>
  <c r="D386" i="4" a="1"/>
  <c r="G431" i="4" a="1"/>
  <c r="G372" i="4" a="1"/>
  <c r="E234" i="4" a="1"/>
  <c r="C423" i="4" a="1"/>
  <c r="D396" i="4" a="1"/>
  <c r="C447" i="4" a="1"/>
  <c r="F407" i="4" a="1"/>
  <c r="E375" i="4" a="1"/>
  <c r="E418" i="4" a="1"/>
  <c r="B50" i="4" a="1"/>
  <c r="B103" i="4" a="1"/>
  <c r="C281" i="4" a="1"/>
  <c r="D406" i="4" a="1"/>
  <c r="C263" i="4" a="1"/>
  <c r="G247" i="4" a="1"/>
  <c r="B167" i="4" a="1"/>
  <c r="E261" i="4" a="1"/>
  <c r="B128" i="4" a="1"/>
  <c r="G217" i="4" a="1"/>
  <c r="E333" i="4" a="1"/>
  <c r="F268" i="4" a="1"/>
  <c r="F297" i="4" a="1"/>
  <c r="D377" i="4" a="1"/>
  <c r="B13" i="4" a="1"/>
  <c r="B110" i="4" a="1"/>
  <c r="D335" i="4" a="1"/>
  <c r="F236" i="4" a="1"/>
  <c r="G484" i="4" a="1"/>
  <c r="B73" i="4" a="1"/>
  <c r="F323" i="4" a="1"/>
  <c r="B136" i="4" a="1"/>
  <c r="F376" i="4" a="1"/>
  <c r="C295" i="4" a="1"/>
  <c r="F239" i="4" a="1"/>
  <c r="C409" i="4" a="1"/>
  <c r="E292" i="4" a="1"/>
  <c r="B173" i="4" a="1"/>
  <c r="B63" i="4" a="1"/>
  <c r="E398" i="4" a="1"/>
  <c r="G388" i="4" a="1"/>
  <c r="C231" i="4" a="1"/>
  <c r="E273" i="4" a="1"/>
  <c r="E229" i="4" a="1"/>
  <c r="G322" i="4" a="1"/>
  <c r="E474" i="4" a="1"/>
  <c r="D285" i="4" a="1"/>
  <c r="E409" i="4" a="1"/>
  <c r="D357" i="4" a="1"/>
  <c r="G243" i="4" a="1"/>
  <c r="E249" i="4" a="1"/>
  <c r="D240" i="4" a="1"/>
  <c r="E246" i="4" a="1"/>
  <c r="E232" i="4" a="1"/>
  <c r="G439" i="4" a="1"/>
  <c r="E255" i="4" a="1"/>
  <c r="G363" i="4" a="1"/>
  <c r="D403" i="4" a="1"/>
  <c r="E454" i="4" a="1"/>
  <c r="B117" i="4" a="1"/>
  <c r="D288" i="4" a="1"/>
  <c r="G254" i="4" a="1"/>
  <c r="C306" i="4" a="1"/>
  <c r="E396" i="4" a="1"/>
  <c r="D452" i="4" a="1"/>
  <c r="E213" i="4" a="1"/>
  <c r="F259" i="4" a="1"/>
  <c r="C480" i="4" a="1"/>
  <c r="D416" i="4" a="1"/>
  <c r="G411" i="4" a="1"/>
  <c r="G406" i="4" a="1"/>
  <c r="E441" i="4" a="1"/>
  <c r="B65" i="4" a="1"/>
  <c r="D330" i="4" a="1"/>
  <c r="D231" i="4" a="1"/>
  <c r="E365" i="4" a="1"/>
  <c r="F332" i="4" a="1"/>
  <c r="E356" i="4" a="1"/>
  <c r="C309" i="4" a="1"/>
  <c r="B114" i="4" a="1"/>
  <c r="E388" i="4" a="1"/>
  <c r="G373" i="4" a="1"/>
  <c r="B76" i="4" a="1"/>
  <c r="F250" i="4" a="1"/>
  <c r="E221" i="4" a="1"/>
  <c r="B203" i="4" a="1"/>
  <c r="F413" i="4" a="1"/>
  <c r="D278" i="4" a="1"/>
  <c r="F493" i="4" a="1"/>
  <c r="B43" i="4" a="1"/>
  <c r="E362" i="4" a="1"/>
  <c r="G357" i="4" a="1"/>
  <c r="C458" i="4" a="1"/>
  <c r="G288" i="4" a="1"/>
  <c r="E374" i="4" a="1"/>
  <c r="C318" i="4" a="1"/>
  <c r="C304" i="4" a="1"/>
  <c r="C369" i="4" a="1"/>
  <c r="G489" i="4" a="1"/>
  <c r="E378" i="4" a="1"/>
  <c r="D372" i="4" a="1"/>
  <c r="E285" i="4" a="1"/>
  <c r="D394" i="4" a="1"/>
  <c r="D344" i="4" a="1"/>
  <c r="D261" i="4" a="1"/>
  <c r="E410" i="4" a="1"/>
  <c r="E272" i="4" a="1"/>
  <c r="E387" i="4" a="1"/>
  <c r="F336" i="4" a="1"/>
  <c r="B4" i="4" a="1"/>
  <c r="E430" i="4" a="1"/>
  <c r="G463" i="4" a="1"/>
  <c r="E341" i="4" a="1"/>
  <c r="E254" i="4" a="1"/>
  <c r="F438" i="4" a="1"/>
  <c r="D390" i="4" a="1"/>
  <c r="F316" i="4" a="1"/>
  <c r="B116" i="4" a="1"/>
  <c r="B157" i="4" a="1"/>
  <c r="D418" i="4" a="1"/>
  <c r="G298" i="4" a="1"/>
  <c r="E350" i="4" a="1"/>
  <c r="G392" i="4" a="1"/>
  <c r="F247" i="4" a="1"/>
  <c r="C312" i="4" a="1"/>
  <c r="D388" i="4" a="1"/>
  <c r="B16" i="4" a="1"/>
  <c r="G318" i="4" a="1"/>
  <c r="B184" i="4" a="1"/>
  <c r="F443" i="4" a="1"/>
  <c r="B51" i="4" a="1"/>
  <c r="B10" i="4" a="1"/>
  <c r="D220" i="4" a="1"/>
  <c r="B61" i="4" a="1"/>
  <c r="B190" i="4" a="1"/>
  <c r="F404" i="4" a="1"/>
  <c r="B107" i="4" a="1"/>
  <c r="F353" i="4" a="1"/>
  <c r="F276" i="4" a="1"/>
  <c r="E361" i="4" a="1"/>
  <c r="E248" i="4" a="1"/>
  <c r="E354" i="4" a="1"/>
  <c r="D218" i="4" a="1"/>
  <c r="C396" i="4" a="1"/>
  <c r="G465" i="4" a="1"/>
  <c r="D410" i="4" a="1"/>
  <c r="D350" i="4" a="1"/>
  <c r="D445" i="4" a="1"/>
  <c r="G449" i="4" a="1"/>
  <c r="F237" i="4" a="1"/>
  <c r="C339" i="4" a="1"/>
  <c r="F500" i="4" a="1"/>
  <c r="E451" i="4" a="1"/>
  <c r="E256" i="4" a="1"/>
  <c r="F436" i="4" a="1"/>
  <c r="G326" i="4" a="1"/>
  <c r="F331" i="4" a="1"/>
  <c r="C328" i="4" a="1"/>
  <c r="E420" i="4" a="1"/>
  <c r="E421" i="4" a="1"/>
  <c r="B95" i="4" a="1"/>
  <c r="D290" i="4" a="1"/>
  <c r="C492" i="4" a="1"/>
  <c r="E308" i="4" a="1"/>
  <c r="G451" i="4" a="1"/>
  <c r="F476" i="4" a="1"/>
  <c r="D478" i="4" a="1"/>
  <c r="G377" i="4" a="1"/>
  <c r="B163" i="4" a="1"/>
  <c r="G441" i="4" a="1"/>
  <c r="F431" i="4" a="1"/>
  <c r="B189" i="4" a="1"/>
  <c r="F284" i="4" a="1"/>
  <c r="G445" i="4" a="1"/>
  <c r="G340" i="4" a="1"/>
  <c r="F494" i="4" a="1"/>
  <c r="B211" i="4" a="1"/>
  <c r="B54" i="4" a="1"/>
  <c r="B148" i="4" a="1"/>
  <c r="E466" i="4" a="1"/>
  <c r="B24" i="4" a="1"/>
  <c r="G281" i="4" a="1"/>
  <c r="B132" i="4" a="1"/>
  <c r="B131" i="4" a="1"/>
  <c r="C235" i="4" a="1"/>
  <c r="C214" i="4" a="1"/>
  <c r="C245" i="4" a="1"/>
  <c r="G394" i="4" a="1"/>
  <c r="D246" i="4" a="1"/>
  <c r="G267" i="4" a="1"/>
  <c r="B177" i="4" a="1"/>
  <c r="C302" i="4" a="1"/>
  <c r="D250" i="4" a="1"/>
  <c r="D337" i="4" a="1"/>
  <c r="B2" i="4" a="1"/>
  <c r="E294" i="4" a="1"/>
  <c r="E288" i="4" a="1"/>
  <c r="G478" i="4" a="1"/>
  <c r="D356" i="4" a="1"/>
  <c r="G344" i="4" a="1"/>
  <c r="C355" i="4" a="1"/>
  <c r="D328" i="4" a="1"/>
  <c r="B178" i="4" a="1"/>
  <c r="C442" i="4" a="1"/>
  <c r="B138" i="4" a="1"/>
  <c r="F321" i="4" a="1"/>
  <c r="B68" i="4" a="1"/>
  <c r="E484" i="4" a="1"/>
  <c r="F233" i="4" a="1"/>
  <c r="B179" i="4" a="1"/>
  <c r="D462" i="4" a="1"/>
  <c r="E281" i="4" a="1"/>
  <c r="E301" i="4" a="1"/>
  <c r="D456" i="4" a="1"/>
  <c r="B12" i="4" a="1"/>
  <c r="B180" i="4" a="1"/>
  <c r="B209" i="4" a="1"/>
  <c r="F464" i="4" a="1"/>
  <c r="C384" i="4" a="1"/>
  <c r="E352" i="4" a="1"/>
  <c r="C345" i="4" a="1"/>
  <c r="B141" i="4" a="1"/>
  <c r="G491" i="4" a="1"/>
  <c r="C243" i="4" a="1"/>
  <c r="G258" i="4" a="1"/>
  <c r="G462" i="4" a="1"/>
  <c r="B14" i="4" a="1"/>
  <c r="B106" i="4" a="1"/>
  <c r="D423" i="4" a="1"/>
  <c r="B20" i="4" a="1"/>
  <c r="E265" i="4" a="1"/>
  <c r="D413" i="4" a="1"/>
  <c r="G216" i="4" a="1"/>
  <c r="D497" i="4" a="1"/>
  <c r="F220" i="4" a="1"/>
  <c r="C225" i="4" a="1"/>
  <c r="F408" i="4" a="1"/>
  <c r="C264" i="4" a="1"/>
  <c r="D422" i="4" a="1"/>
  <c r="F480" i="4" a="1"/>
  <c r="D213" i="4" a="1"/>
  <c r="E309" i="4" a="1"/>
  <c r="C378" i="4" a="1"/>
  <c r="E366" i="4" a="1"/>
  <c r="B210" i="4" a="1"/>
  <c r="B121" i="4" a="1"/>
  <c r="B123" i="4" a="1"/>
  <c r="E422" i="4" a="1"/>
  <c r="B207" i="4" a="1"/>
  <c r="B137" i="4" a="1"/>
  <c r="C250" i="4" a="1"/>
  <c r="C455" i="4" a="1"/>
  <c r="F489" i="4" a="1"/>
  <c r="F280" i="4" a="1"/>
  <c r="C487" i="4" a="1"/>
  <c r="G316" i="4" a="1"/>
  <c r="D378" i="4" a="1"/>
  <c r="D298" i="4" a="1"/>
  <c r="G306" i="4" a="1"/>
  <c r="C496" i="4" a="1"/>
  <c r="B67" i="4" a="1"/>
  <c r="B149" i="4" a="1"/>
  <c r="C363" i="4" a="1"/>
  <c r="G354" i="4" a="1"/>
  <c r="C315" i="4" a="1"/>
  <c r="E318" i="4" a="1"/>
  <c r="F455" i="4" a="1"/>
  <c r="D400" i="4" a="1"/>
  <c r="D265" i="4" a="1"/>
  <c r="D439" i="4" a="1"/>
  <c r="G290" i="4" a="1"/>
  <c r="D459" i="4" a="1"/>
  <c r="C467" i="4" a="1"/>
  <c r="G360" i="4" a="1"/>
  <c r="D268" i="4" a="1"/>
  <c r="D431" i="4" a="1"/>
  <c r="B25" i="4" a="1"/>
  <c r="G222" i="4" a="1"/>
  <c r="D245" i="4" a="1"/>
  <c r="B195" i="4" a="1"/>
  <c r="C465" i="4" a="1"/>
  <c r="B161" i="4" a="1"/>
  <c r="E368" i="4" a="1"/>
  <c r="B154" i="4" a="1"/>
  <c r="G400" i="4" a="1"/>
  <c r="C481" i="4" a="1"/>
  <c r="E481" i="4" a="1"/>
  <c r="B201" i="4" a="1"/>
  <c r="B38" i="4" a="1"/>
  <c r="F310" i="4" a="1"/>
  <c r="B133" i="4" a="1"/>
  <c r="B47" i="4" a="1"/>
  <c r="B7" i="4" a="1"/>
  <c r="E329" i="4" a="1"/>
  <c r="B206" i="4" a="1"/>
  <c r="B140" i="4" a="1"/>
  <c r="B15" i="4" a="1"/>
  <c r="F384" i="4" a="1"/>
  <c r="F226" i="4" a="1"/>
  <c r="B162" i="4" a="1"/>
  <c r="B104" i="4" a="1"/>
  <c r="B59" i="4" a="1"/>
  <c r="G460" i="4" a="1"/>
  <c r="F367" i="4" a="1"/>
  <c r="F271" i="4" a="1"/>
  <c r="D361" i="4" a="1"/>
  <c r="C337" i="4" a="1"/>
  <c r="G345" i="4" a="1"/>
  <c r="C399" i="4" a="1"/>
  <c r="G282" i="4" a="1"/>
  <c r="B181" i="4" a="1"/>
  <c r="G410" i="4" a="1"/>
  <c r="B84" i="4" a="1"/>
  <c r="B39" i="4" a="1"/>
  <c r="D216" i="4" a="1"/>
  <c r="D466" i="4" a="1"/>
  <c r="C251" i="4" a="1"/>
  <c r="E269" i="4" a="1"/>
  <c r="E428" i="4" a="1"/>
  <c r="G401" i="4" a="1"/>
  <c r="E343" i="4" a="1"/>
  <c r="B64" i="4" a="1"/>
  <c r="D303" i="4" a="1"/>
  <c r="B142" i="4" a="1"/>
  <c r="B55" i="4" a="1"/>
  <c r="E245" i="4" a="1"/>
  <c r="D252" i="4" a="1"/>
  <c r="C252" i="4" a="1"/>
  <c r="B155" i="4" a="1"/>
  <c r="C303" i="4" a="1"/>
  <c r="C379" i="4" a="1"/>
  <c r="F458" i="4" a="1"/>
  <c r="B19" i="4" a="1"/>
  <c r="G466" i="4" a="1"/>
  <c r="E417" i="4" a="1"/>
  <c r="C330" i="4" a="1"/>
  <c r="G412" i="4" a="1"/>
  <c r="G427" i="4" a="1"/>
  <c r="E322" i="4" a="1"/>
  <c r="B174" i="4" a="1"/>
  <c r="C296" i="4" a="1"/>
  <c r="C220" i="4" a="1"/>
  <c r="D334" i="4" a="1"/>
  <c r="E467" i="4" a="1"/>
  <c r="D263" i="4" a="1"/>
  <c r="D345" i="4" a="1"/>
  <c r="G358" i="4" a="1"/>
  <c r="G474" i="4" a="1"/>
  <c r="E423" i="4" a="1"/>
  <c r="B77" i="4" a="1"/>
  <c r="C346" i="4" a="1"/>
  <c r="E305" i="4" a="1"/>
  <c r="B86" i="4" a="1"/>
  <c r="C334" i="4" a="1"/>
  <c r="G471" i="4" a="1"/>
  <c r="C424" i="4" a="1"/>
  <c r="G264" i="4" a="1"/>
  <c r="D343" i="4" a="1"/>
  <c r="E216" i="4" a="1"/>
  <c r="F230" i="4" a="1"/>
  <c r="C477" i="4" a="1"/>
  <c r="B41" i="4" a="1"/>
  <c r="B48" i="4" a="1"/>
  <c r="C395" i="4" a="1"/>
  <c r="F435" i="4" a="1"/>
  <c r="C365" i="4" a="1"/>
  <c r="C367" i="4" a="1"/>
  <c r="F446" i="4" a="1"/>
  <c r="B160" i="4" a="1"/>
  <c r="C368" i="4" a="1"/>
  <c r="F469" i="4" a="1"/>
  <c r="G361" i="4" a="1"/>
  <c r="G356" i="4" a="1"/>
  <c r="E325" i="4" a="1"/>
  <c r="B204" i="4" a="1"/>
  <c r="B31" i="4" a="1"/>
  <c r="B194" i="4" a="1"/>
  <c r="B23" i="4" a="1"/>
  <c r="E235" i="4" a="1"/>
  <c r="D373" i="4" a="1"/>
  <c r="G422" i="4" a="1"/>
  <c r="C255" i="4" a="1"/>
  <c r="D473" i="4" a="1"/>
  <c r="B83" i="4" a="1"/>
  <c r="C418" i="4" a="1"/>
  <c r="C298" i="4" a="1"/>
  <c r="E279" i="4" a="1"/>
  <c r="C354" i="4" a="1"/>
  <c r="E389" i="4" a="1"/>
  <c r="C430" i="4" a="1"/>
  <c r="D346" i="4" a="1"/>
  <c r="D282" i="4" a="1"/>
  <c r="D498" i="4" a="1"/>
  <c r="C261" i="4" a="1"/>
  <c r="D421" i="4" a="1"/>
  <c r="C412" i="4" a="1"/>
  <c r="G365" i="4" a="1"/>
  <c r="C350" i="4" a="1"/>
  <c r="E257" i="4" a="1"/>
  <c r="B71" i="4" a="1"/>
  <c r="G475" i="4" a="1"/>
  <c r="B134" i="4" a="1"/>
  <c r="B146" i="4" a="1"/>
  <c r="F397" i="4" a="1"/>
  <c r="D470" i="4" a="1"/>
  <c r="D340" i="4" a="1"/>
  <c r="F402" i="4" a="1"/>
  <c r="G420" i="4" a="1"/>
  <c r="C461" i="4" a="1"/>
  <c r="G461" i="4" a="1"/>
  <c r="C390" i="4" a="1"/>
  <c r="B125" i="4" a="1"/>
  <c r="F434" i="4" a="1"/>
  <c r="B188" i="4" a="1"/>
  <c r="D453" i="4" a="1"/>
  <c r="G242" i="4" a="1"/>
  <c r="E349" i="4" a="1"/>
  <c r="C290" i="4" a="1"/>
  <c r="C333" i="4" a="1"/>
  <c r="C283" i="4" a="1"/>
  <c r="E473" i="4" a="1"/>
  <c r="F327" i="4" a="1"/>
  <c r="D239" i="4" a="1"/>
  <c r="C450" i="4" a="1"/>
  <c r="E482" i="4" a="1"/>
  <c r="E264" i="4" a="1"/>
  <c r="D465" i="4" a="1"/>
  <c r="D391" i="4" a="1"/>
  <c r="B208" i="4" a="1"/>
  <c r="G378" i="4" a="1"/>
  <c r="B108" i="4" a="1"/>
  <c r="C432" i="4" a="1"/>
  <c r="G266" i="4" a="1"/>
  <c r="B80" i="4" a="1"/>
  <c r="B172" i="4" a="1"/>
  <c r="B200" i="4" a="1"/>
  <c r="C343" i="4" a="1"/>
  <c r="G470" i="4" a="1"/>
  <c r="C286" i="4" a="1"/>
  <c r="F452" i="4" a="1"/>
  <c r="B158" i="4" a="1"/>
  <c r="E416" i="4" a="1"/>
  <c r="E449" i="4" a="1"/>
  <c r="D371" i="4" a="1"/>
  <c r="E445" i="4" a="1"/>
  <c r="E215" i="4" a="1"/>
  <c r="C234" i="4" a="1"/>
  <c r="F495" i="4" a="1"/>
  <c r="D451" i="4" a="1"/>
  <c r="C238" i="4" a="1"/>
  <c r="G395" i="4" a="1"/>
  <c r="G386" i="4" a="1"/>
  <c r="E390" i="4" a="1"/>
  <c r="B202" i="4" a="1"/>
  <c r="G294" i="4" a="1"/>
  <c r="G223" i="4" a="1"/>
  <c r="E317" i="4" a="1"/>
  <c r="B101" i="4" a="1"/>
  <c r="B144" i="4" a="1"/>
  <c r="C356" i="4" a="1"/>
  <c r="F319" i="4" a="1"/>
  <c r="C377" i="4" a="1"/>
  <c r="E299" i="4" a="1"/>
  <c r="D484" i="4" a="1"/>
  <c r="B165" i="4" a="1"/>
  <c r="C267" i="4" a="1"/>
  <c r="B98" i="4" a="1"/>
  <c r="E411" i="4" a="1"/>
  <c r="B82" i="4" a="1"/>
  <c r="D398" i="4" a="1"/>
  <c r="E373" i="4" a="1"/>
  <c r="D475" i="4" a="1"/>
  <c r="D329" i="4" a="1"/>
  <c r="C276" i="4" a="1"/>
  <c r="C347" i="4" a="1"/>
  <c r="D491" i="4" a="1"/>
  <c r="E497" i="4" a="1"/>
  <c r="B176" i="4" a="1"/>
  <c r="C358" i="4" a="1"/>
  <c r="B33" i="4" a="1"/>
  <c r="C351" i="4" a="1"/>
  <c r="E460" i="4" a="1"/>
  <c r="F340" i="4" a="1"/>
  <c r="G367" i="4" a="1"/>
  <c r="B6" i="4" a="1"/>
  <c r="F370" i="4" a="1"/>
  <c r="B147" i="4" a="1"/>
  <c r="G278" i="4" a="1"/>
  <c r="C459" i="4" a="1"/>
  <c r="B111" i="4" a="1"/>
  <c r="D389" i="4" a="1"/>
  <c r="G239" i="4" a="1"/>
  <c r="D267" i="4" a="1"/>
  <c r="D321" i="4" a="1"/>
  <c r="F355" i="4" a="1"/>
  <c r="C400" i="4" a="1"/>
  <c r="B87" i="4" a="1"/>
  <c r="C317" i="4" a="1"/>
  <c r="F364" i="4" a="1"/>
  <c r="F241" i="4" a="1"/>
  <c r="B152" i="4" a="1"/>
  <c r="B171" i="4" a="1"/>
  <c r="E258" i="4" a="1"/>
  <c r="B29" i="4" a="1"/>
  <c r="B72" i="4" a="1"/>
  <c r="B199" i="4" a="1"/>
  <c r="C466" i="4" a="1"/>
  <c r="G295" i="4" a="1"/>
  <c r="E348" i="4" a="1"/>
  <c r="B192" i="4" a="1"/>
  <c r="C417" i="4" a="1"/>
  <c r="C475" i="4" a="1"/>
  <c r="E487" i="4" a="1"/>
  <c r="C258" i="4" a="1"/>
  <c r="C414" i="4" a="1"/>
  <c r="D480" i="4" a="1"/>
  <c r="G352" i="4" a="1"/>
  <c r="G418" i="4" a="1"/>
  <c r="B122" i="4" a="1"/>
  <c r="G312" i="4" a="1"/>
  <c r="D449" i="4" a="1"/>
  <c r="B102" i="4" a="1"/>
  <c r="B44" i="4" a="1"/>
  <c r="B119" i="4" a="1"/>
  <c r="C268" i="4" a="1"/>
  <c r="C462" i="4" a="1"/>
  <c r="B36" i="4" a="1"/>
  <c r="E371" i="4" a="1"/>
  <c r="G375" i="4" a="1"/>
  <c r="D469" i="4" a="1"/>
  <c r="D482" i="4" a="1"/>
  <c r="D317" i="4" a="1"/>
  <c r="B35" i="4" a="1"/>
  <c r="C335" i="4" a="1"/>
  <c r="B118" i="4" a="1"/>
  <c r="B91" i="4" a="1"/>
  <c r="B58" i="4" a="1"/>
  <c r="E414" i="4" a="1"/>
  <c r="E450" i="4" a="1"/>
  <c r="B153" i="4" a="1"/>
  <c r="C452" i="4" a="1"/>
  <c r="D433" i="4" a="1"/>
  <c r="G255" i="4" a="1"/>
  <c r="E222" i="4" a="1"/>
  <c r="C228" i="4" a="1"/>
  <c r="B170" i="4" a="1"/>
  <c r="B94" i="4" a="1"/>
  <c r="G423" i="4" a="1"/>
  <c r="B81" i="4" a="1"/>
  <c r="E217" i="4" a="1"/>
  <c r="G320" i="4" a="1"/>
  <c r="C218" i="4" a="1"/>
  <c r="G483" i="4" a="1"/>
  <c r="D364" i="4" a="1"/>
  <c r="B22" i="4" a="1"/>
  <c r="C456" i="4" a="1"/>
  <c r="G355" i="4" a="1"/>
  <c r="F429" i="4" a="1"/>
  <c r="C454" i="4" a="1"/>
  <c r="C380" i="4" a="1"/>
  <c r="F471" i="4" a="1"/>
  <c r="F320" i="4" a="1"/>
  <c r="D417" i="4" a="1"/>
  <c r="F432" i="4" a="1"/>
  <c r="B145" i="4" a="1"/>
  <c r="F307" i="4" a="1"/>
  <c r="B191" i="4" a="1"/>
  <c r="B75" i="4" a="1"/>
  <c r="G296" i="4" a="1"/>
  <c r="E302" i="4" a="1"/>
  <c r="E357" i="4" a="1"/>
  <c r="G252" i="4" a="1"/>
  <c r="E401" i="4" a="1"/>
  <c r="C433" i="4" a="1"/>
  <c r="F363" i="4" a="1"/>
  <c r="E426" i="4" a="1"/>
  <c r="D352" i="4" a="1"/>
  <c r="F386" i="4" a="1"/>
  <c r="B60" i="4" a="1"/>
  <c r="B151" i="4" a="1"/>
  <c r="F224" i="4" a="1"/>
  <c r="B139" i="4" a="1"/>
  <c r="E306" i="4" a="1"/>
  <c r="G273" i="4" a="1"/>
  <c r="E228" i="4" a="1"/>
  <c r="E312" i="4" a="1"/>
  <c r="E486" i="4" a="1"/>
  <c r="B182" i="4" a="1"/>
  <c r="B52" i="4" a="1"/>
  <c r="B127" i="4" a="1"/>
  <c r="C262" i="4" a="1"/>
  <c r="F277" i="4" a="1"/>
  <c r="C325" i="4" a="1"/>
  <c r="F496" i="4" a="1"/>
  <c r="E328" i="4" a="1"/>
  <c r="C406" i="4" a="1"/>
  <c r="B69" i="4" a="1"/>
  <c r="B135" i="4" a="1"/>
  <c r="B129" i="4" a="1"/>
  <c r="D474" i="4" a="1"/>
  <c r="E263" i="4" a="1"/>
  <c r="F392" i="4" a="1"/>
  <c r="C359" i="4" a="1"/>
  <c r="E300" i="4" a="1"/>
  <c r="G335" i="4" a="1"/>
  <c r="D420" i="4" a="1"/>
  <c r="G251" i="4" a="1"/>
  <c r="G347" i="4" a="1"/>
  <c r="E303" i="4" a="1"/>
  <c r="B46" i="4" a="1"/>
  <c r="E439" i="4" a="1"/>
  <c r="F488" i="4" a="1"/>
  <c r="B56" i="4" a="1"/>
  <c r="G380" i="4" a="1"/>
  <c r="C288" i="4" a="1"/>
  <c r="C388" i="4" a="1"/>
  <c r="D442" i="4" a="1"/>
  <c r="E425" i="4" a="1"/>
  <c r="F296" i="4" a="1"/>
  <c r="B3" i="4" a="1"/>
  <c r="D454" i="4" a="1"/>
  <c r="B53" i="4" a="1"/>
  <c r="C273" i="4" a="1"/>
  <c r="E298" i="4" a="1"/>
  <c r="F461" i="4" a="1"/>
  <c r="G396" i="4" a="1"/>
  <c r="B159" i="4" a="1"/>
  <c r="F291" i="4" a="1"/>
  <c r="F472" i="4" a="1"/>
  <c r="C329" i="4" a="1"/>
  <c r="B9" i="4" a="1"/>
  <c r="D305" i="4" a="1"/>
  <c r="G482" i="4" a="1"/>
  <c r="B37" i="4" a="1"/>
  <c r="B17" i="4" a="1"/>
  <c r="I277" i="4" l="1"/>
  <c r="I233" i="4"/>
  <c r="I397" i="4"/>
  <c r="I291" i="4"/>
  <c r="I446" i="4"/>
  <c r="I331" i="4"/>
  <c r="I469" i="4"/>
  <c r="I355" i="4"/>
  <c r="I241" i="4"/>
  <c r="I402" i="4"/>
  <c r="I436" i="4"/>
  <c r="I284" i="4"/>
  <c r="I340" i="4"/>
  <c r="I304" i="4"/>
  <c r="I225" i="4"/>
  <c r="I274" i="4"/>
  <c r="I408" i="4"/>
  <c r="I471" i="4"/>
  <c r="I485" i="4"/>
  <c r="I419" i="4"/>
  <c r="I452" i="4"/>
  <c r="I495" i="4"/>
  <c r="I275" i="4"/>
  <c r="I250" i="4"/>
  <c r="I262" i="4"/>
  <c r="I434" i="4"/>
  <c r="I437" i="4"/>
  <c r="I321" i="4"/>
  <c r="I266" i="4"/>
  <c r="I230" i="4"/>
  <c r="I332" i="4"/>
  <c r="I488" i="4"/>
  <c r="I324" i="4"/>
  <c r="I367" i="4"/>
  <c r="I480" i="4"/>
  <c r="I431" i="4"/>
  <c r="I364" i="4"/>
  <c r="I268" i="4"/>
  <c r="I227" i="4"/>
  <c r="I293" i="4"/>
  <c r="I327" i="4"/>
  <c r="I323" i="4"/>
  <c r="I320" i="4"/>
  <c r="I253" i="4"/>
  <c r="I280" i="4"/>
  <c r="I267" i="4"/>
  <c r="I385" i="4"/>
  <c r="I310" i="4"/>
  <c r="I319" i="4"/>
  <c r="I289" i="4"/>
  <c r="I490" i="4"/>
  <c r="I476" i="4"/>
  <c r="I381" i="4"/>
  <c r="I370" i="4"/>
  <c r="I224" i="4"/>
  <c r="I489" i="4"/>
  <c r="I384" i="4"/>
  <c r="I218" i="4"/>
  <c r="I220" i="4"/>
  <c r="I336" i="4"/>
  <c r="I464" i="4"/>
  <c r="I353" i="4"/>
  <c r="I496" i="4"/>
  <c r="I472" i="4"/>
  <c r="I237" i="4"/>
  <c r="I243" i="4"/>
  <c r="I214" i="4"/>
  <c r="I407" i="4"/>
  <c r="I440" i="4"/>
  <c r="I427" i="4"/>
  <c r="I461" i="4"/>
  <c r="I500" i="4"/>
  <c r="I297" i="4"/>
  <c r="I386" i="4"/>
  <c r="I239" i="4"/>
  <c r="I259" i="4"/>
  <c r="I276" i="4"/>
  <c r="I405" i="4"/>
  <c r="I382" i="4"/>
  <c r="I413" i="4"/>
  <c r="I295" i="4"/>
  <c r="I455" i="4"/>
  <c r="I226" i="4"/>
  <c r="I494" i="4"/>
  <c r="I444" i="4"/>
  <c r="I307" i="4"/>
  <c r="I376" i="4"/>
  <c r="I493" i="4"/>
  <c r="I247" i="4"/>
  <c r="I238" i="4"/>
  <c r="I443" i="4"/>
  <c r="I458" i="4"/>
  <c r="I468" i="4"/>
  <c r="I316" i="4"/>
  <c r="I219" i="4"/>
  <c r="I271" i="4"/>
  <c r="I438" i="4"/>
  <c r="I296" i="4"/>
  <c r="I363" i="4"/>
  <c r="I432" i="4"/>
  <c r="I392" i="4"/>
  <c r="I236" i="4"/>
  <c r="I435" i="4"/>
  <c r="I429" i="4"/>
  <c r="I404" i="4"/>
  <c r="Q277" i="4"/>
  <c r="Q233" i="4"/>
  <c r="Q397" i="4"/>
  <c r="Q291" i="4"/>
  <c r="Q446" i="4"/>
  <c r="Q331" i="4"/>
  <c r="Q469" i="4"/>
  <c r="Q355" i="4"/>
  <c r="Q381" i="4"/>
  <c r="Q500" i="4"/>
  <c r="Q297" i="4"/>
  <c r="Q386" i="4"/>
  <c r="Q370" i="4"/>
  <c r="Q224" i="4"/>
  <c r="Q239" i="4"/>
  <c r="Q241" i="4"/>
  <c r="Q402" i="4"/>
  <c r="Q489" i="4"/>
  <c r="Q259" i="4"/>
  <c r="Q276" i="4"/>
  <c r="Q436" i="4"/>
  <c r="Q405" i="4"/>
  <c r="Q382" i="4"/>
  <c r="Q384" i="4"/>
  <c r="Q413" i="4"/>
  <c r="Q295" i="4"/>
  <c r="Q455" i="4"/>
  <c r="Q226" i="4"/>
  <c r="Q494" i="4"/>
  <c r="Q284" i="4"/>
  <c r="Q218" i="4"/>
  <c r="Q220" i="4"/>
  <c r="Q336" i="4"/>
  <c r="Q464" i="4"/>
  <c r="Q340" i="4"/>
  <c r="Q353" i="4"/>
  <c r="Q496" i="4"/>
  <c r="Q304" i="4"/>
  <c r="Q225" i="4"/>
  <c r="Q274" i="4"/>
  <c r="Q408" i="4"/>
  <c r="Q471" i="4"/>
  <c r="Q485" i="4"/>
  <c r="Q419" i="4"/>
  <c r="Q452" i="4"/>
  <c r="Q495" i="4"/>
  <c r="Q275" i="4"/>
  <c r="Q250" i="4"/>
  <c r="Q262" i="4"/>
  <c r="Q434" i="4"/>
  <c r="Q437" i="4"/>
  <c r="Q321" i="4"/>
  <c r="Q266" i="4"/>
  <c r="Q230" i="4"/>
  <c r="Q332" i="4"/>
  <c r="Q488" i="4"/>
  <c r="Q324" i="4"/>
  <c r="Q367" i="4"/>
  <c r="Q480" i="4"/>
  <c r="Q431" i="4"/>
  <c r="Q364" i="4"/>
  <c r="Q268" i="4"/>
  <c r="Q227" i="4"/>
  <c r="Q293" i="4"/>
  <c r="Q327" i="4"/>
  <c r="Q323" i="4"/>
  <c r="Q320" i="4"/>
  <c r="Q472" i="4"/>
  <c r="Q476" i="4"/>
  <c r="Q280" i="4"/>
  <c r="Q243" i="4"/>
  <c r="Q461" i="4"/>
  <c r="Q253" i="4"/>
  <c r="Q267" i="4"/>
  <c r="Q385" i="4"/>
  <c r="Q310" i="4"/>
  <c r="Q237" i="4"/>
  <c r="Q307" i="4"/>
  <c r="Q376" i="4"/>
  <c r="Q493" i="4"/>
  <c r="Q219" i="4"/>
  <c r="Q271" i="4"/>
  <c r="Q438" i="4"/>
  <c r="Q296" i="4"/>
  <c r="Q363" i="4"/>
  <c r="Q432" i="4"/>
  <c r="Q392" i="4"/>
  <c r="Q319" i="4"/>
  <c r="Q289" i="4"/>
  <c r="Q490" i="4"/>
  <c r="Q214" i="4"/>
  <c r="Q407" i="4"/>
  <c r="Q440" i="4"/>
  <c r="Q427" i="4"/>
  <c r="Q444" i="4"/>
  <c r="Q247" i="4"/>
  <c r="Q238" i="4"/>
  <c r="Q443" i="4"/>
  <c r="Q458" i="4"/>
  <c r="Q468" i="4"/>
  <c r="Q316" i="4"/>
  <c r="Q236" i="4"/>
  <c r="Q435" i="4"/>
  <c r="Q429" i="4"/>
  <c r="Q404" i="4"/>
  <c r="O284" i="4"/>
  <c r="O271" i="4"/>
  <c r="O435" i="4"/>
  <c r="O239" i="4"/>
  <c r="O405" i="4"/>
  <c r="O324" i="4"/>
  <c r="O440" i="4"/>
  <c r="O321" i="4"/>
  <c r="O404" i="4"/>
  <c r="O363" i="4"/>
  <c r="O444" i="4"/>
  <c r="O485" i="4"/>
  <c r="O493" i="4"/>
  <c r="O364" i="4"/>
  <c r="O214" i="4"/>
  <c r="O464" i="4"/>
  <c r="O490" i="4"/>
  <c r="O382" i="4"/>
  <c r="O496" i="4"/>
  <c r="O320" i="4"/>
  <c r="O227" i="4"/>
  <c r="O218" i="4"/>
  <c r="O408" i="4"/>
  <c r="O297" i="4"/>
  <c r="O367" i="4"/>
  <c r="O241" i="4"/>
  <c r="O247" i="4"/>
  <c r="O267" i="4"/>
  <c r="O291" i="4"/>
  <c r="O402" i="4"/>
  <c r="O353" i="4"/>
  <c r="O452" i="4"/>
  <c r="O304" i="4"/>
  <c r="O236" i="4"/>
  <c r="O289" i="4"/>
  <c r="O307" i="4"/>
  <c r="O323" i="4"/>
  <c r="O489" i="4"/>
  <c r="O480" i="4"/>
  <c r="O461" i="4"/>
  <c r="O219" i="4"/>
  <c r="O250" i="4"/>
  <c r="O336" i="4"/>
  <c r="O438" i="4"/>
  <c r="O431" i="4"/>
  <c r="O295" i="4"/>
  <c r="O488" i="4"/>
  <c r="O381" i="4"/>
  <c r="O331" i="4"/>
  <c r="O476" i="4"/>
  <c r="O266" i="4"/>
  <c r="O226" i="4"/>
  <c r="O237" i="4"/>
  <c r="O230" i="4"/>
  <c r="O446" i="4"/>
  <c r="O436" i="4"/>
  <c r="O296" i="4"/>
  <c r="O397" i="4"/>
  <c r="O443" i="4"/>
  <c r="O471" i="4"/>
  <c r="O340" i="4"/>
  <c r="O370" i="4"/>
  <c r="O386" i="4"/>
  <c r="O274" i="4"/>
  <c r="O277" i="4"/>
  <c r="O280" i="4"/>
  <c r="O259" i="4"/>
  <c r="O275" i="4"/>
  <c r="O268" i="4"/>
  <c r="O332" i="4"/>
  <c r="O458" i="4"/>
  <c r="O220" i="4"/>
  <c r="O319" i="4"/>
  <c r="O407" i="4"/>
  <c r="O468" i="4"/>
  <c r="O419" i="4"/>
  <c r="O355" i="4"/>
  <c r="O385" i="4"/>
  <c r="O225" i="4"/>
  <c r="O253" i="4"/>
  <c r="O238" i="4"/>
  <c r="O310" i="4"/>
  <c r="O494" i="4"/>
  <c r="O376" i="4"/>
  <c r="O472" i="4"/>
  <c r="O316" i="4"/>
  <c r="O495" i="4"/>
  <c r="O434" i="4"/>
  <c r="O413" i="4"/>
  <c r="O262" i="4"/>
  <c r="O500" i="4"/>
  <c r="O437" i="4"/>
  <c r="O384" i="4"/>
  <c r="O469" i="4"/>
  <c r="O432" i="4"/>
  <c r="O243" i="4"/>
  <c r="O293" i="4"/>
  <c r="O427" i="4"/>
  <c r="O224" i="4"/>
  <c r="O233" i="4"/>
  <c r="O276" i="4"/>
  <c r="O327" i="4"/>
  <c r="O429" i="4"/>
  <c r="O392" i="4"/>
  <c r="O455" i="4"/>
  <c r="K220" i="4"/>
  <c r="K319" i="4"/>
  <c r="K407" i="4"/>
  <c r="K419" i="4"/>
  <c r="K355" i="4"/>
  <c r="K284" i="4"/>
  <c r="K271" i="4"/>
  <c r="K435" i="4"/>
  <c r="K296" i="4"/>
  <c r="K397" i="4"/>
  <c r="K385" i="4"/>
  <c r="K434" i="4"/>
  <c r="K404" i="4"/>
  <c r="K363" i="4"/>
  <c r="K364" i="4"/>
  <c r="K214" i="4"/>
  <c r="K464" i="4"/>
  <c r="K490" i="4"/>
  <c r="K382" i="4"/>
  <c r="K496" i="4"/>
  <c r="K413" i="4"/>
  <c r="K320" i="4"/>
  <c r="K227" i="4"/>
  <c r="K218" i="4"/>
  <c r="K408" i="4"/>
  <c r="K297" i="4"/>
  <c r="K367" i="4"/>
  <c r="K241" i="4"/>
  <c r="K247" i="4"/>
  <c r="K267" i="4"/>
  <c r="K291" i="4"/>
  <c r="K402" i="4"/>
  <c r="K353" i="4"/>
  <c r="K452" i="4"/>
  <c r="K304" i="4"/>
  <c r="K236" i="4"/>
  <c r="K289" i="4"/>
  <c r="K307" i="4"/>
  <c r="K323" i="4"/>
  <c r="K489" i="4"/>
  <c r="K480" i="4"/>
  <c r="K461" i="4"/>
  <c r="K219" i="4"/>
  <c r="K250" i="4"/>
  <c r="K336" i="4"/>
  <c r="K438" i="4"/>
  <c r="K431" i="4"/>
  <c r="K295" i="4"/>
  <c r="K488" i="4"/>
  <c r="K381" i="4"/>
  <c r="K331" i="4"/>
  <c r="K476" i="4"/>
  <c r="K268" i="4"/>
  <c r="K275" i="4"/>
  <c r="K332" i="4"/>
  <c r="K436" i="4"/>
  <c r="K458" i="4"/>
  <c r="K468" i="4"/>
  <c r="K239" i="4"/>
  <c r="K274" i="4"/>
  <c r="K405" i="4"/>
  <c r="K324" i="4"/>
  <c r="K440" i="4"/>
  <c r="K321" i="4"/>
  <c r="K277" i="4"/>
  <c r="K280" i="4"/>
  <c r="K444" i="4"/>
  <c r="K485" i="4"/>
  <c r="K493" i="4"/>
  <c r="K266" i="4"/>
  <c r="K226" i="4"/>
  <c r="K237" i="4"/>
  <c r="K230" i="4"/>
  <c r="K446" i="4"/>
  <c r="K225" i="4"/>
  <c r="K443" i="4"/>
  <c r="K471" i="4"/>
  <c r="K340" i="4"/>
  <c r="K370" i="4"/>
  <c r="K386" i="4"/>
  <c r="K253" i="4"/>
  <c r="K259" i="4"/>
  <c r="K238" i="4"/>
  <c r="K310" i="4"/>
  <c r="K494" i="4"/>
  <c r="K376" i="4"/>
  <c r="K472" i="4"/>
  <c r="K316" i="4"/>
  <c r="K495" i="4"/>
  <c r="K262" i="4"/>
  <c r="K500" i="4"/>
  <c r="K437" i="4"/>
  <c r="K384" i="4"/>
  <c r="K469" i="4"/>
  <c r="K432" i="4"/>
  <c r="K243" i="4"/>
  <c r="K293" i="4"/>
  <c r="K427" i="4"/>
  <c r="K224" i="4"/>
  <c r="K233" i="4"/>
  <c r="K276" i="4"/>
  <c r="K327" i="4"/>
  <c r="K429" i="4"/>
  <c r="K392" i="4"/>
  <c r="K455" i="4"/>
  <c r="M319" i="4"/>
  <c r="M407" i="4"/>
  <c r="M355" i="4"/>
  <c r="M271" i="4"/>
  <c r="M239" i="4"/>
  <c r="M274" i="4"/>
  <c r="M405" i="4"/>
  <c r="M324" i="4"/>
  <c r="M440" i="4"/>
  <c r="M321" i="4"/>
  <c r="M397" i="4"/>
  <c r="M385" i="4"/>
  <c r="M434" i="4"/>
  <c r="M404" i="4"/>
  <c r="M277" i="4"/>
  <c r="M280" i="4"/>
  <c r="M363" i="4"/>
  <c r="M444" i="4"/>
  <c r="M485" i="4"/>
  <c r="M493" i="4"/>
  <c r="M364" i="4"/>
  <c r="M214" i="4"/>
  <c r="M464" i="4"/>
  <c r="M490" i="4"/>
  <c r="M382" i="4"/>
  <c r="M496" i="4"/>
  <c r="M413" i="4"/>
  <c r="M320" i="4"/>
  <c r="M227" i="4"/>
  <c r="M218" i="4"/>
  <c r="M408" i="4"/>
  <c r="M297" i="4"/>
  <c r="M367" i="4"/>
  <c r="M241" i="4"/>
  <c r="M247" i="4"/>
  <c r="M267" i="4"/>
  <c r="M291" i="4"/>
  <c r="M402" i="4"/>
  <c r="M353" i="4"/>
  <c r="M452" i="4"/>
  <c r="M304" i="4"/>
  <c r="M220" i="4"/>
  <c r="M468" i="4"/>
  <c r="M284" i="4"/>
  <c r="M435" i="4"/>
  <c r="M296" i="4"/>
  <c r="M236" i="4"/>
  <c r="M289" i="4"/>
  <c r="M307" i="4"/>
  <c r="M323" i="4"/>
  <c r="M489" i="4"/>
  <c r="M480" i="4"/>
  <c r="M461" i="4"/>
  <c r="M219" i="4"/>
  <c r="M250" i="4"/>
  <c r="M336" i="4"/>
  <c r="M438" i="4"/>
  <c r="M431" i="4"/>
  <c r="M295" i="4"/>
  <c r="M436" i="4"/>
  <c r="M437" i="4"/>
  <c r="M243" i="4"/>
  <c r="M293" i="4"/>
  <c r="M427" i="4"/>
  <c r="M268" i="4"/>
  <c r="M275" i="4"/>
  <c r="M332" i="4"/>
  <c r="M458" i="4"/>
  <c r="M419" i="4"/>
  <c r="M488" i="4"/>
  <c r="M381" i="4"/>
  <c r="M331" i="4"/>
  <c r="M476" i="4"/>
  <c r="M266" i="4"/>
  <c r="M226" i="4"/>
  <c r="M237" i="4"/>
  <c r="M230" i="4"/>
  <c r="M446" i="4"/>
  <c r="M225" i="4"/>
  <c r="M443" i="4"/>
  <c r="M471" i="4"/>
  <c r="M340" i="4"/>
  <c r="M370" i="4"/>
  <c r="M386" i="4"/>
  <c r="M253" i="4"/>
  <c r="M259" i="4"/>
  <c r="M238" i="4"/>
  <c r="M310" i="4"/>
  <c r="M494" i="4"/>
  <c r="M376" i="4"/>
  <c r="M472" i="4"/>
  <c r="M316" i="4"/>
  <c r="M495" i="4"/>
  <c r="M262" i="4"/>
  <c r="M500" i="4"/>
  <c r="M384" i="4"/>
  <c r="M469" i="4"/>
  <c r="M432" i="4"/>
  <c r="M224" i="4"/>
  <c r="M233" i="4"/>
  <c r="M276" i="4"/>
  <c r="M327" i="4"/>
  <c r="M429" i="4"/>
  <c r="M392" i="4"/>
  <c r="M455" i="4"/>
  <c r="D442" i="4"/>
  <c r="G296" i="4"/>
  <c r="E414" i="4"/>
  <c r="G278" i="4"/>
  <c r="D398" i="4"/>
  <c r="E416" i="4"/>
  <c r="E349" i="4"/>
  <c r="G242" i="4"/>
  <c r="D453" i="4"/>
  <c r="E279" i="4"/>
  <c r="E235" i="4"/>
  <c r="C296" i="4"/>
  <c r="G466" i="4"/>
  <c r="D466" i="4"/>
  <c r="D361" i="4"/>
  <c r="D265" i="4"/>
  <c r="D400" i="4"/>
  <c r="D413" i="4"/>
  <c r="E265" i="4"/>
  <c r="C243" i="4"/>
  <c r="C384" i="4"/>
  <c r="E301" i="4"/>
  <c r="C214" i="4"/>
  <c r="C235" i="4"/>
  <c r="E466" i="4"/>
  <c r="E248" i="4"/>
  <c r="E361" i="4"/>
  <c r="G489" i="4"/>
  <c r="C369" i="4"/>
  <c r="C304" i="4"/>
  <c r="C458" i="4"/>
  <c r="G357" i="4"/>
  <c r="E362" i="4"/>
  <c r="G243" i="4"/>
  <c r="D357" i="4"/>
  <c r="E398" i="4"/>
  <c r="E338" i="4"/>
  <c r="C413" i="4"/>
  <c r="G472" i="4"/>
  <c r="C242" i="4"/>
  <c r="G414" i="4"/>
  <c r="G413" i="4"/>
  <c r="C265" i="4"/>
  <c r="C338" i="4"/>
  <c r="C499" i="4"/>
  <c r="E242" i="4"/>
  <c r="E311" i="4"/>
  <c r="D242" i="4"/>
  <c r="D338" i="4"/>
  <c r="E453" i="4"/>
  <c r="D446" i="4"/>
  <c r="E369" i="4"/>
  <c r="E240" i="4"/>
  <c r="D414" i="4"/>
  <c r="G265" i="4"/>
  <c r="E286" i="4"/>
  <c r="E406" i="4"/>
  <c r="D223" i="4"/>
  <c r="D235" i="4"/>
  <c r="D243" i="4"/>
  <c r="D369" i="4"/>
  <c r="C398" i="4"/>
  <c r="G231" i="4"/>
  <c r="D384" i="4"/>
  <c r="D304" i="4"/>
  <c r="E499" i="4"/>
  <c r="G214" i="4"/>
  <c r="D301" i="4"/>
  <c r="E281" i="4"/>
  <c r="G295" i="4"/>
  <c r="E217" i="4"/>
  <c r="D491" i="4"/>
  <c r="E371" i="4"/>
  <c r="E258" i="4"/>
  <c r="G340" i="4"/>
  <c r="D474" i="4"/>
  <c r="G334" i="4"/>
  <c r="E377" i="4"/>
  <c r="C455" i="4"/>
  <c r="D462" i="4"/>
  <c r="C409" i="4"/>
  <c r="C262" i="4"/>
  <c r="D295" i="4"/>
  <c r="C414" i="4"/>
  <c r="D482" i="4"/>
  <c r="C295" i="4"/>
  <c r="C250" i="4"/>
  <c r="C358" i="4"/>
  <c r="G423" i="4"/>
  <c r="C286" i="4"/>
  <c r="C466" i="4"/>
  <c r="E411" i="4"/>
  <c r="C267" i="4"/>
  <c r="G470" i="4"/>
  <c r="D220" i="4"/>
  <c r="D278" i="4"/>
  <c r="G491" i="4"/>
  <c r="D303" i="4"/>
  <c r="G276" i="4"/>
  <c r="E484" i="4"/>
  <c r="C442" i="4"/>
  <c r="G445" i="4"/>
  <c r="E303" i="4"/>
  <c r="C258" i="4"/>
  <c r="G347" i="4"/>
  <c r="G226" i="4"/>
  <c r="C365" i="4"/>
  <c r="E221" i="4"/>
  <c r="G484" i="4"/>
  <c r="D281" i="4"/>
  <c r="G380" i="4"/>
  <c r="G251" i="4"/>
  <c r="D347" i="4"/>
  <c r="C496" i="4"/>
  <c r="C395" i="4"/>
  <c r="E422" i="4"/>
  <c r="D328" i="4"/>
  <c r="G318" i="4"/>
  <c r="G373" i="4"/>
  <c r="G364" i="4"/>
  <c r="C379" i="4"/>
  <c r="E325" i="4"/>
  <c r="C390" i="4"/>
  <c r="E329" i="4"/>
  <c r="C311" i="4"/>
  <c r="E287" i="4"/>
  <c r="C355" i="4"/>
  <c r="G441" i="4"/>
  <c r="C228" i="4"/>
  <c r="C475" i="4"/>
  <c r="E388" i="4"/>
  <c r="D335" i="4"/>
  <c r="E486" i="4"/>
  <c r="C371" i="4"/>
  <c r="E475" i="4"/>
  <c r="C364" i="4"/>
  <c r="C374" i="4"/>
  <c r="D388" i="4"/>
  <c r="D274" i="4"/>
  <c r="C432" i="4"/>
  <c r="G461" i="4"/>
  <c r="E344" i="4"/>
  <c r="C361" i="4"/>
  <c r="E403" i="4"/>
  <c r="G213" i="4"/>
  <c r="G416" i="4"/>
  <c r="G342" i="4"/>
  <c r="C478" i="4"/>
  <c r="C461" i="4"/>
  <c r="G344" i="4"/>
  <c r="C312" i="4"/>
  <c r="E478" i="4"/>
  <c r="E479" i="4"/>
  <c r="C244" i="4"/>
  <c r="E356" i="4"/>
  <c r="D377" i="4"/>
  <c r="C453" i="4"/>
  <c r="E342" i="4"/>
  <c r="E393" i="4"/>
  <c r="C389" i="4"/>
  <c r="C260" i="4"/>
  <c r="D356" i="4"/>
  <c r="G377" i="4"/>
  <c r="D317" i="4"/>
  <c r="E222" i="4"/>
  <c r="C347" i="4"/>
  <c r="D478" i="4"/>
  <c r="D484" i="4"/>
  <c r="E365" i="4"/>
  <c r="G313" i="4"/>
  <c r="G303" i="4"/>
  <c r="G424" i="4"/>
  <c r="G337" i="4"/>
  <c r="C416" i="4"/>
  <c r="C406" i="4"/>
  <c r="E312" i="4"/>
  <c r="G274" i="4"/>
  <c r="D387" i="4"/>
  <c r="D365" i="4"/>
  <c r="D430" i="4"/>
  <c r="C303" i="4"/>
  <c r="D298" i="4"/>
  <c r="D216" i="4"/>
  <c r="E481" i="4"/>
  <c r="G478" i="4"/>
  <c r="G451" i="4"/>
  <c r="G392" i="4"/>
  <c r="C274" i="4"/>
  <c r="G371" i="4"/>
  <c r="C223" i="4"/>
  <c r="G428" i="4"/>
  <c r="E333" i="4"/>
  <c r="C317" i="4"/>
  <c r="C298" i="4"/>
  <c r="G228" i="4"/>
  <c r="C481" i="4"/>
  <c r="C441" i="4"/>
  <c r="G497" i="4"/>
  <c r="E346" i="4"/>
  <c r="C428" i="4"/>
  <c r="E366" i="4"/>
  <c r="E308" i="4"/>
  <c r="E299" i="4"/>
  <c r="C288" i="4"/>
  <c r="D352" i="4"/>
  <c r="E350" i="4"/>
  <c r="C285" i="4"/>
  <c r="G217" i="4"/>
  <c r="D481" i="4"/>
  <c r="C479" i="4"/>
  <c r="E463" i="4"/>
  <c r="D340" i="4"/>
  <c r="E448" i="4"/>
  <c r="G269" i="4"/>
  <c r="E283" i="4"/>
  <c r="E288" i="4"/>
  <c r="C492" i="4"/>
  <c r="D417" i="4"/>
  <c r="G298" i="4"/>
  <c r="D231" i="4"/>
  <c r="G238" i="4"/>
  <c r="G374" i="4"/>
  <c r="E330" i="4"/>
  <c r="G483" i="4"/>
  <c r="E317" i="4"/>
  <c r="G378" i="4"/>
  <c r="G306" i="4"/>
  <c r="D470" i="4"/>
  <c r="E216" i="4"/>
  <c r="C391" i="4"/>
  <c r="E442" i="4"/>
  <c r="G244" i="4"/>
  <c r="C240" i="4"/>
  <c r="G400" i="4"/>
  <c r="D330" i="4"/>
  <c r="D299" i="4"/>
  <c r="D359" i="4"/>
  <c r="C378" i="4"/>
  <c r="E294" i="4"/>
  <c r="D290" i="4"/>
  <c r="G255" i="4"/>
  <c r="G399" i="4"/>
  <c r="E441" i="4"/>
  <c r="E261" i="4"/>
  <c r="E326" i="4"/>
  <c r="E426" i="4"/>
  <c r="G223" i="4"/>
  <c r="D391" i="4"/>
  <c r="E318" i="4"/>
  <c r="E290" i="4"/>
  <c r="E400" i="4"/>
  <c r="D362" i="4"/>
  <c r="C321" i="4"/>
  <c r="D418" i="4"/>
  <c r="E368" i="4"/>
  <c r="E223" i="4"/>
  <c r="C362" i="4"/>
  <c r="G359" i="4"/>
  <c r="G495" i="4"/>
  <c r="G406" i="4"/>
  <c r="C410" i="4"/>
  <c r="G264" i="4"/>
  <c r="G321" i="4"/>
  <c r="E412" i="4"/>
  <c r="C320" i="4"/>
  <c r="G341" i="4"/>
  <c r="D213" i="4"/>
  <c r="E421" i="4"/>
  <c r="D433" i="4"/>
  <c r="C276" i="4"/>
  <c r="C462" i="4"/>
  <c r="G411" i="4"/>
  <c r="G218" i="4"/>
  <c r="G317" i="4"/>
  <c r="D264" i="4"/>
  <c r="G294" i="4"/>
  <c r="C418" i="4"/>
  <c r="D416" i="4"/>
  <c r="G247" i="4"/>
  <c r="E457" i="4"/>
  <c r="C482" i="4"/>
  <c r="D411" i="4"/>
  <c r="C218" i="4"/>
  <c r="C315" i="4"/>
  <c r="D447" i="4"/>
  <c r="E244" i="4"/>
  <c r="G356" i="4"/>
  <c r="D390" i="4"/>
  <c r="C465" i="4"/>
  <c r="C263" i="4"/>
  <c r="G421" i="4"/>
  <c r="E433" i="4"/>
  <c r="G221" i="4"/>
  <c r="E270" i="4"/>
  <c r="C294" i="4"/>
  <c r="D422" i="4"/>
  <c r="C328" i="4"/>
  <c r="E390" i="4"/>
  <c r="D465" i="4"/>
  <c r="C341" i="4"/>
  <c r="C213" i="4"/>
  <c r="C421" i="4"/>
  <c r="D450" i="4"/>
  <c r="E322" i="4"/>
  <c r="C480" i="4"/>
  <c r="D406" i="4"/>
  <c r="G417" i="4"/>
  <c r="G475" i="4"/>
  <c r="C424" i="4"/>
  <c r="C308" i="4"/>
  <c r="E459" i="4"/>
  <c r="G325" i="4"/>
  <c r="C445" i="4"/>
  <c r="C264" i="4"/>
  <c r="D337" i="4"/>
  <c r="C377" i="4"/>
  <c r="G335" i="4"/>
  <c r="C281" i="4"/>
  <c r="D294" i="4"/>
  <c r="E334" i="4"/>
  <c r="E347" i="4"/>
  <c r="E228" i="4"/>
  <c r="C433" i="4"/>
  <c r="D383" i="4"/>
  <c r="D342" i="4"/>
  <c r="G462" i="4"/>
  <c r="E257" i="4"/>
  <c r="G471" i="4"/>
  <c r="D250" i="4"/>
  <c r="G326" i="4"/>
  <c r="C452" i="4"/>
  <c r="G375" i="4"/>
  <c r="E254" i="4"/>
  <c r="E424" i="4"/>
  <c r="G442" i="4"/>
  <c r="D475" i="4"/>
  <c r="D308" i="4"/>
  <c r="C313" i="4"/>
  <c r="C400" i="4"/>
  <c r="G386" i="4"/>
  <c r="E264" i="4"/>
  <c r="G430" i="4"/>
  <c r="D238" i="4"/>
  <c r="G299" i="4"/>
  <c r="G281" i="4"/>
  <c r="D378" i="4"/>
  <c r="C350" i="4"/>
  <c r="C334" i="4"/>
  <c r="E341" i="4"/>
  <c r="D245" i="4"/>
  <c r="E213" i="4"/>
  <c r="E418" i="4"/>
  <c r="D228" i="4"/>
  <c r="G433" i="4"/>
  <c r="E401" i="4"/>
  <c r="G395" i="4"/>
  <c r="E482" i="4"/>
  <c r="G463" i="4"/>
  <c r="D257" i="4"/>
  <c r="G496" i="4"/>
  <c r="G407" i="4"/>
  <c r="G393" i="4"/>
  <c r="D452" i="4"/>
  <c r="E375" i="4"/>
  <c r="E358" i="4"/>
  <c r="G389" i="4"/>
  <c r="D448" i="4"/>
  <c r="G365" i="4"/>
  <c r="G410" i="4"/>
  <c r="E359" i="4"/>
  <c r="D313" i="4"/>
  <c r="D379" i="4"/>
  <c r="E256" i="4"/>
  <c r="C380" i="4"/>
  <c r="C388" i="4"/>
  <c r="E430" i="4"/>
  <c r="D320" i="4"/>
  <c r="G403" i="4"/>
  <c r="G263" i="4"/>
  <c r="E394" i="4"/>
  <c r="D255" i="4"/>
  <c r="G418" i="4"/>
  <c r="C450" i="4"/>
  <c r="D404" i="4"/>
  <c r="G401" i="4"/>
  <c r="E305" i="4"/>
  <c r="E451" i="4"/>
  <c r="D425" i="4"/>
  <c r="E415" i="4"/>
  <c r="D286" i="4"/>
  <c r="C359" i="4"/>
  <c r="E396" i="4"/>
  <c r="E328" i="4"/>
  <c r="G273" i="4"/>
  <c r="C238" i="4"/>
  <c r="D256" i="4"/>
  <c r="D325" i="4"/>
  <c r="C360" i="4"/>
  <c r="D473" i="4"/>
  <c r="G361" i="4"/>
  <c r="C412" i="4"/>
  <c r="G282" i="4"/>
  <c r="C346" i="4"/>
  <c r="G222" i="4"/>
  <c r="C306" i="4"/>
  <c r="C447" i="4"/>
  <c r="G229" i="4"/>
  <c r="G301" i="4"/>
  <c r="C454" i="4"/>
  <c r="G482" i="4"/>
  <c r="D305" i="4"/>
  <c r="D480" i="4"/>
  <c r="E497" i="4"/>
  <c r="D451" i="4"/>
  <c r="D239" i="4"/>
  <c r="E387" i="4"/>
  <c r="C425" i="4"/>
  <c r="D415" i="4"/>
  <c r="E339" i="4"/>
  <c r="D396" i="4"/>
  <c r="D366" i="4"/>
  <c r="G260" i="4"/>
  <c r="G258" i="4"/>
  <c r="C256" i="4"/>
  <c r="E360" i="4"/>
  <c r="C483" i="4"/>
  <c r="G447" i="4"/>
  <c r="D354" i="4"/>
  <c r="E498" i="4"/>
  <c r="E345" i="4"/>
  <c r="C229" i="4"/>
  <c r="G450" i="4"/>
  <c r="C399" i="4"/>
  <c r="D226" i="4"/>
  <c r="D467" i="4"/>
  <c r="G254" i="4"/>
  <c r="C423" i="4"/>
  <c r="G225" i="4"/>
  <c r="C302" i="4"/>
  <c r="D410" i="4"/>
  <c r="G245" i="4"/>
  <c r="G285" i="4"/>
  <c r="E351" i="4"/>
  <c r="C329" i="4"/>
  <c r="G252" i="4"/>
  <c r="E234" i="4"/>
  <c r="C282" i="4"/>
  <c r="D318" i="4"/>
  <c r="D222" i="4"/>
  <c r="G354" i="4"/>
  <c r="C345" i="4"/>
  <c r="D421" i="4"/>
  <c r="E491" i="4"/>
  <c r="C261" i="4"/>
  <c r="E423" i="4"/>
  <c r="D431" i="4"/>
  <c r="C225" i="4"/>
  <c r="C339" i="4"/>
  <c r="D329" i="4"/>
  <c r="E410" i="4"/>
  <c r="G366" i="4"/>
  <c r="E278" i="4"/>
  <c r="E465" i="4"/>
  <c r="G351" i="4"/>
  <c r="D288" i="4"/>
  <c r="G372" i="4"/>
  <c r="E492" i="4"/>
  <c r="G455" i="4"/>
  <c r="D321" i="4"/>
  <c r="C234" i="4"/>
  <c r="E473" i="4"/>
  <c r="G465" i="4"/>
  <c r="E282" i="4"/>
  <c r="C403" i="4"/>
  <c r="C222" i="4"/>
  <c r="D306" i="4"/>
  <c r="E447" i="4"/>
  <c r="C255" i="4"/>
  <c r="E428" i="4"/>
  <c r="D498" i="4"/>
  <c r="G345" i="4"/>
  <c r="G474" i="4"/>
  <c r="G369" i="4"/>
  <c r="D215" i="4"/>
  <c r="E383" i="4"/>
  <c r="C491" i="4"/>
  <c r="G358" i="4"/>
  <c r="D268" i="4"/>
  <c r="D497" i="4"/>
  <c r="G449" i="4"/>
  <c r="D261" i="4"/>
  <c r="E454" i="4"/>
  <c r="G431" i="4"/>
  <c r="D262" i="4"/>
  <c r="G339" i="4"/>
  <c r="D360" i="4"/>
  <c r="G350" i="4"/>
  <c r="D364" i="4"/>
  <c r="C252" i="4"/>
  <c r="D344" i="4"/>
  <c r="D234" i="4"/>
  <c r="C318" i="4"/>
  <c r="D403" i="4"/>
  <c r="D251" i="4"/>
  <c r="D282" i="4"/>
  <c r="D345" i="4"/>
  <c r="G216" i="4"/>
  <c r="C301" i="4"/>
  <c r="G486" i="4"/>
  <c r="C348" i="4"/>
  <c r="G267" i="4"/>
  <c r="C268" i="4"/>
  <c r="E409" i="4"/>
  <c r="G363" i="4"/>
  <c r="C393" i="4"/>
  <c r="C392" i="4"/>
  <c r="G262" i="4"/>
  <c r="E315" i="4"/>
  <c r="D315" i="4"/>
  <c r="D267" i="4"/>
  <c r="C283" i="4"/>
  <c r="C396" i="4"/>
  <c r="G422" i="4"/>
  <c r="G308" i="4"/>
  <c r="G459" i="4"/>
  <c r="D351" i="4"/>
  <c r="C386" i="4"/>
  <c r="E374" i="4"/>
  <c r="D386" i="4"/>
  <c r="E252" i="4"/>
  <c r="G360" i="4"/>
  <c r="D246" i="4"/>
  <c r="G390" i="4"/>
  <c r="D333" i="4"/>
  <c r="E263" i="4"/>
  <c r="E306" i="4"/>
  <c r="D394" i="4"/>
  <c r="D285" i="4"/>
  <c r="E255" i="4"/>
  <c r="E470" i="4"/>
  <c r="C498" i="4"/>
  <c r="G329" i="4"/>
  <c r="E357" i="4"/>
  <c r="E215" i="4"/>
  <c r="G427" i="4"/>
  <c r="D218" i="4"/>
  <c r="G316" i="4"/>
  <c r="C467" i="4"/>
  <c r="D495" i="4"/>
  <c r="G315" i="4"/>
  <c r="G396" i="4"/>
  <c r="G283" i="4"/>
  <c r="C352" i="4"/>
  <c r="D302" i="4"/>
  <c r="C278" i="4"/>
  <c r="E298" i="4"/>
  <c r="C459" i="4"/>
  <c r="C351" i="4"/>
  <c r="E445" i="4"/>
  <c r="G439" i="4"/>
  <c r="E380" i="4"/>
  <c r="G391" i="4"/>
  <c r="C333" i="4"/>
  <c r="G412" i="4"/>
  <c r="E269" i="4"/>
  <c r="D346" i="4"/>
  <c r="D456" i="4"/>
  <c r="D263" i="4"/>
  <c r="G394" i="4"/>
  <c r="E285" i="4"/>
  <c r="C474" i="4"/>
  <c r="C470" i="4"/>
  <c r="C373" i="4"/>
  <c r="G368" i="4"/>
  <c r="E474" i="4"/>
  <c r="E348" i="4"/>
  <c r="D409" i="4"/>
  <c r="D449" i="4"/>
  <c r="G239" i="4"/>
  <c r="D371" i="4"/>
  <c r="D423" i="4"/>
  <c r="G322" i="4"/>
  <c r="E232" i="4"/>
  <c r="C495" i="4"/>
  <c r="E462" i="4"/>
  <c r="C426" i="4"/>
  <c r="C422" i="4"/>
  <c r="E352" i="4"/>
  <c r="C430" i="4"/>
  <c r="D459" i="4"/>
  <c r="D445" i="4"/>
  <c r="D372" i="4"/>
  <c r="C439" i="4"/>
  <c r="G330" i="4"/>
  <c r="G362" i="4"/>
  <c r="E246" i="4"/>
  <c r="E391" i="4"/>
  <c r="G333" i="4"/>
  <c r="E302" i="4"/>
  <c r="C394" i="4"/>
  <c r="E251" i="4"/>
  <c r="D373" i="4"/>
  <c r="C368" i="4"/>
  <c r="E229" i="4"/>
  <c r="D240" i="4"/>
  <c r="C404" i="4"/>
  <c r="E399" i="4"/>
  <c r="C316" i="4"/>
  <c r="E467" i="4"/>
  <c r="G355" i="4"/>
  <c r="D454" i="4"/>
  <c r="E425" i="4"/>
  <c r="E395" i="4"/>
  <c r="G220" i="4"/>
  <c r="G288" i="4"/>
  <c r="D428" i="4"/>
  <c r="G352" i="4"/>
  <c r="C335" i="4"/>
  <c r="G320" i="4"/>
  <c r="D283" i="4"/>
  <c r="E379" i="4"/>
  <c r="C372" i="4"/>
  <c r="C330" i="4"/>
  <c r="D252" i="4"/>
  <c r="E249" i="4"/>
  <c r="E335" i="4"/>
  <c r="C269" i="4"/>
  <c r="G302" i="4"/>
  <c r="G456" i="4"/>
  <c r="D334" i="4"/>
  <c r="G290" i="4"/>
  <c r="C245" i="4"/>
  <c r="E354" i="4"/>
  <c r="E450" i="4"/>
  <c r="C417" i="4"/>
  <c r="E373" i="4"/>
  <c r="G312" i="4"/>
  <c r="E337" i="4"/>
  <c r="C427" i="4"/>
  <c r="C342" i="4"/>
  <c r="G305" i="4"/>
  <c r="G257" i="4"/>
  <c r="D389" i="4"/>
  <c r="E449" i="4"/>
  <c r="C363" i="4"/>
  <c r="D355" i="4"/>
  <c r="D232" i="4"/>
  <c r="E389" i="4"/>
  <c r="C220" i="4"/>
  <c r="E378" i="4"/>
  <c r="E273" i="4"/>
  <c r="G426" i="4"/>
  <c r="E260" i="4"/>
  <c r="E372" i="4"/>
  <c r="E313" i="4"/>
  <c r="C356" i="4"/>
  <c r="E439" i="4"/>
  <c r="C325" i="4"/>
  <c r="C249" i="4"/>
  <c r="C473" i="4"/>
  <c r="C231" i="4"/>
  <c r="E456" i="4"/>
  <c r="C290" i="4"/>
  <c r="E245" i="4"/>
  <c r="C251" i="4"/>
  <c r="C354" i="4"/>
  <c r="C337" i="4"/>
  <c r="D439" i="4"/>
  <c r="G388" i="4"/>
  <c r="E483" i="4"/>
  <c r="G246" i="4"/>
  <c r="G473" i="4"/>
  <c r="D412" i="4"/>
  <c r="E231" i="4"/>
  <c r="G346" i="4"/>
  <c r="D350" i="4"/>
  <c r="C456" i="4"/>
  <c r="C273" i="4"/>
  <c r="E417" i="4"/>
  <c r="D368" i="4"/>
  <c r="D312" i="4"/>
  <c r="D229" i="4"/>
  <c r="D300" i="4"/>
  <c r="E292" i="4"/>
  <c r="C343" i="4"/>
  <c r="C367" i="4"/>
  <c r="D477" i="4"/>
  <c r="G367" i="4"/>
  <c r="D343" i="4"/>
  <c r="E477" i="4"/>
  <c r="E343" i="4"/>
  <c r="C477" i="4"/>
  <c r="C309" i="4"/>
  <c r="G420" i="4"/>
  <c r="E460" i="4"/>
  <c r="E309" i="4"/>
  <c r="E420" i="4"/>
  <c r="G460" i="4"/>
  <c r="C420" i="4"/>
  <c r="D420" i="4"/>
  <c r="G309" i="4"/>
  <c r="C266" i="4"/>
  <c r="C487" i="4"/>
  <c r="C476" i="4"/>
  <c r="G266" i="4"/>
  <c r="E487" i="4"/>
  <c r="C300" i="4"/>
  <c r="D469" i="4"/>
  <c r="E272" i="4"/>
  <c r="E300" i="4"/>
  <c r="E314" i="4"/>
  <c r="F435" i="4"/>
  <c r="F407" i="4"/>
  <c r="F381" i="4"/>
  <c r="F485" i="4"/>
  <c r="F320" i="4"/>
  <c r="F446" i="4"/>
  <c r="F443" i="4"/>
  <c r="F384" i="4"/>
  <c r="F408" i="4"/>
  <c r="F307" i="4"/>
  <c r="F493" i="4"/>
  <c r="F392" i="4"/>
  <c r="F404" i="4"/>
  <c r="F471" i="4"/>
  <c r="F434" i="4"/>
  <c r="F464" i="4"/>
  <c r="F295" i="4"/>
  <c r="F495" i="4"/>
  <c r="F336" i="4"/>
  <c r="F319" i="4"/>
  <c r="F458" i="4"/>
  <c r="F432" i="4"/>
  <c r="F452" i="4"/>
  <c r="F431" i="4"/>
  <c r="F327" i="4"/>
  <c r="F376" i="4"/>
  <c r="F472" i="4"/>
  <c r="F437" i="4"/>
  <c r="F304" i="4"/>
  <c r="F385" i="4"/>
  <c r="F340" i="4"/>
  <c r="F324" i="4"/>
  <c r="F382" i="4"/>
  <c r="F297" i="4"/>
  <c r="F496" i="4"/>
  <c r="F480" i="4"/>
  <c r="F386" i="4"/>
  <c r="F455" i="4"/>
  <c r="F321" i="4"/>
  <c r="F494" i="4"/>
  <c r="F413" i="4"/>
  <c r="F291" i="4"/>
  <c r="F332" i="4"/>
  <c r="F438" i="4"/>
  <c r="F363" i="4"/>
  <c r="F490" i="4"/>
  <c r="F323" i="4"/>
  <c r="F468" i="4"/>
  <c r="F440" i="4"/>
  <c r="F469" i="4"/>
  <c r="F476" i="4"/>
  <c r="F461" i="4"/>
  <c r="F293" i="4"/>
  <c r="F405" i="4"/>
  <c r="F316" i="4"/>
  <c r="F289" i="4"/>
  <c r="F296" i="4"/>
  <c r="F355" i="4"/>
  <c r="F436" i="4"/>
  <c r="F444" i="4"/>
  <c r="F310" i="4"/>
  <c r="F500" i="4"/>
  <c r="F488" i="4"/>
  <c r="F402" i="4"/>
  <c r="F370" i="4"/>
  <c r="F353" i="4"/>
  <c r="F489" i="4"/>
  <c r="F364" i="4"/>
  <c r="F397" i="4"/>
  <c r="F429" i="4"/>
  <c r="F331" i="4"/>
  <c r="F419" i="4"/>
  <c r="F367" i="4"/>
  <c r="F427" i="4"/>
  <c r="F247" i="4"/>
  <c r="F230" i="4"/>
  <c r="F266" i="4"/>
  <c r="F236" i="4"/>
  <c r="F237" i="4"/>
  <c r="F220" i="4"/>
  <c r="F275" i="4"/>
  <c r="F284" i="4"/>
  <c r="F218" i="4"/>
  <c r="F262" i="4"/>
  <c r="F219" i="4"/>
  <c r="F239" i="4"/>
  <c r="F271" i="4"/>
  <c r="F253" i="4"/>
  <c r="F277" i="4"/>
  <c r="F276" i="4"/>
  <c r="F267" i="4"/>
  <c r="F238" i="4"/>
  <c r="F280" i="4"/>
  <c r="F233" i="4"/>
  <c r="F268" i="4"/>
  <c r="F259" i="4"/>
  <c r="F227" i="4"/>
  <c r="F243" i="4"/>
  <c r="F214" i="4"/>
  <c r="F226" i="4"/>
  <c r="F250" i="4"/>
  <c r="F225" i="4"/>
  <c r="F274" i="4"/>
  <c r="F224" i="4"/>
  <c r="F241" i="4"/>
  <c r="B116" i="4"/>
  <c r="B164" i="4"/>
  <c r="B9" i="4"/>
  <c r="B118" i="4"/>
  <c r="B147" i="4"/>
  <c r="B70" i="4"/>
  <c r="B201" i="4"/>
  <c r="B207" i="4"/>
  <c r="B111" i="4"/>
  <c r="B133" i="4"/>
  <c r="B149" i="4"/>
  <c r="B54" i="4"/>
  <c r="B47" i="4"/>
  <c r="B186" i="4"/>
  <c r="B199" i="4"/>
  <c r="B178" i="4"/>
  <c r="B157" i="4"/>
  <c r="B125" i="4"/>
  <c r="B160" i="4"/>
  <c r="B24" i="4"/>
  <c r="B208" i="4"/>
  <c r="B194" i="4"/>
  <c r="B46" i="4"/>
  <c r="B48" i="4"/>
  <c r="B5" i="4"/>
  <c r="B209" i="4"/>
  <c r="B158" i="4"/>
  <c r="B28" i="4"/>
  <c r="B195" i="4"/>
  <c r="B183" i="4"/>
  <c r="B67" i="4"/>
  <c r="B134" i="4"/>
  <c r="B51" i="4"/>
  <c r="B172" i="4"/>
  <c r="B60" i="4"/>
  <c r="B102" i="4"/>
  <c r="B92" i="4"/>
  <c r="B76" i="4"/>
  <c r="B32" i="4"/>
  <c r="B10" i="4"/>
  <c r="B17" i="4"/>
  <c r="B63" i="4"/>
  <c r="B45" i="4"/>
  <c r="B187" i="4"/>
  <c r="B72" i="4"/>
  <c r="B135" i="4"/>
  <c r="B77" i="4"/>
  <c r="B16" i="4"/>
  <c r="B128" i="4"/>
  <c r="B23" i="4"/>
  <c r="B82" i="4"/>
  <c r="B150" i="4"/>
  <c r="B6" i="4"/>
  <c r="B88" i="4"/>
  <c r="B26" i="4"/>
  <c r="B122" i="4"/>
  <c r="B64" i="4"/>
  <c r="B36" i="4"/>
  <c r="B97" i="4"/>
  <c r="B210" i="4"/>
  <c r="B74" i="4"/>
  <c r="B126" i="4"/>
  <c r="B58" i="4"/>
  <c r="B95" i="4"/>
  <c r="B143" i="4"/>
  <c r="B130" i="4"/>
  <c r="B124" i="4"/>
  <c r="B142" i="4"/>
  <c r="B7" i="4"/>
  <c r="B15" i="4"/>
  <c r="B196" i="4"/>
  <c r="B110" i="4"/>
  <c r="B25" i="4"/>
  <c r="B43" i="4"/>
  <c r="B137" i="4"/>
  <c r="B175" i="4"/>
  <c r="B114" i="4"/>
  <c r="B127" i="4"/>
  <c r="B52" i="4"/>
  <c r="B212" i="4"/>
  <c r="B22" i="4"/>
  <c r="B129" i="4"/>
  <c r="B11" i="4"/>
  <c r="B113" i="4"/>
  <c r="B174" i="4"/>
  <c r="B153" i="4"/>
  <c r="B167" i="4"/>
  <c r="B159" i="4"/>
  <c r="B171" i="4"/>
  <c r="B198" i="4"/>
  <c r="B103" i="4"/>
  <c r="B59" i="4"/>
  <c r="B21" i="4"/>
  <c r="B182" i="4"/>
  <c r="B69" i="4"/>
  <c r="B71" i="4"/>
  <c r="B27" i="4"/>
  <c r="B34" i="4"/>
  <c r="B188" i="4"/>
  <c r="B65" i="4"/>
  <c r="B80" i="4"/>
  <c r="B104" i="4"/>
  <c r="B99" i="4"/>
  <c r="B148" i="4"/>
  <c r="B203" i="4"/>
  <c r="B155" i="4"/>
  <c r="B191" i="4"/>
  <c r="B119" i="4"/>
  <c r="B181" i="4"/>
  <c r="B123" i="4"/>
  <c r="B100" i="4"/>
  <c r="B170" i="4"/>
  <c r="B161" i="4"/>
  <c r="B138" i="4"/>
  <c r="B78" i="4"/>
  <c r="B66" i="4"/>
  <c r="B73" i="4"/>
  <c r="B180" i="4"/>
  <c r="B115" i="4"/>
  <c r="B145" i="4"/>
  <c r="B151" i="4"/>
  <c r="B49" i="4"/>
  <c r="B87" i="4"/>
  <c r="B184" i="4"/>
  <c r="B141" i="4"/>
  <c r="B33" i="4"/>
  <c r="B192" i="4"/>
  <c r="B42" i="4"/>
  <c r="B31" i="4"/>
  <c r="B96" i="4"/>
  <c r="B86" i="4"/>
  <c r="B120" i="4"/>
  <c r="B205" i="4"/>
  <c r="B79" i="4"/>
  <c r="B84" i="4"/>
  <c r="B106" i="4"/>
  <c r="B39" i="4"/>
  <c r="B13" i="4"/>
  <c r="B55" i="4"/>
  <c r="B156" i="4"/>
  <c r="B85" i="4"/>
  <c r="B8" i="4"/>
  <c r="B19" i="4"/>
  <c r="B132" i="4"/>
  <c r="B2" i="4"/>
  <c r="B12" i="4"/>
  <c r="B98" i="4"/>
  <c r="B41" i="4"/>
  <c r="B3" i="4"/>
  <c r="B176" i="4"/>
  <c r="B107" i="4"/>
  <c r="B206" i="4"/>
  <c r="B121" i="4"/>
  <c r="B44" i="4"/>
  <c r="B189" i="4"/>
  <c r="B146" i="4"/>
  <c r="B185" i="4"/>
  <c r="B109" i="4"/>
  <c r="B136" i="4"/>
  <c r="B117" i="4"/>
  <c r="B165" i="4"/>
  <c r="B168" i="4"/>
  <c r="B112" i="4"/>
  <c r="B166" i="4"/>
  <c r="B139" i="4"/>
  <c r="B20" i="4"/>
  <c r="B62" i="4"/>
  <c r="B162" i="4"/>
  <c r="B179" i="4"/>
  <c r="B169" i="4"/>
  <c r="B197" i="4"/>
  <c r="B131" i="4"/>
  <c r="B193" i="4"/>
  <c r="B144" i="4"/>
  <c r="B75" i="4"/>
  <c r="B35" i="4"/>
  <c r="B89" i="4"/>
  <c r="B38" i="4"/>
  <c r="B83" i="4"/>
  <c r="B101" i="4"/>
  <c r="B204" i="4"/>
  <c r="B50" i="4"/>
  <c r="B18" i="4"/>
  <c r="B53" i="4"/>
  <c r="B202" i="4"/>
  <c r="B81" i="4"/>
  <c r="B30" i="4"/>
  <c r="B211" i="4"/>
  <c r="B90" i="4"/>
  <c r="B190" i="4"/>
  <c r="B40" i="4"/>
  <c r="B177" i="4"/>
  <c r="B4" i="4"/>
  <c r="B57" i="4"/>
  <c r="B105" i="4"/>
  <c r="B154" i="4"/>
  <c r="B61" i="4"/>
  <c r="B37" i="4"/>
  <c r="B68" i="4"/>
  <c r="B200" i="4"/>
  <c r="B91" i="4"/>
  <c r="B108" i="4"/>
  <c r="B152" i="4"/>
  <c r="B163" i="4"/>
  <c r="B173" i="4"/>
  <c r="B94" i="4"/>
  <c r="B14" i="4"/>
  <c r="B29" i="4"/>
  <c r="B93" i="4"/>
  <c r="B56" i="4"/>
  <c r="B140" i="4"/>
  <c r="I369" i="4" a="1"/>
  <c r="I329" i="4" a="1"/>
  <c r="I344" i="4" a="1"/>
  <c r="I290" i="4" a="1"/>
  <c r="I421" i="4" a="1"/>
  <c r="I244" i="4" a="1"/>
  <c r="I322" i="4" a="1"/>
  <c r="I228" i="4" a="1"/>
  <c r="I430" i="4" a="1"/>
  <c r="I345" i="4" a="1"/>
  <c r="I298" i="4" a="1"/>
  <c r="I245" i="4" a="1"/>
  <c r="I497" i="4" a="1"/>
  <c r="I492" i="4" a="1"/>
  <c r="I383" i="4" a="1"/>
  <c r="I255" i="4" a="1"/>
  <c r="I474" i="4" a="1"/>
  <c r="I240" i="4" a="1"/>
  <c r="I217" i="4" a="1"/>
  <c r="I283" i="4" a="1"/>
  <c r="I400" i="4" a="1"/>
  <c r="I264" i="4" a="1"/>
  <c r="I398" i="4" a="1"/>
  <c r="I221" i="4" a="1"/>
  <c r="I287" i="4" a="1"/>
  <c r="I403" i="4" a="1"/>
  <c r="I288" i="4" a="1"/>
  <c r="I470" i="4" a="1"/>
  <c r="I348" i="4" a="1"/>
  <c r="I425" i="4" a="1"/>
  <c r="I389" i="4" a="1"/>
  <c r="I292" i="4" a="1"/>
  <c r="I265" i="4" a="1"/>
  <c r="I338" i="4" a="1"/>
  <c r="I371" i="4" a="1"/>
  <c r="I346" i="4" a="1"/>
  <c r="I445" i="4" a="1"/>
  <c r="I395" i="4" a="1"/>
  <c r="I286" i="4" a="1"/>
  <c r="I258" i="4" a="1"/>
  <c r="I411" i="4" a="1"/>
  <c r="I394" i="4" a="1"/>
  <c r="I387" i="4" a="1"/>
  <c r="I246" i="4" a="1"/>
  <c r="I378" i="4" a="1"/>
  <c r="I414" i="4" a="1"/>
  <c r="I406" i="4" a="1"/>
  <c r="I222" i="4" a="1"/>
  <c r="I366" i="4" a="1"/>
  <c r="I368" i="4" a="1"/>
  <c r="I257" i="4" a="1"/>
  <c r="I491" i="4" a="1"/>
  <c r="I473" i="4" a="1"/>
  <c r="I357" i="4" a="1"/>
  <c r="I380" i="4" a="1"/>
  <c r="I391" i="4" a="1"/>
  <c r="I354" i="4" a="1"/>
  <c r="I273" i="4" a="1"/>
  <c r="I301" i="4" a="1"/>
  <c r="I481" i="4" a="1"/>
  <c r="I308" i="4" a="1"/>
  <c r="I223" i="4" a="1"/>
  <c r="I433" i="4" a="1"/>
  <c r="I375" i="4" a="1"/>
  <c r="I215" i="4" a="1"/>
  <c r="I450" i="4" a="1"/>
  <c r="I483" i="4" a="1"/>
  <c r="I487" i="4" a="1"/>
  <c r="I388" i="4" a="1"/>
  <c r="I299" i="4" a="1"/>
  <c r="I294" i="4" a="1"/>
  <c r="I459" i="4" a="1"/>
  <c r="I358" i="4" a="1"/>
  <c r="I339" i="4" a="1"/>
  <c r="I423" i="4" a="1"/>
  <c r="I282" i="4" a="1"/>
  <c r="I302" i="4" a="1"/>
  <c r="I260" i="4" a="1"/>
  <c r="I416" i="4" a="1"/>
  <c r="I377" i="4" a="1"/>
  <c r="I270" i="4" a="1"/>
  <c r="I454" i="4" a="1"/>
  <c r="I374" i="4" a="1"/>
  <c r="I373" i="4" a="1"/>
  <c r="I372" i="4" a="1"/>
  <c r="I477" i="4" a="1"/>
  <c r="I349" i="4" a="1"/>
  <c r="I466" i="4" a="1"/>
  <c r="I486" i="4" a="1"/>
  <c r="I365" i="4" a="1"/>
  <c r="I330" i="4" a="1"/>
  <c r="I341" i="4" a="1"/>
  <c r="I269" i="4" a="1"/>
  <c r="I232" i="4" a="1"/>
  <c r="I251" i="4" a="1"/>
  <c r="I313" i="4" a="1"/>
  <c r="I343" i="4" a="1"/>
  <c r="I272" i="4" a="1"/>
  <c r="I248" i="4" a="1"/>
  <c r="I422" i="4" a="1"/>
  <c r="I478" i="4" a="1"/>
  <c r="I350" i="4" a="1"/>
  <c r="I305" i="4" a="1"/>
  <c r="I252" i="4" a="1"/>
  <c r="I337" i="4" a="1"/>
  <c r="I231" i="4" a="1"/>
  <c r="I300" i="4" a="1"/>
  <c r="I361" i="4" a="1"/>
  <c r="I475" i="4" a="1"/>
  <c r="I479" i="4" a="1"/>
  <c r="I317" i="4" a="1"/>
  <c r="I441" i="4" a="1"/>
  <c r="I254" i="4" a="1"/>
  <c r="I213" i="4" a="1"/>
  <c r="I451" i="4" a="1"/>
  <c r="I447" i="4" a="1"/>
  <c r="I409" i="4" a="1"/>
  <c r="I462" i="4" a="1"/>
  <c r="I379" i="4" a="1"/>
  <c r="I439" i="4" a="1"/>
  <c r="I314" i="4" a="1"/>
  <c r="I279" i="4" a="1"/>
  <c r="I242" i="4" a="1"/>
  <c r="I484" i="4" a="1"/>
  <c r="I261" i="4" a="1"/>
  <c r="I457" i="4" a="1"/>
  <c r="I390" i="4" a="1"/>
  <c r="I424" i="4" a="1"/>
  <c r="I418" i="4" a="1"/>
  <c r="I359" i="4" a="1"/>
  <c r="I410" i="4" a="1"/>
  <c r="I229" i="4" a="1"/>
  <c r="I235" i="4" a="1"/>
  <c r="I311" i="4" a="1"/>
  <c r="I356" i="4" a="1"/>
  <c r="I326" i="4" a="1"/>
  <c r="I415" i="4" a="1"/>
  <c r="I360" i="4" a="1"/>
  <c r="I351" i="4" a="1"/>
  <c r="I428" i="4" a="1"/>
  <c r="I460" i="4" a="1"/>
  <c r="I499" i="4" a="1"/>
  <c r="I333" i="4" a="1"/>
  <c r="I426" i="4" a="1"/>
  <c r="I412" i="4" a="1"/>
  <c r="I278" i="4" a="1"/>
  <c r="I285" i="4" a="1"/>
  <c r="I352" i="4" a="1"/>
  <c r="I309" i="4" a="1"/>
  <c r="I303" i="4" a="1"/>
  <c r="I463" i="4" a="1"/>
  <c r="I216" i="4" a="1"/>
  <c r="I401" i="4" a="1"/>
  <c r="I256" i="4" a="1"/>
  <c r="I465" i="4" a="1"/>
  <c r="I263" i="4" a="1"/>
  <c r="I399" i="4" a="1"/>
  <c r="I249" i="4" a="1"/>
  <c r="I417" i="4" a="1"/>
  <c r="I420" i="4" a="1"/>
  <c r="I453" i="4" a="1"/>
  <c r="I325" i="4" a="1"/>
  <c r="I342" i="4" a="1"/>
  <c r="I312" i="4" a="1"/>
  <c r="I334" i="4" a="1"/>
  <c r="I396" i="4" a="1"/>
  <c r="I234" i="4" a="1"/>
  <c r="I315" i="4" a="1"/>
  <c r="I306" i="4" a="1"/>
  <c r="I335" i="4" a="1"/>
  <c r="I449" i="4" a="1"/>
  <c r="I456" i="4" a="1"/>
  <c r="I362" i="4" a="1"/>
  <c r="I281" i="4" a="1"/>
  <c r="I393" i="4" a="1"/>
  <c r="I448" i="4" a="1"/>
  <c r="I442" i="4" a="1"/>
  <c r="I318" i="4" a="1"/>
  <c r="I347" i="4" a="1"/>
  <c r="I482" i="4" a="1"/>
  <c r="I328" i="4" a="1"/>
  <c r="I498" i="4" a="1"/>
  <c r="I467" i="4" a="1"/>
  <c r="Q369" i="4" a="1"/>
  <c r="Q329" i="4" a="1"/>
  <c r="Q344" i="4" a="1"/>
  <c r="Q290" i="4" a="1"/>
  <c r="Q421" i="4" a="1"/>
  <c r="Q244" i="4" a="1"/>
  <c r="Q322" i="4" a="1"/>
  <c r="Q228" i="4" a="1"/>
  <c r="Q430" i="4" a="1"/>
  <c r="Q345" i="4" a="1"/>
  <c r="Q298" i="4" a="1"/>
  <c r="Q245" i="4" a="1"/>
  <c r="Q240" i="4" a="1"/>
  <c r="Q217" i="4" a="1"/>
  <c r="Q283" i="4" a="1"/>
  <c r="Q400" i="4" a="1"/>
  <c r="Q264" i="4" a="1"/>
  <c r="Q497" i="4" a="1"/>
  <c r="Q492" i="4" a="1"/>
  <c r="Q383" i="4" a="1"/>
  <c r="Q255" i="4" a="1"/>
  <c r="Q474" i="4" a="1"/>
  <c r="Q398" i="4" a="1"/>
  <c r="Q221" i="4" a="1"/>
  <c r="Q287" i="4" a="1"/>
  <c r="Q403" i="4" a="1"/>
  <c r="Q288" i="4" a="1"/>
  <c r="Q470" i="4" a="1"/>
  <c r="Q348" i="4" a="1"/>
  <c r="Q425" i="4" a="1"/>
  <c r="Q389" i="4" a="1"/>
  <c r="Q292" i="4" a="1"/>
  <c r="Q265" i="4" a="1"/>
  <c r="Q338" i="4" a="1"/>
  <c r="Q371" i="4" a="1"/>
  <c r="Q346" i="4" a="1"/>
  <c r="Q445" i="4" a="1"/>
  <c r="Q395" i="4" a="1"/>
  <c r="Q422" i="4" a="1"/>
  <c r="Q350" i="4" a="1"/>
  <c r="Q305" i="4" a="1"/>
  <c r="Q252" i="4" a="1"/>
  <c r="Q300" i="4" a="1"/>
  <c r="Q475" i="4" a="1"/>
  <c r="Q441" i="4" a="1"/>
  <c r="Q254" i="4" a="1"/>
  <c r="Q451" i="4" a="1"/>
  <c r="Q447" i="4" a="1"/>
  <c r="Q409" i="4" a="1"/>
  <c r="Q379" i="4" a="1"/>
  <c r="Q314" i="4" a="1"/>
  <c r="Q279" i="4" a="1"/>
  <c r="Q261" i="4" a="1"/>
  <c r="Q390" i="4" a="1"/>
  <c r="Q424" i="4" a="1"/>
  <c r="Q418" i="4" a="1"/>
  <c r="Q229" i="4" a="1"/>
  <c r="Q235" i="4" a="1"/>
  <c r="Q311" i="4" a="1"/>
  <c r="Q326" i="4" a="1"/>
  <c r="Q351" i="4" a="1"/>
  <c r="Q460" i="4" a="1"/>
  <c r="Q426" i="4" a="1"/>
  <c r="Q412" i="4" a="1"/>
  <c r="Q278" i="4" a="1"/>
  <c r="Q285" i="4" a="1"/>
  <c r="Q303" i="4" a="1"/>
  <c r="Q463" i="4" a="1"/>
  <c r="Q216" i="4" a="1"/>
  <c r="Q401" i="4" a="1"/>
  <c r="Q399" i="4" a="1"/>
  <c r="Q417" i="4" a="1"/>
  <c r="Q420" i="4" a="1"/>
  <c r="Q453" i="4" a="1"/>
  <c r="Q325" i="4" a="1"/>
  <c r="Q342" i="4" a="1"/>
  <c r="Q334" i="4" a="1"/>
  <c r="Q396" i="4" a="1"/>
  <c r="Q234" i="4" a="1"/>
  <c r="Q306" i="4" a="1"/>
  <c r="Q335" i="4" a="1"/>
  <c r="Q456" i="4" a="1"/>
  <c r="Q318" i="4" a="1"/>
  <c r="Q482" i="4" a="1"/>
  <c r="Q467" i="4" a="1"/>
  <c r="Q286" i="4" a="1"/>
  <c r="Q258" i="4" a="1"/>
  <c r="Q411" i="4" a="1"/>
  <c r="Q394" i="4" a="1"/>
  <c r="Q387" i="4" a="1"/>
  <c r="Q246" i="4" a="1"/>
  <c r="Q378" i="4" a="1"/>
  <c r="Q414" i="4" a="1"/>
  <c r="Q406" i="4" a="1"/>
  <c r="Q222" i="4" a="1"/>
  <c r="Q366" i="4" a="1"/>
  <c r="Q368" i="4" a="1"/>
  <c r="Q257" i="4" a="1"/>
  <c r="Q491" i="4" a="1"/>
  <c r="Q473" i="4" a="1"/>
  <c r="Q357" i="4" a="1"/>
  <c r="Q380" i="4" a="1"/>
  <c r="Q391" i="4" a="1"/>
  <c r="Q354" i="4" a="1"/>
  <c r="Q273" i="4" a="1"/>
  <c r="Q301" i="4" a="1"/>
  <c r="Q481" i="4" a="1"/>
  <c r="Q308" i="4" a="1"/>
  <c r="Q223" i="4" a="1"/>
  <c r="Q433" i="4" a="1"/>
  <c r="Q375" i="4" a="1"/>
  <c r="Q215" i="4" a="1"/>
  <c r="Q450" i="4" a="1"/>
  <c r="Q483" i="4" a="1"/>
  <c r="Q487" i="4" a="1"/>
  <c r="Q388" i="4" a="1"/>
  <c r="Q299" i="4" a="1"/>
  <c r="Q294" i="4" a="1"/>
  <c r="Q459" i="4" a="1"/>
  <c r="Q358" i="4" a="1"/>
  <c r="Q339" i="4" a="1"/>
  <c r="Q423" i="4" a="1"/>
  <c r="Q282" i="4" a="1"/>
  <c r="Q302" i="4" a="1"/>
  <c r="Q260" i="4" a="1"/>
  <c r="Q416" i="4" a="1"/>
  <c r="Q377" i="4" a="1"/>
  <c r="Q270" i="4" a="1"/>
  <c r="Q454" i="4" a="1"/>
  <c r="Q374" i="4" a="1"/>
  <c r="Q373" i="4" a="1"/>
  <c r="Q372" i="4" a="1"/>
  <c r="Q477" i="4" a="1"/>
  <c r="Q349" i="4" a="1"/>
  <c r="Q466" i="4" a="1"/>
  <c r="Q486" i="4" a="1"/>
  <c r="Q365" i="4" a="1"/>
  <c r="Q330" i="4" a="1"/>
  <c r="Q341" i="4" a="1"/>
  <c r="Q269" i="4" a="1"/>
  <c r="Q232" i="4" a="1"/>
  <c r="Q251" i="4" a="1"/>
  <c r="Q313" i="4" a="1"/>
  <c r="Q343" i="4" a="1"/>
  <c r="Q272" i="4" a="1"/>
  <c r="Q248" i="4" a="1"/>
  <c r="Q478" i="4" a="1"/>
  <c r="Q337" i="4" a="1"/>
  <c r="Q231" i="4" a="1"/>
  <c r="Q361" i="4" a="1"/>
  <c r="Q479" i="4" a="1"/>
  <c r="Q317" i="4" a="1"/>
  <c r="Q213" i="4" a="1"/>
  <c r="Q462" i="4" a="1"/>
  <c r="Q439" i="4" a="1"/>
  <c r="Q242" i="4" a="1"/>
  <c r="Q484" i="4" a="1"/>
  <c r="Q457" i="4" a="1"/>
  <c r="Q359" i="4" a="1"/>
  <c r="Q410" i="4" a="1"/>
  <c r="Q356" i="4" a="1"/>
  <c r="Q415" i="4" a="1"/>
  <c r="Q360" i="4" a="1"/>
  <c r="Q428" i="4" a="1"/>
  <c r="Q499" i="4" a="1"/>
  <c r="Q333" i="4" a="1"/>
  <c r="Q352" i="4" a="1"/>
  <c r="Q309" i="4" a="1"/>
  <c r="Q256" i="4" a="1"/>
  <c r="Q465" i="4" a="1"/>
  <c r="Q263" i="4" a="1"/>
  <c r="Q249" i="4" a="1"/>
  <c r="Q312" i="4" a="1"/>
  <c r="Q315" i="4" a="1"/>
  <c r="Q449" i="4" a="1"/>
  <c r="Q362" i="4" a="1"/>
  <c r="Q281" i="4" a="1"/>
  <c r="Q393" i="4" a="1"/>
  <c r="Q448" i="4" a="1"/>
  <c r="Q442" i="4" a="1"/>
  <c r="Q347" i="4" a="1"/>
  <c r="Q328" i="4" a="1"/>
  <c r="Q498" i="4" a="1"/>
  <c r="P24" i="4" a="1"/>
  <c r="P111" i="4" a="1"/>
  <c r="P158" i="4" a="1"/>
  <c r="P72" i="4" a="1"/>
  <c r="P58" i="4" a="1"/>
  <c r="P22" i="4" a="1"/>
  <c r="P188" i="4" a="1"/>
  <c r="P73" i="4" a="1"/>
  <c r="P84" i="4" a="1"/>
  <c r="P121" i="4" a="1"/>
  <c r="P197" i="4" a="1"/>
  <c r="P90" i="4" a="1"/>
  <c r="P14" i="4" a="1"/>
  <c r="P133" i="4" a="1"/>
  <c r="P28" i="4" a="1"/>
  <c r="P135" i="4" a="1"/>
  <c r="P95" i="4" a="1"/>
  <c r="P129" i="4" a="1"/>
  <c r="P65" i="4" a="1"/>
  <c r="P180" i="4" a="1"/>
  <c r="P106" i="4" a="1"/>
  <c r="P44" i="4" a="1"/>
  <c r="P131" i="4" a="1"/>
  <c r="P190" i="4" a="1"/>
  <c r="P29" i="4" a="1"/>
  <c r="P149" i="4" a="1"/>
  <c r="P195" i="4" a="1"/>
  <c r="P77" i="4" a="1"/>
  <c r="P143" i="4" a="1"/>
  <c r="P11" i="4" a="1"/>
  <c r="P80" i="4" a="1"/>
  <c r="P115" i="4" a="1"/>
  <c r="P39" i="4" a="1"/>
  <c r="P189" i="4" a="1"/>
  <c r="P193" i="4" a="1"/>
  <c r="P40" i="4" a="1"/>
  <c r="P93" i="4" a="1"/>
  <c r="P54" i="4" a="1"/>
  <c r="P183" i="4" a="1"/>
  <c r="P16" i="4" a="1"/>
  <c r="P130" i="4" a="1"/>
  <c r="P113" i="4" a="1"/>
  <c r="P104" i="4" a="1"/>
  <c r="P145" i="4" a="1"/>
  <c r="P13" i="4" a="1"/>
  <c r="P146" i="4" a="1"/>
  <c r="P144" i="4" a="1"/>
  <c r="P177" i="4" a="1"/>
  <c r="P56" i="4" a="1"/>
  <c r="P47" i="4" a="1"/>
  <c r="P67" i="4" a="1"/>
  <c r="P128" i="4" a="1"/>
  <c r="P124" i="4" a="1"/>
  <c r="P174" i="4" a="1"/>
  <c r="P99" i="4" a="1"/>
  <c r="P151" i="4" a="1"/>
  <c r="P55" i="4" a="1"/>
  <c r="P185" i="4" a="1"/>
  <c r="P75" i="4" a="1"/>
  <c r="P4" i="4" a="1"/>
  <c r="P140" i="4" a="1"/>
  <c r="P186" i="4" a="1"/>
  <c r="P134" i="4" a="1"/>
  <c r="P23" i="4" a="1"/>
  <c r="P142" i="4" a="1"/>
  <c r="P153" i="4" a="1"/>
  <c r="P148" i="4" a="1"/>
  <c r="P49" i="4" a="1"/>
  <c r="P156" i="4" a="1"/>
  <c r="P109" i="4" a="1"/>
  <c r="P35" i="4" a="1"/>
  <c r="P57" i="4" a="1"/>
  <c r="P199" i="4" a="1"/>
  <c r="P51" i="4" a="1"/>
  <c r="P82" i="4" a="1"/>
  <c r="P7" i="4" a="1"/>
  <c r="P167" i="4" a="1"/>
  <c r="P203" i="4" a="1"/>
  <c r="P87" i="4" a="1"/>
  <c r="P85" i="4" a="1"/>
  <c r="P136" i="4" a="1"/>
  <c r="P89" i="4" a="1"/>
  <c r="P105" i="4" a="1"/>
  <c r="P178" i="4" a="1"/>
  <c r="P172" i="4" a="1"/>
  <c r="P150" i="4" a="1"/>
  <c r="P15" i="4" a="1"/>
  <c r="P159" i="4" a="1"/>
  <c r="P155" i="4" a="1"/>
  <c r="P184" i="4" a="1"/>
  <c r="P8" i="4" a="1"/>
  <c r="P117" i="4" a="1"/>
  <c r="P38" i="4" a="1"/>
  <c r="P154" i="4" a="1"/>
  <c r="P157" i="4" a="1"/>
  <c r="P60" i="4" a="1"/>
  <c r="P6" i="4" a="1"/>
  <c r="P196" i="4" a="1"/>
  <c r="P171" i="4" a="1"/>
  <c r="P191" i="4" a="1"/>
  <c r="P141" i="4" a="1"/>
  <c r="P19" i="4" a="1"/>
  <c r="P165" i="4" a="1"/>
  <c r="P83" i="4" a="1"/>
  <c r="P61" i="4" a="1"/>
  <c r="P125" i="4" a="1"/>
  <c r="P102" i="4" a="1"/>
  <c r="P88" i="4" a="1"/>
  <c r="P110" i="4" a="1"/>
  <c r="P198" i="4" a="1"/>
  <c r="P119" i="4" a="1"/>
  <c r="P33" i="4" a="1"/>
  <c r="P132" i="4" a="1"/>
  <c r="P168" i="4" a="1"/>
  <c r="P101" i="4" a="1"/>
  <c r="P37" i="4" a="1"/>
  <c r="P116" i="4" a="1"/>
  <c r="P160" i="4" a="1"/>
  <c r="P92" i="4" a="1"/>
  <c r="P26" i="4" a="1"/>
  <c r="P25" i="4" a="1"/>
  <c r="P103" i="4" a="1"/>
  <c r="P181" i="4" a="1"/>
  <c r="P192" i="4" a="1"/>
  <c r="P112" i="4" a="1"/>
  <c r="P204" i="4" a="1"/>
  <c r="P68" i="4" a="1"/>
  <c r="P164" i="4" a="1"/>
  <c r="P12" i="4" a="1"/>
  <c r="P166" i="4" a="1"/>
  <c r="P50" i="4" a="1"/>
  <c r="P200" i="4" a="1"/>
  <c r="P76" i="4" a="1"/>
  <c r="P9" i="4" a="1"/>
  <c r="P208" i="4" a="1"/>
  <c r="P32" i="4" a="1"/>
  <c r="P64" i="4" a="1"/>
  <c r="P137" i="4" a="1"/>
  <c r="P21" i="4" a="1"/>
  <c r="P100" i="4" a="1"/>
  <c r="P31" i="4" a="1"/>
  <c r="P98" i="4" a="1"/>
  <c r="P139" i="4" a="1"/>
  <c r="P18" i="4" a="1"/>
  <c r="P91" i="4" a="1"/>
  <c r="P118" i="4" a="1"/>
  <c r="P194" i="4" a="1"/>
  <c r="P10" i="4" a="1"/>
  <c r="P36" i="4" a="1"/>
  <c r="P175" i="4" a="1"/>
  <c r="P182" i="4" a="1"/>
  <c r="P170" i="4" a="1"/>
  <c r="P96" i="4" a="1"/>
  <c r="P41" i="4" a="1"/>
  <c r="P20" i="4" a="1"/>
  <c r="P53" i="4" a="1"/>
  <c r="P108" i="4" a="1"/>
  <c r="P147" i="4" a="1"/>
  <c r="P46" i="4" a="1"/>
  <c r="P17" i="4" a="1"/>
  <c r="P97" i="4" a="1"/>
  <c r="P114" i="4" a="1"/>
  <c r="P69" i="4" a="1"/>
  <c r="P161" i="4" a="1"/>
  <c r="P86" i="4" a="1"/>
  <c r="P3" i="4" a="1"/>
  <c r="P62" i="4" a="1"/>
  <c r="P202" i="4" a="1"/>
  <c r="P152" i="4" a="1"/>
  <c r="P70" i="4" a="1"/>
  <c r="P48" i="4" a="1"/>
  <c r="P63" i="4" a="1"/>
  <c r="P210" i="4" a="1"/>
  <c r="P127" i="4" a="1"/>
  <c r="P71" i="4" a="1"/>
  <c r="P138" i="4" a="1"/>
  <c r="P120" i="4" a="1"/>
  <c r="P176" i="4" a="1"/>
  <c r="P162" i="4" a="1"/>
  <c r="P81" i="4" a="1"/>
  <c r="P163" i="4" a="1"/>
  <c r="P201" i="4" a="1"/>
  <c r="P5" i="4" a="1"/>
  <c r="P45" i="4" a="1"/>
  <c r="P74" i="4" a="1"/>
  <c r="P52" i="4" a="1"/>
  <c r="P27" i="4" a="1"/>
  <c r="P78" i="4" a="1"/>
  <c r="P205" i="4" a="1"/>
  <c r="P107" i="4" a="1"/>
  <c r="P179" i="4" a="1"/>
  <c r="P30" i="4" a="1"/>
  <c r="P173" i="4" a="1"/>
  <c r="P207" i="4" a="1"/>
  <c r="P209" i="4" a="1"/>
  <c r="P187" i="4" a="1"/>
  <c r="P126" i="4" a="1"/>
  <c r="P212" i="4" a="1"/>
  <c r="P34" i="4" a="1"/>
  <c r="P66" i="4" a="1"/>
  <c r="P79" i="4" a="1"/>
  <c r="P206" i="4" a="1"/>
  <c r="P169" i="4" a="1"/>
  <c r="P211" i="4" a="1"/>
  <c r="P94" i="4" a="1"/>
  <c r="P122" i="4" a="1"/>
  <c r="P43" i="4" a="1"/>
  <c r="P59" i="4" a="1"/>
  <c r="P123" i="4" a="1"/>
  <c r="P42" i="4" a="1"/>
  <c r="P2" i="4" a="1"/>
  <c r="O265" i="4" a="1"/>
  <c r="O398" i="4" a="1"/>
  <c r="O377" i="4" a="1"/>
  <c r="O411" i="4" a="1"/>
  <c r="O344" i="4" a="1"/>
  <c r="O342" i="4" a="1"/>
  <c r="O346" i="4" a="1"/>
  <c r="O368" i="4" a="1"/>
  <c r="O339" i="4" a="1"/>
  <c r="O477" i="4" a="1"/>
  <c r="O223" i="4" a="1"/>
  <c r="O244" i="4" a="1"/>
  <c r="O373" i="4" a="1"/>
  <c r="O338" i="4" a="1"/>
  <c r="O388" i="4" a="1"/>
  <c r="O403" i="4" a="1"/>
  <c r="O393" i="4" a="1"/>
  <c r="O366" i="4" a="1"/>
  <c r="O448" i="4" a="1"/>
  <c r="O216" i="4" a="1"/>
  <c r="O254" i="4" a="1"/>
  <c r="O415" i="4" a="1"/>
  <c r="O492" i="4" a="1"/>
  <c r="O255" i="4" a="1"/>
  <c r="O246" i="4" a="1"/>
  <c r="O467" i="4" a="1"/>
  <c r="O378" i="4" a="1"/>
  <c r="O245" i="4" a="1"/>
  <c r="O343" i="4" a="1"/>
  <c r="O487" i="4" a="1"/>
  <c r="O416" i="4" a="1"/>
  <c r="O301" i="4" a="1"/>
  <c r="O453" i="4" a="1"/>
  <c r="O322" i="4" a="1"/>
  <c r="O470" i="4" a="1"/>
  <c r="O298" i="4" a="1"/>
  <c r="O285" i="4" a="1"/>
  <c r="O232" i="4" a="1"/>
  <c r="O391" i="4" a="1"/>
  <c r="O273" i="4" a="1"/>
  <c r="O417" i="4" a="1"/>
  <c r="O349" i="4" a="1"/>
  <c r="O308" i="4" a="1"/>
  <c r="O283" i="4" a="1"/>
  <c r="O441" i="4" a="1"/>
  <c r="O334" i="4" a="1"/>
  <c r="O424" i="4" a="1"/>
  <c r="O375" i="4" a="1"/>
  <c r="O383" i="4" a="1"/>
  <c r="O337" i="4" a="1"/>
  <c r="O499" i="4" a="1"/>
  <c r="O486" i="4" a="1"/>
  <c r="O299" i="4" a="1"/>
  <c r="O442" i="4" a="1"/>
  <c r="O261" i="4" a="1"/>
  <c r="O341" i="4" a="1"/>
  <c r="O358" i="4" a="1"/>
  <c r="O394" i="4" a="1"/>
  <c r="O396" i="4" a="1"/>
  <c r="O491" i="4" a="1"/>
  <c r="O409" i="4" a="1"/>
  <c r="O462" i="4" a="1"/>
  <c r="O302" i="4" a="1"/>
  <c r="O272" i="4" a="1"/>
  <c r="O466" i="4" a="1"/>
  <c r="O369" i="4" a="1"/>
  <c r="O312" i="4" a="1"/>
  <c r="O288" i="4" a="1"/>
  <c r="O326" i="4" a="1"/>
  <c r="O328" i="4" a="1"/>
  <c r="O360" i="4" a="1"/>
  <c r="O357" i="4" a="1"/>
  <c r="O445" i="4" a="1"/>
  <c r="O425" i="4" a="1"/>
  <c r="O249" i="4" a="1"/>
  <c r="O260" i="4" a="1"/>
  <c r="O460" i="4" a="1"/>
  <c r="O300" i="4" a="1"/>
  <c r="O279" i="4" a="1"/>
  <c r="O248" i="4" a="1"/>
  <c r="O240" i="4" a="1"/>
  <c r="O221" i="4" a="1"/>
  <c r="O325" i="4" a="1"/>
  <c r="O333" i="4" a="1"/>
  <c r="O426" i="4" a="1"/>
  <c r="O347" i="4" a="1"/>
  <c r="O213" i="4" a="1"/>
  <c r="O473" i="4" a="1"/>
  <c r="O374" i="4" a="1"/>
  <c r="O215" i="4" a="1"/>
  <c r="O372" i="4" a="1"/>
  <c r="O309" i="4" a="1"/>
  <c r="O314" i="4" a="1"/>
  <c r="O235" i="4" a="1"/>
  <c r="O361" i="4" a="1"/>
  <c r="O281" i="4" a="1"/>
  <c r="O433" i="4" a="1"/>
  <c r="O228" i="4" a="1"/>
  <c r="O418" i="4" a="1"/>
  <c r="O423" i="4" a="1"/>
  <c r="O380" i="4" a="1"/>
  <c r="O251" i="4" a="1"/>
  <c r="O395" i="4" a="1"/>
  <c r="O335" i="4" a="1"/>
  <c r="O313" i="4" a="1"/>
  <c r="O350" i="4" a="1"/>
  <c r="O282" i="4" a="1"/>
  <c r="O474" i="4" a="1"/>
  <c r="O352" i="4" a="1"/>
  <c r="O420" i="4" a="1"/>
  <c r="O286" i="4" a="1"/>
  <c r="O217" i="4" a="1"/>
  <c r="O475" i="4" a="1"/>
  <c r="O318" i="4" a="1"/>
  <c r="O270" i="4" a="1"/>
  <c r="O252" i="4" a="1"/>
  <c r="O439" i="4" a="1"/>
  <c r="O406" i="4" a="1"/>
  <c r="O329" i="4" a="1"/>
  <c r="O478" i="4" a="1"/>
  <c r="O222" i="4" a="1"/>
  <c r="O290" i="4" a="1"/>
  <c r="O459" i="4" a="1"/>
  <c r="O359" i="4" a="1"/>
  <c r="O497" i="4" a="1"/>
  <c r="O351" i="4" a="1"/>
  <c r="O454" i="4" a="1"/>
  <c r="O483" i="4" a="1"/>
  <c r="O292" i="4" a="1"/>
  <c r="O371" i="4" a="1"/>
  <c r="O479" i="4" a="1"/>
  <c r="O400" i="4" a="1"/>
  <c r="O457" i="4" a="1"/>
  <c r="O315" i="4" a="1"/>
  <c r="O229" i="4" a="1"/>
  <c r="O449" i="4" a="1"/>
  <c r="O258" i="4" a="1"/>
  <c r="O484" i="4" a="1"/>
  <c r="O412" i="4" a="1"/>
  <c r="O264" i="4" a="1"/>
  <c r="O401" i="4" a="1"/>
  <c r="O498" i="4" a="1"/>
  <c r="O410" i="4" a="1"/>
  <c r="O447" i="4" a="1"/>
  <c r="O269" i="4" a="1"/>
  <c r="O348" i="4" a="1"/>
  <c r="O287" i="4" a="1"/>
  <c r="O356" i="4" a="1"/>
  <c r="O330" i="4" a="1"/>
  <c r="O257" i="4" a="1"/>
  <c r="O256" i="4" a="1"/>
  <c r="O387" i="4" a="1"/>
  <c r="O345" i="4" a="1"/>
  <c r="O362" i="4" a="1"/>
  <c r="O294" i="4" a="1"/>
  <c r="O390" i="4" a="1"/>
  <c r="O482" i="4" a="1"/>
  <c r="O305" i="4" a="1"/>
  <c r="O234" i="4" a="1"/>
  <c r="O278" i="4" a="1"/>
  <c r="O428" i="4" a="1"/>
  <c r="O263" i="4" a="1"/>
  <c r="O242" i="4" a="1"/>
  <c r="O303" i="4" a="1"/>
  <c r="O422" i="4" a="1"/>
  <c r="O365" i="4" a="1"/>
  <c r="O481" i="4" a="1"/>
  <c r="O463" i="4" a="1"/>
  <c r="O317" i="4" a="1"/>
  <c r="O451" i="4" a="1"/>
  <c r="O465" i="4" a="1"/>
  <c r="O399" i="4" a="1"/>
  <c r="O354" i="4" a="1"/>
  <c r="O231" i="4" a="1"/>
  <c r="O414" i="4" a="1"/>
  <c r="O311" i="4" a="1"/>
  <c r="O421" i="4" a="1"/>
  <c r="O430" i="4" a="1"/>
  <c r="O306" i="4" a="1"/>
  <c r="O379" i="4" a="1"/>
  <c r="O450" i="4" a="1"/>
  <c r="O389" i="4" a="1"/>
  <c r="O456" i="4" a="1"/>
  <c r="K350" i="4" a="1"/>
  <c r="K282" i="4" a="1"/>
  <c r="K474" i="4" a="1"/>
  <c r="K352" i="4" a="1"/>
  <c r="K420" i="4" a="1"/>
  <c r="K265" i="4" a="1"/>
  <c r="K398" i="4" a="1"/>
  <c r="K377" i="4" a="1"/>
  <c r="K411" i="4" a="1"/>
  <c r="K344" i="4" a="1"/>
  <c r="K342" i="4" a="1"/>
  <c r="K346" i="4" a="1"/>
  <c r="K368" i="4" a="1"/>
  <c r="K339" i="4" a="1"/>
  <c r="K477" i="4" a="1"/>
  <c r="K223" i="4" a="1"/>
  <c r="K244" i="4" a="1"/>
  <c r="K373" i="4" a="1"/>
  <c r="K338" i="4" a="1"/>
  <c r="K388" i="4" a="1"/>
  <c r="K403" i="4" a="1"/>
  <c r="K393" i="4" a="1"/>
  <c r="K366" i="4" a="1"/>
  <c r="K448" i="4" a="1"/>
  <c r="K216" i="4" a="1"/>
  <c r="K254" i="4" a="1"/>
  <c r="K415" i="4" a="1"/>
  <c r="K492" i="4" a="1"/>
  <c r="K255" i="4" a="1"/>
  <c r="K246" i="4" a="1"/>
  <c r="K467" i="4" a="1"/>
  <c r="K378" i="4" a="1"/>
  <c r="K245" i="4" a="1"/>
  <c r="K343" i="4" a="1"/>
  <c r="K487" i="4" a="1"/>
  <c r="K416" i="4" a="1"/>
  <c r="K301" i="4" a="1"/>
  <c r="K453" i="4" a="1"/>
  <c r="K322" i="4" a="1"/>
  <c r="K470" i="4" a="1"/>
  <c r="K298" i="4" a="1"/>
  <c r="K285" i="4" a="1"/>
  <c r="K232" i="4" a="1"/>
  <c r="K391" i="4" a="1"/>
  <c r="K273" i="4" a="1"/>
  <c r="K417" i="4" a="1"/>
  <c r="K349" i="4" a="1"/>
  <c r="K308" i="4" a="1"/>
  <c r="K283" i="4" a="1"/>
  <c r="K441" i="4" a="1"/>
  <c r="K334" i="4" a="1"/>
  <c r="K424" i="4" a="1"/>
  <c r="K375" i="4" a="1"/>
  <c r="K383" i="4" a="1"/>
  <c r="K337" i="4" a="1"/>
  <c r="K499" i="4" a="1"/>
  <c r="K486" i="4" a="1"/>
  <c r="K299" i="4" a="1"/>
  <c r="K442" i="4" a="1"/>
  <c r="K261" i="4" a="1"/>
  <c r="K341" i="4" a="1"/>
  <c r="K358" i="4" a="1"/>
  <c r="K394" i="4" a="1"/>
  <c r="K396" i="4" a="1"/>
  <c r="K491" i="4" a="1"/>
  <c r="K409" i="4" a="1"/>
  <c r="K462" i="4" a="1"/>
  <c r="K302" i="4" a="1"/>
  <c r="K272" i="4" a="1"/>
  <c r="K466" i="4" a="1"/>
  <c r="K369" i="4" a="1"/>
  <c r="K312" i="4" a="1"/>
  <c r="K288" i="4" a="1"/>
  <c r="K326" i="4" a="1"/>
  <c r="K328" i="4" a="1"/>
  <c r="K360" i="4" a="1"/>
  <c r="K357" i="4" a="1"/>
  <c r="K445" i="4" a="1"/>
  <c r="K425" i="4" a="1"/>
  <c r="K249" i="4" a="1"/>
  <c r="K260" i="4" a="1"/>
  <c r="K460" i="4" a="1"/>
  <c r="K300" i="4" a="1"/>
  <c r="K279" i="4" a="1"/>
  <c r="K248" i="4" a="1"/>
  <c r="K240" i="4" a="1"/>
  <c r="K221" i="4" a="1"/>
  <c r="K325" i="4" a="1"/>
  <c r="K333" i="4" a="1"/>
  <c r="K426" i="4" a="1"/>
  <c r="K347" i="4" a="1"/>
  <c r="K213" i="4" a="1"/>
  <c r="K473" i="4" a="1"/>
  <c r="K374" i="4" a="1"/>
  <c r="K215" i="4" a="1"/>
  <c r="K372" i="4" a="1"/>
  <c r="K309" i="4" a="1"/>
  <c r="K314" i="4" a="1"/>
  <c r="K235" i="4" a="1"/>
  <c r="K361" i="4" a="1"/>
  <c r="K281" i="4" a="1"/>
  <c r="K433" i="4" a="1"/>
  <c r="K228" i="4" a="1"/>
  <c r="K418" i="4" a="1"/>
  <c r="K423" i="4" a="1"/>
  <c r="K380" i="4" a="1"/>
  <c r="K251" i="4" a="1"/>
  <c r="K395" i="4" a="1"/>
  <c r="K335" i="4" a="1"/>
  <c r="K313" i="4" a="1"/>
  <c r="K286" i="4" a="1"/>
  <c r="K217" i="4" a="1"/>
  <c r="K475" i="4" a="1"/>
  <c r="K318" i="4" a="1"/>
  <c r="K270" i="4" a="1"/>
  <c r="K252" i="4" a="1"/>
  <c r="K439" i="4" a="1"/>
  <c r="K406" i="4" a="1"/>
  <c r="K329" i="4" a="1"/>
  <c r="K478" i="4" a="1"/>
  <c r="K222" i="4" a="1"/>
  <c r="K290" i="4" a="1"/>
  <c r="K459" i="4" a="1"/>
  <c r="K359" i="4" a="1"/>
  <c r="K497" i="4" a="1"/>
  <c r="K351" i="4" a="1"/>
  <c r="K454" i="4" a="1"/>
  <c r="K483" i="4" a="1"/>
  <c r="K292" i="4" a="1"/>
  <c r="K371" i="4" a="1"/>
  <c r="K479" i="4" a="1"/>
  <c r="K400" i="4" a="1"/>
  <c r="K457" i="4" a="1"/>
  <c r="K315" i="4" a="1"/>
  <c r="K229" i="4" a="1"/>
  <c r="K449" i="4" a="1"/>
  <c r="K258" i="4" a="1"/>
  <c r="K484" i="4" a="1"/>
  <c r="K412" i="4" a="1"/>
  <c r="K264" i="4" a="1"/>
  <c r="K401" i="4" a="1"/>
  <c r="K498" i="4" a="1"/>
  <c r="K410" i="4" a="1"/>
  <c r="K447" i="4" a="1"/>
  <c r="K269" i="4" a="1"/>
  <c r="K348" i="4" a="1"/>
  <c r="K287" i="4" a="1"/>
  <c r="K356" i="4" a="1"/>
  <c r="K330" i="4" a="1"/>
  <c r="K257" i="4" a="1"/>
  <c r="K256" i="4" a="1"/>
  <c r="K387" i="4" a="1"/>
  <c r="K345" i="4" a="1"/>
  <c r="K362" i="4" a="1"/>
  <c r="K294" i="4" a="1"/>
  <c r="K390" i="4" a="1"/>
  <c r="K482" i="4" a="1"/>
  <c r="K305" i="4" a="1"/>
  <c r="K234" i="4" a="1"/>
  <c r="K278" i="4" a="1"/>
  <c r="K428" i="4" a="1"/>
  <c r="K263" i="4" a="1"/>
  <c r="K242" i="4" a="1"/>
  <c r="K303" i="4" a="1"/>
  <c r="K422" i="4" a="1"/>
  <c r="K365" i="4" a="1"/>
  <c r="K481" i="4" a="1"/>
  <c r="K463" i="4" a="1"/>
  <c r="K317" i="4" a="1"/>
  <c r="K451" i="4" a="1"/>
  <c r="K465" i="4" a="1"/>
  <c r="K399" i="4" a="1"/>
  <c r="K354" i="4" a="1"/>
  <c r="K231" i="4" a="1"/>
  <c r="K414" i="4" a="1"/>
  <c r="K311" i="4" a="1"/>
  <c r="K421" i="4" a="1"/>
  <c r="K430" i="4" a="1"/>
  <c r="K306" i="4" a="1"/>
  <c r="K379" i="4" a="1"/>
  <c r="K450" i="4" a="1"/>
  <c r="K389" i="4" a="1"/>
  <c r="K456" i="4" a="1"/>
  <c r="M286" i="4" a="1"/>
  <c r="M217" i="4" a="1"/>
  <c r="M475" i="4" a="1"/>
  <c r="M318" i="4" a="1"/>
  <c r="M270" i="4" a="1"/>
  <c r="M252" i="4" a="1"/>
  <c r="M439" i="4" a="1"/>
  <c r="M406" i="4" a="1"/>
  <c r="M329" i="4" a="1"/>
  <c r="M478" i="4" a="1"/>
  <c r="M222" i="4" a="1"/>
  <c r="M290" i="4" a="1"/>
  <c r="M459" i="4" a="1"/>
  <c r="M359" i="4" a="1"/>
  <c r="M497" i="4" a="1"/>
  <c r="M351" i="4" a="1"/>
  <c r="M454" i="4" a="1"/>
  <c r="M483" i="4" a="1"/>
  <c r="M292" i="4" a="1"/>
  <c r="M371" i="4" a="1"/>
  <c r="M479" i="4" a="1"/>
  <c r="M400" i="4" a="1"/>
  <c r="M457" i="4" a="1"/>
  <c r="M315" i="4" a="1"/>
  <c r="M229" i="4" a="1"/>
  <c r="M449" i="4" a="1"/>
  <c r="M258" i="4" a="1"/>
  <c r="M484" i="4" a="1"/>
  <c r="M412" i="4" a="1"/>
  <c r="M264" i="4" a="1"/>
  <c r="M401" i="4" a="1"/>
  <c r="M498" i="4" a="1"/>
  <c r="M410" i="4" a="1"/>
  <c r="M447" i="4" a="1"/>
  <c r="M269" i="4" a="1"/>
  <c r="M348" i="4" a="1"/>
  <c r="M287" i="4" a="1"/>
  <c r="M356" i="4" a="1"/>
  <c r="M330" i="4" a="1"/>
  <c r="M257" i="4" a="1"/>
  <c r="M256" i="4" a="1"/>
  <c r="M387" i="4" a="1"/>
  <c r="M345" i="4" a="1"/>
  <c r="M362" i="4" a="1"/>
  <c r="M294" i="4" a="1"/>
  <c r="M390" i="4" a="1"/>
  <c r="M482" i="4" a="1"/>
  <c r="M305" i="4" a="1"/>
  <c r="M234" i="4" a="1"/>
  <c r="M278" i="4" a="1"/>
  <c r="M428" i="4" a="1"/>
  <c r="M263" i="4" a="1"/>
  <c r="M242" i="4" a="1"/>
  <c r="M303" i="4" a="1"/>
  <c r="M422" i="4" a="1"/>
  <c r="M365" i="4" a="1"/>
  <c r="M481" i="4" a="1"/>
  <c r="M463" i="4" a="1"/>
  <c r="M317" i="4" a="1"/>
  <c r="M451" i="4" a="1"/>
  <c r="M465" i="4" a="1"/>
  <c r="M399" i="4" a="1"/>
  <c r="M354" i="4" a="1"/>
  <c r="M231" i="4" a="1"/>
  <c r="M414" i="4" a="1"/>
  <c r="M311" i="4" a="1"/>
  <c r="M421" i="4" a="1"/>
  <c r="M430" i="4" a="1"/>
  <c r="M306" i="4" a="1"/>
  <c r="M379" i="4" a="1"/>
  <c r="M450" i="4" a="1"/>
  <c r="M389" i="4" a="1"/>
  <c r="M456" i="4" a="1"/>
  <c r="M265" i="4" a="1"/>
  <c r="M398" i="4" a="1"/>
  <c r="M377" i="4" a="1"/>
  <c r="M411" i="4" a="1"/>
  <c r="M344" i="4" a="1"/>
  <c r="M342" i="4" a="1"/>
  <c r="M346" i="4" a="1"/>
  <c r="M368" i="4" a="1"/>
  <c r="M339" i="4" a="1"/>
  <c r="M477" i="4" a="1"/>
  <c r="M223" i="4" a="1"/>
  <c r="M244" i="4" a="1"/>
  <c r="M373" i="4" a="1"/>
  <c r="M338" i="4" a="1"/>
  <c r="M388" i="4" a="1"/>
  <c r="M403" i="4" a="1"/>
  <c r="M393" i="4" a="1"/>
  <c r="M366" i="4" a="1"/>
  <c r="M448" i="4" a="1"/>
  <c r="M216" i="4" a="1"/>
  <c r="M254" i="4" a="1"/>
  <c r="M415" i="4" a="1"/>
  <c r="M492" i="4" a="1"/>
  <c r="M255" i="4" a="1"/>
  <c r="M246" i="4" a="1"/>
  <c r="M467" i="4" a="1"/>
  <c r="M378" i="4" a="1"/>
  <c r="M245" i="4" a="1"/>
  <c r="M343" i="4" a="1"/>
  <c r="M487" i="4" a="1"/>
  <c r="M416" i="4" a="1"/>
  <c r="M301" i="4" a="1"/>
  <c r="M453" i="4" a="1"/>
  <c r="M322" i="4" a="1"/>
  <c r="M470" i="4" a="1"/>
  <c r="M298" i="4" a="1"/>
  <c r="M285" i="4" a="1"/>
  <c r="M232" i="4" a="1"/>
  <c r="M391" i="4" a="1"/>
  <c r="M273" i="4" a="1"/>
  <c r="M417" i="4" a="1"/>
  <c r="M349" i="4" a="1"/>
  <c r="M308" i="4" a="1"/>
  <c r="M283" i="4" a="1"/>
  <c r="M441" i="4" a="1"/>
  <c r="M334" i="4" a="1"/>
  <c r="M424" i="4" a="1"/>
  <c r="M375" i="4" a="1"/>
  <c r="M383" i="4" a="1"/>
  <c r="M337" i="4" a="1"/>
  <c r="M499" i="4" a="1"/>
  <c r="M486" i="4" a="1"/>
  <c r="M299" i="4" a="1"/>
  <c r="M442" i="4" a="1"/>
  <c r="M261" i="4" a="1"/>
  <c r="M341" i="4" a="1"/>
  <c r="M358" i="4" a="1"/>
  <c r="M394" i="4" a="1"/>
  <c r="M396" i="4" a="1"/>
  <c r="M491" i="4" a="1"/>
  <c r="M409" i="4" a="1"/>
  <c r="M466" i="4" a="1"/>
  <c r="M369" i="4" a="1"/>
  <c r="M312" i="4" a="1"/>
  <c r="M288" i="4" a="1"/>
  <c r="M326" i="4" a="1"/>
  <c r="M328" i="4" a="1"/>
  <c r="M360" i="4" a="1"/>
  <c r="M357" i="4" a="1"/>
  <c r="M445" i="4" a="1"/>
  <c r="M425" i="4" a="1"/>
  <c r="M249" i="4" a="1"/>
  <c r="M260" i="4" a="1"/>
  <c r="M460" i="4" a="1"/>
  <c r="M300" i="4" a="1"/>
  <c r="M279" i="4" a="1"/>
  <c r="M248" i="4" a="1"/>
  <c r="M240" i="4" a="1"/>
  <c r="M221" i="4" a="1"/>
  <c r="M325" i="4" a="1"/>
  <c r="M333" i="4" a="1"/>
  <c r="M426" i="4" a="1"/>
  <c r="M347" i="4" a="1"/>
  <c r="M213" i="4" a="1"/>
  <c r="M473" i="4" a="1"/>
  <c r="M374" i="4" a="1"/>
  <c r="M215" i="4" a="1"/>
  <c r="M372" i="4" a="1"/>
  <c r="M309" i="4" a="1"/>
  <c r="M314" i="4" a="1"/>
  <c r="M235" i="4" a="1"/>
  <c r="M361" i="4" a="1"/>
  <c r="M281" i="4" a="1"/>
  <c r="M433" i="4" a="1"/>
  <c r="M228" i="4" a="1"/>
  <c r="M418" i="4" a="1"/>
  <c r="M423" i="4" a="1"/>
  <c r="M380" i="4" a="1"/>
  <c r="M251" i="4" a="1"/>
  <c r="M395" i="4" a="1"/>
  <c r="M335" i="4" a="1"/>
  <c r="M313" i="4" a="1"/>
  <c r="M350" i="4" a="1"/>
  <c r="M282" i="4" a="1"/>
  <c r="M474" i="4" a="1"/>
  <c r="M352" i="4" a="1"/>
  <c r="M420" i="4" a="1"/>
  <c r="M302" i="4" a="1"/>
  <c r="M462" i="4" a="1"/>
  <c r="M272" i="4" a="1"/>
  <c r="N178" i="4" a="1"/>
  <c r="N172" i="4" a="1"/>
  <c r="N150" i="4" a="1"/>
  <c r="N15" i="4" a="1"/>
  <c r="N159" i="4" a="1"/>
  <c r="N155" i="4" a="1"/>
  <c r="N184" i="4" a="1"/>
  <c r="N8" i="4" a="1"/>
  <c r="N117" i="4" a="1"/>
  <c r="N38" i="4" a="1"/>
  <c r="N154" i="4" a="1"/>
  <c r="N168" i="4" a="1"/>
  <c r="N37" i="4" a="1"/>
  <c r="N116" i="4" a="1"/>
  <c r="N25" i="4" a="1"/>
  <c r="N181" i="4" a="1"/>
  <c r="N112" i="4" a="1"/>
  <c r="N68" i="4" a="1"/>
  <c r="N24" i="4" a="1"/>
  <c r="N122" i="4" a="1"/>
  <c r="N59" i="4" a="1"/>
  <c r="N42" i="4" a="1"/>
  <c r="N166" i="4" a="1"/>
  <c r="N200" i="4" a="1"/>
  <c r="N72" i="4" a="1"/>
  <c r="N84" i="4" a="1"/>
  <c r="N14" i="4" a="1"/>
  <c r="N190" i="4" a="1"/>
  <c r="N143" i="4" a="1"/>
  <c r="N115" i="4" a="1"/>
  <c r="N40" i="4" a="1"/>
  <c r="N146" i="4" a="1"/>
  <c r="N128" i="4" a="1"/>
  <c r="N151" i="4" a="1"/>
  <c r="N4" i="4" a="1"/>
  <c r="N153" i="4" a="1"/>
  <c r="N7" i="4" a="1"/>
  <c r="N85" i="4" a="1"/>
  <c r="N89" i="4" a="1"/>
  <c r="N157" i="4" a="1"/>
  <c r="N60" i="4" a="1"/>
  <c r="N6" i="4" a="1"/>
  <c r="N196" i="4" a="1"/>
  <c r="N171" i="4" a="1"/>
  <c r="N191" i="4" a="1"/>
  <c r="N141" i="4" a="1"/>
  <c r="N19" i="4" a="1"/>
  <c r="N165" i="4" a="1"/>
  <c r="N83" i="4" a="1"/>
  <c r="N61" i="4" a="1"/>
  <c r="N125" i="4" a="1"/>
  <c r="N102" i="4" a="1"/>
  <c r="N88" i="4" a="1"/>
  <c r="N110" i="4" a="1"/>
  <c r="N198" i="4" a="1"/>
  <c r="N119" i="4" a="1"/>
  <c r="N33" i="4" a="1"/>
  <c r="N132" i="4" a="1"/>
  <c r="N101" i="4" a="1"/>
  <c r="N160" i="4" a="1"/>
  <c r="N92" i="4" a="1"/>
  <c r="N26" i="4" a="1"/>
  <c r="N103" i="4" a="1"/>
  <c r="N192" i="4" a="1"/>
  <c r="N204" i="4" a="1"/>
  <c r="N164" i="4" a="1"/>
  <c r="N76" i="4" a="1"/>
  <c r="N43" i="4" a="1"/>
  <c r="N123" i="4" a="1"/>
  <c r="N12" i="4" a="1"/>
  <c r="N50" i="4" a="1"/>
  <c r="N22" i="4" a="1"/>
  <c r="N197" i="4" a="1"/>
  <c r="N29" i="4" a="1"/>
  <c r="N195" i="4" a="1"/>
  <c r="N80" i="4" a="1"/>
  <c r="N189" i="4" a="1"/>
  <c r="N93" i="4" a="1"/>
  <c r="N13" i="4" a="1"/>
  <c r="N174" i="4" a="1"/>
  <c r="N185" i="4" a="1"/>
  <c r="N148" i="4" a="1"/>
  <c r="N82" i="4" a="1"/>
  <c r="N203" i="4" a="1"/>
  <c r="N9" i="4" a="1"/>
  <c r="N208" i="4" a="1"/>
  <c r="N32" i="4" a="1"/>
  <c r="N64" i="4" a="1"/>
  <c r="N137" i="4" a="1"/>
  <c r="N21" i="4" a="1"/>
  <c r="N100" i="4" a="1"/>
  <c r="N31" i="4" a="1"/>
  <c r="N98" i="4" a="1"/>
  <c r="N139" i="4" a="1"/>
  <c r="N18" i="4" a="1"/>
  <c r="N91" i="4" a="1"/>
  <c r="N118" i="4" a="1"/>
  <c r="N194" i="4" a="1"/>
  <c r="N10" i="4" a="1"/>
  <c r="N36" i="4" a="1"/>
  <c r="N175" i="4" a="1"/>
  <c r="N182" i="4" a="1"/>
  <c r="N170" i="4" a="1"/>
  <c r="N96" i="4" a="1"/>
  <c r="N41" i="4" a="1"/>
  <c r="N20" i="4" a="1"/>
  <c r="N53" i="4" a="1"/>
  <c r="N108" i="4" a="1"/>
  <c r="N147" i="4" a="1"/>
  <c r="N46" i="4" a="1"/>
  <c r="N17" i="4" a="1"/>
  <c r="N97" i="4" a="1"/>
  <c r="N114" i="4" a="1"/>
  <c r="N69" i="4" a="1"/>
  <c r="N161" i="4" a="1"/>
  <c r="N86" i="4" a="1"/>
  <c r="N3" i="4" a="1"/>
  <c r="N62" i="4" a="1"/>
  <c r="N202" i="4" a="1"/>
  <c r="N152" i="4" a="1"/>
  <c r="N70" i="4" a="1"/>
  <c r="N48" i="4" a="1"/>
  <c r="N63" i="4" a="1"/>
  <c r="N210" i="4" a="1"/>
  <c r="N127" i="4" a="1"/>
  <c r="N71" i="4" a="1"/>
  <c r="N138" i="4" a="1"/>
  <c r="N120" i="4" a="1"/>
  <c r="N176" i="4" a="1"/>
  <c r="N162" i="4" a="1"/>
  <c r="N81" i="4" a="1"/>
  <c r="N163" i="4" a="1"/>
  <c r="N201" i="4" a="1"/>
  <c r="N5" i="4" a="1"/>
  <c r="N45" i="4" a="1"/>
  <c r="N74" i="4" a="1"/>
  <c r="N52" i="4" a="1"/>
  <c r="N27" i="4" a="1"/>
  <c r="N78" i="4" a="1"/>
  <c r="N205" i="4" a="1"/>
  <c r="N107" i="4" a="1"/>
  <c r="N179" i="4" a="1"/>
  <c r="N30" i="4" a="1"/>
  <c r="N173" i="4" a="1"/>
  <c r="N207" i="4" a="1"/>
  <c r="N209" i="4" a="1"/>
  <c r="N187" i="4" a="1"/>
  <c r="N126" i="4" a="1"/>
  <c r="N212" i="4" a="1"/>
  <c r="N34" i="4" a="1"/>
  <c r="N66" i="4" a="1"/>
  <c r="N79" i="4" a="1"/>
  <c r="N206" i="4" a="1"/>
  <c r="N169" i="4" a="1"/>
  <c r="N211" i="4" a="1"/>
  <c r="N94" i="4" a="1"/>
  <c r="N111" i="4" a="1"/>
  <c r="N158" i="4" a="1"/>
  <c r="N58" i="4" a="1"/>
  <c r="N188" i="4" a="1"/>
  <c r="N73" i="4" a="1"/>
  <c r="N121" i="4" a="1"/>
  <c r="N90" i="4" a="1"/>
  <c r="N133" i="4" a="1"/>
  <c r="N28" i="4" a="1"/>
  <c r="N135" i="4" a="1"/>
  <c r="N95" i="4" a="1"/>
  <c r="N129" i="4" a="1"/>
  <c r="N65" i="4" a="1"/>
  <c r="N180" i="4" a="1"/>
  <c r="N106" i="4" a="1"/>
  <c r="N44" i="4" a="1"/>
  <c r="N131" i="4" a="1"/>
  <c r="N149" i="4" a="1"/>
  <c r="N77" i="4" a="1"/>
  <c r="N11" i="4" a="1"/>
  <c r="N39" i="4" a="1"/>
  <c r="N193" i="4" a="1"/>
  <c r="N54" i="4" a="1"/>
  <c r="N183" i="4" a="1"/>
  <c r="N16" i="4" a="1"/>
  <c r="N130" i="4" a="1"/>
  <c r="N113" i="4" a="1"/>
  <c r="N104" i="4" a="1"/>
  <c r="N145" i="4" a="1"/>
  <c r="N144" i="4" a="1"/>
  <c r="N177" i="4" a="1"/>
  <c r="N56" i="4" a="1"/>
  <c r="N47" i="4" a="1"/>
  <c r="N67" i="4" a="1"/>
  <c r="N124" i="4" a="1"/>
  <c r="N99" i="4" a="1"/>
  <c r="N55" i="4" a="1"/>
  <c r="N75" i="4" a="1"/>
  <c r="N140" i="4" a="1"/>
  <c r="N186" i="4" a="1"/>
  <c r="N134" i="4" a="1"/>
  <c r="N23" i="4" a="1"/>
  <c r="N142" i="4" a="1"/>
  <c r="N49" i="4" a="1"/>
  <c r="N156" i="4" a="1"/>
  <c r="N109" i="4" a="1"/>
  <c r="N35" i="4" a="1"/>
  <c r="N57" i="4" a="1"/>
  <c r="N199" i="4" a="1"/>
  <c r="N51" i="4" a="1"/>
  <c r="N167" i="4" a="1"/>
  <c r="N87" i="4" a="1"/>
  <c r="N136" i="4" a="1"/>
  <c r="N105" i="4" a="1"/>
  <c r="N2" i="4" a="1"/>
  <c r="L164" i="4" a="1"/>
  <c r="L24" i="4" a="1"/>
  <c r="L76" i="4" a="1"/>
  <c r="L122" i="4" a="1"/>
  <c r="L43" i="4" a="1"/>
  <c r="L59" i="4" a="1"/>
  <c r="L123" i="4" a="1"/>
  <c r="L42" i="4" a="1"/>
  <c r="L12" i="4" a="1"/>
  <c r="L166" i="4" a="1"/>
  <c r="L50" i="4" a="1"/>
  <c r="L200" i="4" a="1"/>
  <c r="L208" i="4" a="1"/>
  <c r="L32" i="4" a="1"/>
  <c r="L64" i="4" a="1"/>
  <c r="L137" i="4" a="1"/>
  <c r="L21" i="4" a="1"/>
  <c r="L100" i="4" a="1"/>
  <c r="L31" i="4" a="1"/>
  <c r="L98" i="4" a="1"/>
  <c r="L18" i="4" a="1"/>
  <c r="L91" i="4" a="1"/>
  <c r="L118" i="4" a="1"/>
  <c r="L194" i="4" a="1"/>
  <c r="L10" i="4" a="1"/>
  <c r="L36" i="4" a="1"/>
  <c r="L175" i="4" a="1"/>
  <c r="L182" i="4" a="1"/>
  <c r="L170" i="4" a="1"/>
  <c r="L41" i="4" a="1"/>
  <c r="L20" i="4" a="1"/>
  <c r="L53" i="4" a="1"/>
  <c r="L108" i="4" a="1"/>
  <c r="L147" i="4" a="1"/>
  <c r="L46" i="4" a="1"/>
  <c r="L17" i="4" a="1"/>
  <c r="L97" i="4" a="1"/>
  <c r="L114" i="4" a="1"/>
  <c r="L69" i="4" a="1"/>
  <c r="L86" i="4" a="1"/>
  <c r="L3" i="4" a="1"/>
  <c r="L62" i="4" a="1"/>
  <c r="L202" i="4" a="1"/>
  <c r="L152" i="4" a="1"/>
  <c r="L13" i="4" a="1"/>
  <c r="L144" i="4" a="1"/>
  <c r="L56" i="4" a="1"/>
  <c r="L99" i="4" a="1"/>
  <c r="L153" i="4" a="1"/>
  <c r="L51" i="4" a="1"/>
  <c r="L159" i="4" a="1"/>
  <c r="L9" i="4" a="1"/>
  <c r="L139" i="4" a="1"/>
  <c r="L96" i="4" a="1"/>
  <c r="L161" i="4" a="1"/>
  <c r="L124" i="4" a="1"/>
  <c r="L185" i="4" a="1"/>
  <c r="L154" i="4" a="1"/>
  <c r="L70" i="4" a="1"/>
  <c r="L48" i="4" a="1"/>
  <c r="L63" i="4" a="1"/>
  <c r="L210" i="4" a="1"/>
  <c r="L127" i="4" a="1"/>
  <c r="L71" i="4" a="1"/>
  <c r="L138" i="4" a="1"/>
  <c r="L120" i="4" a="1"/>
  <c r="L176" i="4" a="1"/>
  <c r="L162" i="4" a="1"/>
  <c r="L81" i="4" a="1"/>
  <c r="L163" i="4" a="1"/>
  <c r="L201" i="4" a="1"/>
  <c r="L5" i="4" a="1"/>
  <c r="L45" i="4" a="1"/>
  <c r="L74" i="4" a="1"/>
  <c r="L52" i="4" a="1"/>
  <c r="L27" i="4" a="1"/>
  <c r="L78" i="4" a="1"/>
  <c r="L205" i="4" a="1"/>
  <c r="L107" i="4" a="1"/>
  <c r="L179" i="4" a="1"/>
  <c r="L30" i="4" a="1"/>
  <c r="L173" i="4" a="1"/>
  <c r="L207" i="4" a="1"/>
  <c r="L209" i="4" a="1"/>
  <c r="L187" i="4" a="1"/>
  <c r="L126" i="4" a="1"/>
  <c r="L212" i="4" a="1"/>
  <c r="L34" i="4" a="1"/>
  <c r="L66" i="4" a="1"/>
  <c r="L79" i="4" a="1"/>
  <c r="L206" i="4" a="1"/>
  <c r="L169" i="4" a="1"/>
  <c r="L211" i="4" a="1"/>
  <c r="L94" i="4" a="1"/>
  <c r="L111" i="4" a="1"/>
  <c r="L158" i="4" a="1"/>
  <c r="L72" i="4" a="1"/>
  <c r="L58" i="4" a="1"/>
  <c r="L22" i="4" a="1"/>
  <c r="L188" i="4" a="1"/>
  <c r="L73" i="4" a="1"/>
  <c r="L84" i="4" a="1"/>
  <c r="L121" i="4" a="1"/>
  <c r="L197" i="4" a="1"/>
  <c r="L90" i="4" a="1"/>
  <c r="L14" i="4" a="1"/>
  <c r="L133" i="4" a="1"/>
  <c r="L28" i="4" a="1"/>
  <c r="L135" i="4" a="1"/>
  <c r="L95" i="4" a="1"/>
  <c r="L129" i="4" a="1"/>
  <c r="L65" i="4" a="1"/>
  <c r="L180" i="4" a="1"/>
  <c r="L106" i="4" a="1"/>
  <c r="L44" i="4" a="1"/>
  <c r="L131" i="4" a="1"/>
  <c r="L190" i="4" a="1"/>
  <c r="L29" i="4" a="1"/>
  <c r="L149" i="4" a="1"/>
  <c r="L195" i="4" a="1"/>
  <c r="L77" i="4" a="1"/>
  <c r="L143" i="4" a="1"/>
  <c r="L11" i="4" a="1"/>
  <c r="L80" i="4" a="1"/>
  <c r="L115" i="4" a="1"/>
  <c r="L39" i="4" a="1"/>
  <c r="L189" i="4" a="1"/>
  <c r="L193" i="4" a="1"/>
  <c r="L40" i="4" a="1"/>
  <c r="L93" i="4" a="1"/>
  <c r="L54" i="4" a="1"/>
  <c r="L183" i="4" a="1"/>
  <c r="L16" i="4" a="1"/>
  <c r="L130" i="4" a="1"/>
  <c r="L113" i="4" a="1"/>
  <c r="L104" i="4" a="1"/>
  <c r="L145" i="4" a="1"/>
  <c r="L146" i="4" a="1"/>
  <c r="L177" i="4" a="1"/>
  <c r="L47" i="4" a="1"/>
  <c r="L67" i="4" a="1"/>
  <c r="L128" i="4" a="1"/>
  <c r="L174" i="4" a="1"/>
  <c r="L151" i="4" a="1"/>
  <c r="L55" i="4" a="1"/>
  <c r="L75" i="4" a="1"/>
  <c r="L4" i="4" a="1"/>
  <c r="L140" i="4" a="1"/>
  <c r="L186" i="4" a="1"/>
  <c r="L134" i="4" a="1"/>
  <c r="L23" i="4" a="1"/>
  <c r="L142" i="4" a="1"/>
  <c r="L148" i="4" a="1"/>
  <c r="L49" i="4" a="1"/>
  <c r="L156" i="4" a="1"/>
  <c r="L109" i="4" a="1"/>
  <c r="L35" i="4" a="1"/>
  <c r="L57" i="4" a="1"/>
  <c r="L199" i="4" a="1"/>
  <c r="L82" i="4" a="1"/>
  <c r="L7" i="4" a="1"/>
  <c r="L167" i="4" a="1"/>
  <c r="L203" i="4" a="1"/>
  <c r="L87" i="4" a="1"/>
  <c r="L85" i="4" a="1"/>
  <c r="L136" i="4" a="1"/>
  <c r="L89" i="4" a="1"/>
  <c r="L105" i="4" a="1"/>
  <c r="L178" i="4" a="1"/>
  <c r="L172" i="4" a="1"/>
  <c r="L150" i="4" a="1"/>
  <c r="L15" i="4" a="1"/>
  <c r="L155" i="4" a="1"/>
  <c r="L184" i="4" a="1"/>
  <c r="L8" i="4" a="1"/>
  <c r="L117" i="4" a="1"/>
  <c r="L38" i="4" a="1"/>
  <c r="L157" i="4" a="1"/>
  <c r="L60" i="4" a="1"/>
  <c r="L196" i="4" a="1"/>
  <c r="L171" i="4" a="1"/>
  <c r="L191" i="4" a="1"/>
  <c r="L141" i="4" a="1"/>
  <c r="L19" i="4" a="1"/>
  <c r="L165" i="4" a="1"/>
  <c r="L6" i="4" a="1"/>
  <c r="L61" i="4" a="1"/>
  <c r="L83" i="4" a="1"/>
  <c r="L125" i="4" a="1"/>
  <c r="L102" i="4" a="1"/>
  <c r="L88" i="4" a="1"/>
  <c r="L110" i="4" a="1"/>
  <c r="L198" i="4" a="1"/>
  <c r="L119" i="4" a="1"/>
  <c r="L33" i="4" a="1"/>
  <c r="L132" i="4" a="1"/>
  <c r="L168" i="4" a="1"/>
  <c r="L101" i="4" a="1"/>
  <c r="L37" i="4" a="1"/>
  <c r="L116" i="4" a="1"/>
  <c r="L160" i="4" a="1"/>
  <c r="L92" i="4" a="1"/>
  <c r="L26" i="4" a="1"/>
  <c r="L25" i="4" a="1"/>
  <c r="L103" i="4" a="1"/>
  <c r="L181" i="4" a="1"/>
  <c r="L192" i="4" a="1"/>
  <c r="L112" i="4" a="1"/>
  <c r="L204" i="4" a="1"/>
  <c r="L68" i="4" a="1"/>
  <c r="L2" i="4" a="1"/>
  <c r="J125" i="4" a="1"/>
  <c r="J102" i="4" a="1"/>
  <c r="J88" i="4" a="1"/>
  <c r="J110" i="4" a="1"/>
  <c r="J198" i="4" a="1"/>
  <c r="J119" i="4" a="1"/>
  <c r="J33" i="4" a="1"/>
  <c r="J132" i="4" a="1"/>
  <c r="J168" i="4" a="1"/>
  <c r="J101" i="4" a="1"/>
  <c r="J37" i="4" a="1"/>
  <c r="J164" i="4" a="1"/>
  <c r="J24" i="4" a="1"/>
  <c r="J76" i="4" a="1"/>
  <c r="J122" i="4" a="1"/>
  <c r="J43" i="4" a="1"/>
  <c r="J59" i="4" a="1"/>
  <c r="J123" i="4" a="1"/>
  <c r="J42" i="4" a="1"/>
  <c r="J12" i="4" a="1"/>
  <c r="J166" i="4" a="1"/>
  <c r="J200" i="4" a="1"/>
  <c r="J9" i="4" a="1"/>
  <c r="J208" i="4" a="1"/>
  <c r="J64" i="4" a="1"/>
  <c r="J137" i="4" a="1"/>
  <c r="J21" i="4" a="1"/>
  <c r="J100" i="4" a="1"/>
  <c r="J31" i="4" a="1"/>
  <c r="J98" i="4" a="1"/>
  <c r="J139" i="4" a="1"/>
  <c r="J18" i="4" a="1"/>
  <c r="J91" i="4" a="1"/>
  <c r="J118" i="4" a="1"/>
  <c r="J194" i="4" a="1"/>
  <c r="J10" i="4" a="1"/>
  <c r="J36" i="4" a="1"/>
  <c r="J175" i="4" a="1"/>
  <c r="J182" i="4" a="1"/>
  <c r="J170" i="4" a="1"/>
  <c r="J41" i="4" a="1"/>
  <c r="J20" i="4" a="1"/>
  <c r="J53" i="4" a="1"/>
  <c r="J108" i="4" a="1"/>
  <c r="J147" i="4" a="1"/>
  <c r="J46" i="4" a="1"/>
  <c r="J17" i="4" a="1"/>
  <c r="J97" i="4" a="1"/>
  <c r="J69" i="4" a="1"/>
  <c r="J161" i="4" a="1"/>
  <c r="J86" i="4" a="1"/>
  <c r="J3" i="4" a="1"/>
  <c r="J62" i="4" a="1"/>
  <c r="J202" i="4" a="1"/>
  <c r="J152" i="4" a="1"/>
  <c r="J70" i="4" a="1"/>
  <c r="J48" i="4" a="1"/>
  <c r="J210" i="4" a="1"/>
  <c r="J127" i="4" a="1"/>
  <c r="J71" i="4" a="1"/>
  <c r="J138" i="4" a="1"/>
  <c r="J120" i="4" a="1"/>
  <c r="J176" i="4" a="1"/>
  <c r="J162" i="4" a="1"/>
  <c r="J81" i="4" a="1"/>
  <c r="J163" i="4" a="1"/>
  <c r="J201" i="4" a="1"/>
  <c r="J5" i="4" a="1"/>
  <c r="J45" i="4" a="1"/>
  <c r="J74" i="4" a="1"/>
  <c r="J52" i="4" a="1"/>
  <c r="J27" i="4" a="1"/>
  <c r="J78" i="4" a="1"/>
  <c r="J205" i="4" a="1"/>
  <c r="J179" i="4" a="1"/>
  <c r="J30" i="4" a="1"/>
  <c r="J173" i="4" a="1"/>
  <c r="J207" i="4" a="1"/>
  <c r="J209" i="4" a="1"/>
  <c r="J187" i="4" a="1"/>
  <c r="J212" i="4" a="1"/>
  <c r="J34" i="4" a="1"/>
  <c r="J66" i="4" a="1"/>
  <c r="J79" i="4" a="1"/>
  <c r="J206" i="4" a="1"/>
  <c r="J169" i="4" a="1"/>
  <c r="J211" i="4" a="1"/>
  <c r="J94" i="4" a="1"/>
  <c r="J111" i="4" a="1"/>
  <c r="J158" i="4" a="1"/>
  <c r="J72" i="4" a="1"/>
  <c r="J58" i="4" a="1"/>
  <c r="J22" i="4" a="1"/>
  <c r="J188" i="4" a="1"/>
  <c r="J73" i="4" a="1"/>
  <c r="J84" i="4" a="1"/>
  <c r="J121" i="4" a="1"/>
  <c r="J197" i="4" a="1"/>
  <c r="J90" i="4" a="1"/>
  <c r="J14" i="4" a="1"/>
  <c r="J133" i="4" a="1"/>
  <c r="J28" i="4" a="1"/>
  <c r="J135" i="4" a="1"/>
  <c r="J129" i="4" a="1"/>
  <c r="J65" i="4" a="1"/>
  <c r="J180" i="4" a="1"/>
  <c r="J106" i="4" a="1"/>
  <c r="J44" i="4" a="1"/>
  <c r="J131" i="4" a="1"/>
  <c r="J190" i="4" a="1"/>
  <c r="J29" i="4" a="1"/>
  <c r="J149" i="4" a="1"/>
  <c r="J195" i="4" a="1"/>
  <c r="J77" i="4" a="1"/>
  <c r="J143" i="4" a="1"/>
  <c r="J11" i="4" a="1"/>
  <c r="J80" i="4" a="1"/>
  <c r="J115" i="4" a="1"/>
  <c r="J189" i="4" a="1"/>
  <c r="J193" i="4" a="1"/>
  <c r="J40" i="4" a="1"/>
  <c r="J93" i="4" a="1"/>
  <c r="J54" i="4" a="1"/>
  <c r="J183" i="4" a="1"/>
  <c r="J16" i="4" a="1"/>
  <c r="J130" i="4" a="1"/>
  <c r="J113" i="4" a="1"/>
  <c r="J116" i="4" a="1"/>
  <c r="J160" i="4" a="1"/>
  <c r="J92" i="4" a="1"/>
  <c r="J26" i="4" a="1"/>
  <c r="J25" i="4" a="1"/>
  <c r="J103" i="4" a="1"/>
  <c r="J181" i="4" a="1"/>
  <c r="J192" i="4" a="1"/>
  <c r="J112" i="4" a="1"/>
  <c r="J204" i="4" a="1"/>
  <c r="J68" i="4" a="1"/>
  <c r="J50" i="4" a="1"/>
  <c r="J32" i="4" a="1"/>
  <c r="J96" i="4" a="1"/>
  <c r="J114" i="4" a="1"/>
  <c r="J63" i="4" a="1"/>
  <c r="J107" i="4" a="1"/>
  <c r="J126" i="4" a="1"/>
  <c r="J95" i="4" a="1"/>
  <c r="J39" i="4" a="1"/>
  <c r="J104" i="4" a="1"/>
  <c r="J47" i="4" a="1"/>
  <c r="J67" i="4" a="1"/>
  <c r="J128" i="4" a="1"/>
  <c r="J124" i="4" a="1"/>
  <c r="J174" i="4" a="1"/>
  <c r="J99" i="4" a="1"/>
  <c r="J151" i="4" a="1"/>
  <c r="J55" i="4" a="1"/>
  <c r="J185" i="4" a="1"/>
  <c r="J75" i="4" a="1"/>
  <c r="J4" i="4" a="1"/>
  <c r="J140" i="4" a="1"/>
  <c r="J186" i="4" a="1"/>
  <c r="J134" i="4" a="1"/>
  <c r="J23" i="4" a="1"/>
  <c r="J142" i="4" a="1"/>
  <c r="J153" i="4" a="1"/>
  <c r="J148" i="4" a="1"/>
  <c r="J49" i="4" a="1"/>
  <c r="J156" i="4" a="1"/>
  <c r="J109" i="4" a="1"/>
  <c r="J35" i="4" a="1"/>
  <c r="J57" i="4" a="1"/>
  <c r="J199" i="4" a="1"/>
  <c r="J51" i="4" a="1"/>
  <c r="J82" i="4" a="1"/>
  <c r="J7" i="4" a="1"/>
  <c r="J167" i="4" a="1"/>
  <c r="J203" i="4" a="1"/>
  <c r="J87" i="4" a="1"/>
  <c r="J85" i="4" a="1"/>
  <c r="J136" i="4" a="1"/>
  <c r="J89" i="4" a="1"/>
  <c r="J105" i="4" a="1"/>
  <c r="J178" i="4" a="1"/>
  <c r="J172" i="4" a="1"/>
  <c r="J150" i="4" a="1"/>
  <c r="J15" i="4" a="1"/>
  <c r="J159" i="4" a="1"/>
  <c r="J155" i="4" a="1"/>
  <c r="J184" i="4" a="1"/>
  <c r="J8" i="4" a="1"/>
  <c r="J117" i="4" a="1"/>
  <c r="J38" i="4" a="1"/>
  <c r="J154" i="4" a="1"/>
  <c r="J157" i="4" a="1"/>
  <c r="J60" i="4" a="1"/>
  <c r="J6" i="4" a="1"/>
  <c r="J196" i="4" a="1"/>
  <c r="J171" i="4" a="1"/>
  <c r="J191" i="4" a="1"/>
  <c r="J141" i="4" a="1"/>
  <c r="J19" i="4" a="1"/>
  <c r="J165" i="4" a="1"/>
  <c r="J83" i="4" a="1"/>
  <c r="J61" i="4" a="1"/>
  <c r="J145" i="4" a="1"/>
  <c r="J146" i="4" a="1"/>
  <c r="J13" i="4" a="1"/>
  <c r="J144" i="4" a="1"/>
  <c r="J56" i="4" a="1"/>
  <c r="J177" i="4" a="1"/>
  <c r="J2" i="4" a="1"/>
  <c r="H149" i="4" a="1"/>
  <c r="H195" i="4" a="1"/>
  <c r="H77" i="4" a="1"/>
  <c r="H143" i="4" a="1"/>
  <c r="H11" i="4" a="1"/>
  <c r="H80" i="4" a="1"/>
  <c r="H115" i="4" a="1"/>
  <c r="H39" i="4" a="1"/>
  <c r="H189" i="4" a="1"/>
  <c r="H193" i="4" a="1"/>
  <c r="H40" i="4" a="1"/>
  <c r="H93" i="4" a="1"/>
  <c r="H54" i="4" a="1"/>
  <c r="H183" i="4" a="1"/>
  <c r="H16" i="4" a="1"/>
  <c r="H130" i="4" a="1"/>
  <c r="H113" i="4" a="1"/>
  <c r="H104" i="4" a="1"/>
  <c r="H145" i="4" a="1"/>
  <c r="H13" i="4" a="1"/>
  <c r="H146" i="4" a="1"/>
  <c r="H144" i="4" a="1"/>
  <c r="H177" i="4" a="1"/>
  <c r="H56" i="4" a="1"/>
  <c r="H47" i="4" a="1"/>
  <c r="H67" i="4" a="1"/>
  <c r="H128" i="4" a="1"/>
  <c r="H124" i="4" a="1"/>
  <c r="H174" i="4" a="1"/>
  <c r="H99" i="4" a="1"/>
  <c r="H151" i="4" a="1"/>
  <c r="H55" i="4" a="1"/>
  <c r="H185" i="4" a="1"/>
  <c r="H75" i="4" a="1"/>
  <c r="H4" i="4" a="1"/>
  <c r="H140" i="4" a="1"/>
  <c r="H186" i="4" a="1"/>
  <c r="H134" i="4" a="1"/>
  <c r="H23" i="4" a="1"/>
  <c r="H142" i="4" a="1"/>
  <c r="H153" i="4" a="1"/>
  <c r="H148" i="4" a="1"/>
  <c r="H49" i="4" a="1"/>
  <c r="H156" i="4" a="1"/>
  <c r="H109" i="4" a="1"/>
  <c r="H35" i="4" a="1"/>
  <c r="H57" i="4" a="1"/>
  <c r="H137" i="4" a="1"/>
  <c r="H98" i="4" a="1"/>
  <c r="H182" i="4" a="1"/>
  <c r="H114" i="4" a="1"/>
  <c r="H138" i="4" a="1"/>
  <c r="H52" i="4" a="1"/>
  <c r="H211" i="4" a="1"/>
  <c r="H188" i="4" a="1"/>
  <c r="H180" i="4" a="1"/>
  <c r="H199" i="4" a="1"/>
  <c r="H51" i="4" a="1"/>
  <c r="H82" i="4" a="1"/>
  <c r="H7" i="4" a="1"/>
  <c r="H167" i="4" a="1"/>
  <c r="H203" i="4" a="1"/>
  <c r="H87" i="4" a="1"/>
  <c r="H85" i="4" a="1"/>
  <c r="H136" i="4" a="1"/>
  <c r="H89" i="4" a="1"/>
  <c r="H105" i="4" a="1"/>
  <c r="H60" i="4" a="1"/>
  <c r="H196" i="4" a="1"/>
  <c r="H191" i="4" a="1"/>
  <c r="H19" i="4" a="1"/>
  <c r="H83" i="4" a="1"/>
  <c r="H102" i="4" a="1"/>
  <c r="H88" i="4" a="1"/>
  <c r="H198" i="4" a="1"/>
  <c r="H33" i="4" a="1"/>
  <c r="H168" i="4" a="1"/>
  <c r="H37" i="4" a="1"/>
  <c r="H116" i="4" a="1"/>
  <c r="H26" i="4" a="1"/>
  <c r="H103" i="4" a="1"/>
  <c r="H192" i="4" a="1"/>
  <c r="H204" i="4" a="1"/>
  <c r="H24" i="4" a="1"/>
  <c r="H122" i="4" a="1"/>
  <c r="H59" i="4" a="1"/>
  <c r="H42" i="4" a="1"/>
  <c r="H166" i="4" a="1"/>
  <c r="H200" i="4" a="1"/>
  <c r="H9" i="4" a="1"/>
  <c r="H32" i="4" a="1"/>
  <c r="H21" i="4" a="1"/>
  <c r="H31" i="4" a="1"/>
  <c r="H18" i="4" a="1"/>
  <c r="H194" i="4" a="1"/>
  <c r="H96" i="4" a="1"/>
  <c r="H53" i="4" a="1"/>
  <c r="H147" i="4" a="1"/>
  <c r="H46" i="4" a="1"/>
  <c r="H97" i="4" a="1"/>
  <c r="H69" i="4" a="1"/>
  <c r="H86" i="4" a="1"/>
  <c r="H62" i="4" a="1"/>
  <c r="H152" i="4" a="1"/>
  <c r="H71" i="4" a="1"/>
  <c r="H163" i="4" a="1"/>
  <c r="H201" i="4" a="1"/>
  <c r="H45" i="4" a="1"/>
  <c r="H74" i="4" a="1"/>
  <c r="H27" i="4" a="1"/>
  <c r="H205" i="4" a="1"/>
  <c r="H179" i="4" a="1"/>
  <c r="H173" i="4" a="1"/>
  <c r="H187" i="4" a="1"/>
  <c r="H111" i="4" a="1"/>
  <c r="H72" i="4" a="1"/>
  <c r="H58" i="4" a="1"/>
  <c r="H22" i="4" a="1"/>
  <c r="H73" i="4" a="1"/>
  <c r="H121" i="4" a="1"/>
  <c r="H90" i="4" a="1"/>
  <c r="H95" i="4" a="1"/>
  <c r="H178" i="4" a="1"/>
  <c r="H172" i="4" a="1"/>
  <c r="H150" i="4" a="1"/>
  <c r="H15" i="4" a="1"/>
  <c r="H159" i="4" a="1"/>
  <c r="H155" i="4" a="1"/>
  <c r="H184" i="4" a="1"/>
  <c r="H8" i="4" a="1"/>
  <c r="H117" i="4" a="1"/>
  <c r="H38" i="4" a="1"/>
  <c r="H154" i="4" a="1"/>
  <c r="H157" i="4" a="1"/>
  <c r="H6" i="4" a="1"/>
  <c r="H171" i="4" a="1"/>
  <c r="H141" i="4" a="1"/>
  <c r="H165" i="4" a="1"/>
  <c r="H61" i="4" a="1"/>
  <c r="H125" i="4" a="1"/>
  <c r="H110" i="4" a="1"/>
  <c r="H119" i="4" a="1"/>
  <c r="H132" i="4" a="1"/>
  <c r="H101" i="4" a="1"/>
  <c r="H160" i="4" a="1"/>
  <c r="H92" i="4" a="1"/>
  <c r="H25" i="4" a="1"/>
  <c r="H181" i="4" a="1"/>
  <c r="H112" i="4" a="1"/>
  <c r="H68" i="4" a="1"/>
  <c r="H164" i="4" a="1"/>
  <c r="H76" i="4" a="1"/>
  <c r="H43" i="4" a="1"/>
  <c r="H123" i="4" a="1"/>
  <c r="H12" i="4" a="1"/>
  <c r="H50" i="4" a="1"/>
  <c r="H208" i="4" a="1"/>
  <c r="H64" i="4" a="1"/>
  <c r="H100" i="4" a="1"/>
  <c r="H139" i="4" a="1"/>
  <c r="H91" i="4" a="1"/>
  <c r="H118" i="4" a="1"/>
  <c r="H10" i="4" a="1"/>
  <c r="H36" i="4" a="1"/>
  <c r="H175" i="4" a="1"/>
  <c r="H170" i="4" a="1"/>
  <c r="H41" i="4" a="1"/>
  <c r="H20" i="4" a="1"/>
  <c r="H108" i="4" a="1"/>
  <c r="H17" i="4" a="1"/>
  <c r="H161" i="4" a="1"/>
  <c r="H3" i="4" a="1"/>
  <c r="H202" i="4" a="1"/>
  <c r="H70" i="4" a="1"/>
  <c r="H48" i="4" a="1"/>
  <c r="H63" i="4" a="1"/>
  <c r="H210" i="4" a="1"/>
  <c r="H127" i="4" a="1"/>
  <c r="H120" i="4" a="1"/>
  <c r="H176" i="4" a="1"/>
  <c r="H162" i="4" a="1"/>
  <c r="H81" i="4" a="1"/>
  <c r="H5" i="4" a="1"/>
  <c r="H78" i="4" a="1"/>
  <c r="H107" i="4" a="1"/>
  <c r="H30" i="4" a="1"/>
  <c r="H207" i="4" a="1"/>
  <c r="H209" i="4" a="1"/>
  <c r="H126" i="4" a="1"/>
  <c r="H212" i="4" a="1"/>
  <c r="H34" i="4" a="1"/>
  <c r="H66" i="4" a="1"/>
  <c r="H79" i="4" a="1"/>
  <c r="H206" i="4" a="1"/>
  <c r="H169" i="4" a="1"/>
  <c r="H94" i="4" a="1"/>
  <c r="H158" i="4" a="1"/>
  <c r="H84" i="4" a="1"/>
  <c r="H197" i="4" a="1"/>
  <c r="H14" i="4" a="1"/>
  <c r="H133" i="4" a="1"/>
  <c r="H28" i="4" a="1"/>
  <c r="H135" i="4" a="1"/>
  <c r="H129" i="4" a="1"/>
  <c r="H65" i="4" a="1"/>
  <c r="H106" i="4" a="1"/>
  <c r="H44" i="4" a="1"/>
  <c r="H131" i="4" a="1"/>
  <c r="H190" i="4" a="1"/>
  <c r="H29" i="4" a="1"/>
  <c r="H2" i="4" a="1"/>
  <c r="F361" i="4" a="1"/>
  <c r="F322" i="4" a="1"/>
  <c r="F335" i="4" a="1"/>
  <c r="F477" i="4" a="1"/>
  <c r="F281" i="4" a="1"/>
  <c r="F448" i="4" a="1"/>
  <c r="F380" i="4" a="1"/>
  <c r="F305" i="4" a="1"/>
  <c r="F473" i="4" a="1"/>
  <c r="F359" i="4" a="1"/>
  <c r="F403" i="4" a="1"/>
  <c r="F368" i="4" a="1"/>
  <c r="F341" i="4" a="1"/>
  <c r="F299" i="4" a="1"/>
  <c r="F378" i="4" a="1"/>
  <c r="F325" i="4" a="1"/>
  <c r="F400" i="4" a="1"/>
  <c r="F417" i="4" a="1"/>
  <c r="F272" i="4" a="1"/>
  <c r="F453" i="4" a="1"/>
  <c r="F360" i="4" a="1"/>
  <c r="F339" i="4" a="1"/>
  <c r="F234" i="4" a="1"/>
  <c r="F232" i="4" a="1"/>
  <c r="F451" i="4" a="1"/>
  <c r="F338" i="4" a="1"/>
  <c r="F283" i="4" a="1"/>
  <c r="F231" i="4" a="1"/>
  <c r="F317" i="4" a="1"/>
  <c r="F279" i="4" a="1"/>
  <c r="F265" i="4" a="1"/>
  <c r="F470" i="4" a="1"/>
  <c r="F300" i="4" a="1"/>
  <c r="F270" i="4" a="1"/>
  <c r="F412" i="4" a="1"/>
  <c r="F298" i="4" a="1"/>
  <c r="F330" i="4" a="1"/>
  <c r="F396" i="4" a="1"/>
  <c r="F393" i="4" a="1"/>
  <c r="F334" i="4" a="1"/>
  <c r="F269" i="4" a="1"/>
  <c r="F459" i="4" a="1"/>
  <c r="F351" i="4" a="1"/>
  <c r="F423" i="4" a="1"/>
  <c r="F411" i="4" a="1"/>
  <c r="F229" i="4" a="1"/>
  <c r="F487" i="4" a="1"/>
  <c r="F258" i="4" a="1"/>
  <c r="F497" i="4" a="1"/>
  <c r="F235" i="4" a="1"/>
  <c r="F301" i="4" a="1"/>
  <c r="F222" i="4" a="1"/>
  <c r="F375" i="4" a="1"/>
  <c r="F213" i="4" a="1"/>
  <c r="F414" i="4" a="1"/>
  <c r="F373" i="4" a="1"/>
  <c r="F292" i="4" a="1"/>
  <c r="F358" i="4" a="1"/>
  <c r="F302" i="4" a="1"/>
  <c r="F346" i="4" a="1"/>
  <c r="F287" i="4" a="1"/>
  <c r="F460" i="4" a="1"/>
  <c r="F445" i="4" a="1"/>
  <c r="F369" i="4" a="1"/>
  <c r="F244" i="4" a="1"/>
  <c r="F486" i="4" a="1"/>
  <c r="F377" i="4" a="1"/>
  <c r="F254" i="4" a="1"/>
  <c r="F329" i="4" a="1"/>
  <c r="F466" i="4" a="1"/>
  <c r="F362" i="4" a="1"/>
  <c r="F216" i="4" a="1"/>
  <c r="F245" i="4" a="1"/>
  <c r="F399" i="4" a="1"/>
  <c r="F333" i="4" a="1"/>
  <c r="F482" i="4" a="1"/>
  <c r="F383" i="4" a="1"/>
  <c r="F257" i="4" a="1"/>
  <c r="F491" i="4" a="1"/>
  <c r="F439" i="4" a="1"/>
  <c r="F345" i="4" a="1"/>
  <c r="F290" i="4" a="1"/>
  <c r="F256" i="4" a="1"/>
  <c r="F462" i="4" a="1"/>
  <c r="F337" i="4" a="1"/>
  <c r="F475" i="4" a="1"/>
  <c r="F215" i="4" a="1"/>
  <c r="F450" i="4" a="1"/>
  <c r="F273" i="4" a="1"/>
  <c r="F348" i="4" a="1"/>
  <c r="F217" i="4" a="1"/>
  <c r="F252" i="4" a="1"/>
  <c r="F457" i="4" a="1"/>
  <c r="F344" i="4" a="1"/>
  <c r="F240" i="4" a="1"/>
  <c r="F326" i="4" a="1"/>
  <c r="F263" i="4" a="1"/>
  <c r="F371" i="4" a="1"/>
  <c r="F303" i="4" a="1"/>
  <c r="F483" i="4" a="1"/>
  <c r="F288" i="4" a="1"/>
  <c r="F242" i="4" a="1"/>
  <c r="F366" i="4" a="1"/>
  <c r="F311" i="4" a="1"/>
  <c r="F406" i="4" a="1"/>
  <c r="F347" i="4" a="1"/>
  <c r="F387" i="4" a="1"/>
  <c r="F409" i="4" a="1"/>
  <c r="F401" i="4" a="1"/>
  <c r="F498" i="4" a="1"/>
  <c r="F228" i="4" a="1"/>
  <c r="F441" i="4" a="1"/>
  <c r="F410" i="4" a="1"/>
  <c r="F349" i="4" a="1"/>
  <c r="F492" i="4" a="1"/>
  <c r="F415" i="4" a="1"/>
  <c r="F449" i="4" a="1"/>
  <c r="F342" i="4" a="1"/>
  <c r="F282" i="4" a="1"/>
  <c r="F421" i="4" a="1"/>
  <c r="F433" i="4" a="1"/>
  <c r="F447" i="4" a="1"/>
  <c r="F484" i="4" a="1"/>
  <c r="F465" i="4" a="1"/>
  <c r="F223" i="4" a="1"/>
  <c r="F306" i="4" a="1"/>
  <c r="F354" i="4" a="1"/>
  <c r="F352" i="4" a="1"/>
  <c r="F474" i="4" a="1"/>
  <c r="F285" i="4" a="1"/>
  <c r="F312" i="4" a="1"/>
  <c r="F388" i="4" a="1"/>
  <c r="F249" i="4" a="1"/>
  <c r="F356" i="4" a="1"/>
  <c r="F313" i="4" a="1"/>
  <c r="F294" i="4" a="1"/>
  <c r="F286" i="4" a="1"/>
  <c r="F261" i="4" a="1"/>
  <c r="F248" i="4" a="1"/>
  <c r="F374" i="4" a="1"/>
  <c r="F278" i="4" a="1"/>
  <c r="F350" i="4" a="1"/>
  <c r="F372" i="4" a="1"/>
  <c r="F454" i="4" a="1"/>
  <c r="F264" i="4" a="1"/>
  <c r="F425" i="4" a="1"/>
  <c r="F395" i="4" a="1"/>
  <c r="F251" i="4" a="1"/>
  <c r="F391" i="4" a="1"/>
  <c r="F426" i="4" a="1"/>
  <c r="F343" i="4" a="1"/>
  <c r="F314" i="4" a="1"/>
  <c r="F318" i="4" a="1"/>
  <c r="F357" i="4" a="1"/>
  <c r="F308" i="4" a="1"/>
  <c r="F315" i="4" a="1"/>
  <c r="F309" i="4" a="1"/>
  <c r="F255" i="4" a="1"/>
  <c r="F424" i="4" a="1"/>
  <c r="F365" i="4" a="1"/>
  <c r="F394" i="4" a="1"/>
  <c r="F221" i="4" a="1"/>
  <c r="F379" i="4" a="1"/>
  <c r="F456" i="4" a="1"/>
  <c r="F246" i="4" a="1"/>
  <c r="F478" i="4" a="1"/>
  <c r="F430" i="4" a="1"/>
  <c r="F463" i="4" a="1"/>
  <c r="F428" i="4" a="1"/>
  <c r="F260" i="4" a="1"/>
  <c r="F389" i="4" a="1"/>
  <c r="F467" i="4" a="1"/>
  <c r="F422" i="4" a="1"/>
  <c r="F418" i="4" a="1"/>
  <c r="F481" i="4" a="1"/>
  <c r="F416" i="4" a="1"/>
  <c r="F499" i="4" a="1"/>
  <c r="F390" i="4" a="1"/>
  <c r="F420" i="4" a="1"/>
  <c r="F442" i="4" a="1"/>
  <c r="F328" i="4" a="1"/>
  <c r="F479" i="4" a="1"/>
  <c r="F398" i="4" a="1"/>
  <c r="I467" i="4" l="1"/>
  <c r="I498" i="4"/>
  <c r="I328" i="4"/>
  <c r="I482" i="4"/>
  <c r="I347" i="4"/>
  <c r="I318" i="4"/>
  <c r="I442" i="4"/>
  <c r="I448" i="4"/>
  <c r="I393" i="4"/>
  <c r="I281" i="4"/>
  <c r="I362" i="4"/>
  <c r="I456" i="4"/>
  <c r="I449" i="4"/>
  <c r="I335" i="4"/>
  <c r="I306" i="4"/>
  <c r="I315" i="4"/>
  <c r="I234" i="4"/>
  <c r="I396" i="4"/>
  <c r="I334" i="4"/>
  <c r="I312" i="4"/>
  <c r="I342" i="4"/>
  <c r="I325" i="4"/>
  <c r="I453" i="4"/>
  <c r="I420" i="4"/>
  <c r="I417" i="4"/>
  <c r="I249" i="4"/>
  <c r="I399" i="4"/>
  <c r="I263" i="4"/>
  <c r="I465" i="4"/>
  <c r="I256" i="4"/>
  <c r="I401" i="4"/>
  <c r="I216" i="4"/>
  <c r="I463" i="4"/>
  <c r="I303" i="4"/>
  <c r="I309" i="4"/>
  <c r="I352" i="4"/>
  <c r="I285" i="4"/>
  <c r="I278" i="4"/>
  <c r="I412" i="4"/>
  <c r="I426" i="4"/>
  <c r="I333" i="4"/>
  <c r="I499" i="4"/>
  <c r="I460" i="4"/>
  <c r="I428" i="4"/>
  <c r="I351" i="4"/>
  <c r="I360" i="4"/>
  <c r="I415" i="4"/>
  <c r="I326" i="4"/>
  <c r="I356" i="4"/>
  <c r="I311" i="4"/>
  <c r="I235" i="4"/>
  <c r="I229" i="4"/>
  <c r="I410" i="4"/>
  <c r="I359" i="4"/>
  <c r="I418" i="4"/>
  <c r="I424" i="4"/>
  <c r="I390" i="4"/>
  <c r="I457" i="4"/>
  <c r="I261" i="4"/>
  <c r="I484" i="4"/>
  <c r="I242" i="4"/>
  <c r="I279" i="4"/>
  <c r="I314" i="4"/>
  <c r="I439" i="4"/>
  <c r="I379" i="4"/>
  <c r="I462" i="4"/>
  <c r="I409" i="4"/>
  <c r="I447" i="4"/>
  <c r="I451" i="4"/>
  <c r="I213" i="4"/>
  <c r="I254" i="4"/>
  <c r="I441" i="4"/>
  <c r="I317" i="4"/>
  <c r="I479" i="4"/>
  <c r="I475" i="4"/>
  <c r="I361" i="4"/>
  <c r="I300" i="4"/>
  <c r="I231" i="4"/>
  <c r="I337" i="4"/>
  <c r="I252" i="4"/>
  <c r="I305" i="4"/>
  <c r="I350" i="4"/>
  <c r="I478" i="4"/>
  <c r="I422" i="4"/>
  <c r="I248" i="4"/>
  <c r="I272" i="4"/>
  <c r="I343" i="4"/>
  <c r="I313" i="4"/>
  <c r="I251" i="4"/>
  <c r="I232" i="4"/>
  <c r="I269" i="4"/>
  <c r="I341" i="4"/>
  <c r="I330" i="4"/>
  <c r="I365" i="4"/>
  <c r="I486" i="4"/>
  <c r="I466" i="4"/>
  <c r="I349" i="4"/>
  <c r="I477" i="4"/>
  <c r="I372" i="4"/>
  <c r="I373" i="4"/>
  <c r="I374" i="4"/>
  <c r="I454" i="4"/>
  <c r="I270" i="4"/>
  <c r="I377" i="4"/>
  <c r="I416" i="4"/>
  <c r="I260" i="4"/>
  <c r="I302" i="4"/>
  <c r="I282" i="4"/>
  <c r="I423" i="4"/>
  <c r="I339" i="4"/>
  <c r="I358" i="4"/>
  <c r="I459" i="4"/>
  <c r="I294" i="4"/>
  <c r="I299" i="4"/>
  <c r="I388" i="4"/>
  <c r="I487" i="4"/>
  <c r="I483" i="4"/>
  <c r="I450" i="4"/>
  <c r="I215" i="4"/>
  <c r="I375" i="4"/>
  <c r="I433" i="4"/>
  <c r="I223" i="4"/>
  <c r="I308" i="4"/>
  <c r="I481" i="4"/>
  <c r="I301" i="4"/>
  <c r="I273" i="4"/>
  <c r="I354" i="4"/>
  <c r="I391" i="4"/>
  <c r="I380" i="4"/>
  <c r="I357" i="4"/>
  <c r="I473" i="4"/>
  <c r="I491" i="4"/>
  <c r="I257" i="4"/>
  <c r="I368" i="4"/>
  <c r="I366" i="4"/>
  <c r="I222" i="4"/>
  <c r="I406" i="4"/>
  <c r="I414" i="4"/>
  <c r="I378" i="4"/>
  <c r="I246" i="4"/>
  <c r="I387" i="4"/>
  <c r="I394" i="4"/>
  <c r="I411" i="4"/>
  <c r="I258" i="4"/>
  <c r="I286" i="4"/>
  <c r="I395" i="4"/>
  <c r="I445" i="4"/>
  <c r="I346" i="4"/>
  <c r="I371" i="4"/>
  <c r="I338" i="4"/>
  <c r="I265" i="4"/>
  <c r="I292" i="4"/>
  <c r="I389" i="4"/>
  <c r="I425" i="4"/>
  <c r="I348" i="4"/>
  <c r="I470" i="4"/>
  <c r="I288" i="4"/>
  <c r="I403" i="4"/>
  <c r="I287" i="4"/>
  <c r="I221" i="4"/>
  <c r="I398" i="4"/>
  <c r="I264" i="4"/>
  <c r="I400" i="4"/>
  <c r="I283" i="4"/>
  <c r="I217" i="4"/>
  <c r="I240" i="4"/>
  <c r="I474" i="4"/>
  <c r="I255" i="4"/>
  <c r="I383" i="4"/>
  <c r="I492" i="4"/>
  <c r="I497" i="4"/>
  <c r="I245" i="4"/>
  <c r="I298" i="4"/>
  <c r="I345" i="4"/>
  <c r="I430" i="4"/>
  <c r="I228" i="4"/>
  <c r="I322" i="4"/>
  <c r="I244" i="4"/>
  <c r="I421" i="4"/>
  <c r="I290" i="4"/>
  <c r="I344" i="4"/>
  <c r="I329" i="4"/>
  <c r="I369" i="4"/>
  <c r="Q498" i="4"/>
  <c r="Q328" i="4"/>
  <c r="Q347" i="4"/>
  <c r="Q442" i="4"/>
  <c r="Q448" i="4"/>
  <c r="Q393" i="4"/>
  <c r="Q281" i="4"/>
  <c r="Q362" i="4"/>
  <c r="Q449" i="4"/>
  <c r="Q315" i="4"/>
  <c r="Q312" i="4"/>
  <c r="Q249" i="4"/>
  <c r="Q263" i="4"/>
  <c r="Q465" i="4"/>
  <c r="Q256" i="4"/>
  <c r="Q309" i="4"/>
  <c r="Q352" i="4"/>
  <c r="Q333" i="4"/>
  <c r="Q499" i="4"/>
  <c r="Q428" i="4"/>
  <c r="Q360" i="4"/>
  <c r="Q415" i="4"/>
  <c r="Q356" i="4"/>
  <c r="Q410" i="4"/>
  <c r="Q359" i="4"/>
  <c r="Q457" i="4"/>
  <c r="Q484" i="4"/>
  <c r="Q242" i="4"/>
  <c r="Q439" i="4"/>
  <c r="Q462" i="4"/>
  <c r="Q213" i="4"/>
  <c r="Q317" i="4"/>
  <c r="Q479" i="4"/>
  <c r="Q361" i="4"/>
  <c r="Q231" i="4"/>
  <c r="Q337" i="4"/>
  <c r="Q478" i="4"/>
  <c r="Q248" i="4"/>
  <c r="Q272" i="4"/>
  <c r="Q343" i="4"/>
  <c r="Q313" i="4"/>
  <c r="Q251" i="4"/>
  <c r="Q232" i="4"/>
  <c r="Q269" i="4"/>
  <c r="Q341" i="4"/>
  <c r="Q330" i="4"/>
  <c r="Q365" i="4"/>
  <c r="Q486" i="4"/>
  <c r="Q466" i="4"/>
  <c r="Q349" i="4"/>
  <c r="Q477" i="4"/>
  <c r="Q372" i="4"/>
  <c r="Q373" i="4"/>
  <c r="Q374" i="4"/>
  <c r="Q454" i="4"/>
  <c r="Q270" i="4"/>
  <c r="Q377" i="4"/>
  <c r="Q416" i="4"/>
  <c r="Q260" i="4"/>
  <c r="Q302" i="4"/>
  <c r="Q282" i="4"/>
  <c r="Q423" i="4"/>
  <c r="Q339" i="4"/>
  <c r="Q358" i="4"/>
  <c r="Q459" i="4"/>
  <c r="Q294" i="4"/>
  <c r="Q299" i="4"/>
  <c r="Q388" i="4"/>
  <c r="Q487" i="4"/>
  <c r="Q483" i="4"/>
  <c r="Q450" i="4"/>
  <c r="Q215" i="4"/>
  <c r="Q375" i="4"/>
  <c r="Q433" i="4"/>
  <c r="Q223" i="4"/>
  <c r="Q308" i="4"/>
  <c r="Q481" i="4"/>
  <c r="Q301" i="4"/>
  <c r="Q273" i="4"/>
  <c r="Q354" i="4"/>
  <c r="Q391" i="4"/>
  <c r="Q380" i="4"/>
  <c r="Q357" i="4"/>
  <c r="Q473" i="4"/>
  <c r="Q491" i="4"/>
  <c r="Q257" i="4"/>
  <c r="Q368" i="4"/>
  <c r="Q366" i="4"/>
  <c r="Q222" i="4"/>
  <c r="Q406" i="4"/>
  <c r="Q414" i="4"/>
  <c r="Q378" i="4"/>
  <c r="Q246" i="4"/>
  <c r="Q387" i="4"/>
  <c r="Q394" i="4"/>
  <c r="Q411" i="4"/>
  <c r="Q258" i="4"/>
  <c r="Q286" i="4"/>
  <c r="Q467" i="4"/>
  <c r="Q482" i="4"/>
  <c r="Q318" i="4"/>
  <c r="Q456" i="4"/>
  <c r="Q335" i="4"/>
  <c r="Q306" i="4"/>
  <c r="Q234" i="4"/>
  <c r="Q396" i="4"/>
  <c r="Q334" i="4"/>
  <c r="Q342" i="4"/>
  <c r="Q325" i="4"/>
  <c r="Q453" i="4"/>
  <c r="Q420" i="4"/>
  <c r="Q417" i="4"/>
  <c r="Q399" i="4"/>
  <c r="Q401" i="4"/>
  <c r="Q216" i="4"/>
  <c r="Q463" i="4"/>
  <c r="Q303" i="4"/>
  <c r="Q285" i="4"/>
  <c r="Q278" i="4"/>
  <c r="Q412" i="4"/>
  <c r="Q426" i="4"/>
  <c r="Q460" i="4"/>
  <c r="Q351" i="4"/>
  <c r="Q326" i="4"/>
  <c r="Q311" i="4"/>
  <c r="Q235" i="4"/>
  <c r="Q229" i="4"/>
  <c r="Q418" i="4"/>
  <c r="Q424" i="4"/>
  <c r="Q390" i="4"/>
  <c r="Q261" i="4"/>
  <c r="Q279" i="4"/>
  <c r="Q314" i="4"/>
  <c r="Q379" i="4"/>
  <c r="Q409" i="4"/>
  <c r="Q447" i="4"/>
  <c r="Q451" i="4"/>
  <c r="Q254" i="4"/>
  <c r="Q441" i="4"/>
  <c r="Q475" i="4"/>
  <c r="Q300" i="4"/>
  <c r="Q252" i="4"/>
  <c r="Q305" i="4"/>
  <c r="Q350" i="4"/>
  <c r="Q422" i="4"/>
  <c r="Q395" i="4"/>
  <c r="Q445" i="4"/>
  <c r="Q346" i="4"/>
  <c r="Q371" i="4"/>
  <c r="Q338" i="4"/>
  <c r="Q265" i="4"/>
  <c r="Q292" i="4"/>
  <c r="Q389" i="4"/>
  <c r="Q425" i="4"/>
  <c r="Q348" i="4"/>
  <c r="Q470" i="4"/>
  <c r="Q288" i="4"/>
  <c r="Q403" i="4"/>
  <c r="Q287" i="4"/>
  <c r="Q221" i="4"/>
  <c r="Q398" i="4"/>
  <c r="Q474" i="4"/>
  <c r="Q255" i="4"/>
  <c r="Q383" i="4"/>
  <c r="Q492" i="4"/>
  <c r="Q497" i="4"/>
  <c r="Q264" i="4"/>
  <c r="Q400" i="4"/>
  <c r="Q283" i="4"/>
  <c r="Q217" i="4"/>
  <c r="Q240" i="4"/>
  <c r="Q245" i="4"/>
  <c r="Q298" i="4"/>
  <c r="Q345" i="4"/>
  <c r="Q430" i="4"/>
  <c r="Q228" i="4"/>
  <c r="Q322" i="4"/>
  <c r="Q244" i="4"/>
  <c r="Q421" i="4"/>
  <c r="Q290" i="4"/>
  <c r="Q344" i="4"/>
  <c r="Q329" i="4"/>
  <c r="Q369" i="4"/>
  <c r="P24" i="4"/>
  <c r="P42" i="4"/>
  <c r="P123" i="4"/>
  <c r="P59" i="4"/>
  <c r="P43" i="4"/>
  <c r="P122" i="4"/>
  <c r="P94" i="4"/>
  <c r="P211" i="4"/>
  <c r="P169" i="4"/>
  <c r="P206" i="4"/>
  <c r="P79" i="4"/>
  <c r="P66" i="4"/>
  <c r="P34" i="4"/>
  <c r="P212" i="4"/>
  <c r="P126" i="4"/>
  <c r="P187" i="4"/>
  <c r="P209" i="4"/>
  <c r="P207" i="4"/>
  <c r="P173" i="4"/>
  <c r="P30" i="4"/>
  <c r="P179" i="4"/>
  <c r="P107" i="4"/>
  <c r="P205" i="4"/>
  <c r="P78" i="4"/>
  <c r="P27" i="4"/>
  <c r="P52" i="4"/>
  <c r="P74" i="4"/>
  <c r="P45" i="4"/>
  <c r="P5" i="4"/>
  <c r="P201" i="4"/>
  <c r="P163" i="4"/>
  <c r="P81" i="4"/>
  <c r="P162" i="4"/>
  <c r="P176" i="4"/>
  <c r="P120" i="4"/>
  <c r="P138" i="4"/>
  <c r="P71" i="4"/>
  <c r="P127" i="4"/>
  <c r="P210" i="4"/>
  <c r="P63" i="4"/>
  <c r="P48" i="4"/>
  <c r="P70" i="4"/>
  <c r="P152" i="4"/>
  <c r="P202" i="4"/>
  <c r="P62" i="4"/>
  <c r="P3" i="4"/>
  <c r="P86" i="4"/>
  <c r="P161" i="4"/>
  <c r="P69" i="4"/>
  <c r="P114" i="4"/>
  <c r="P97" i="4"/>
  <c r="P17" i="4"/>
  <c r="P46" i="4"/>
  <c r="P147" i="4"/>
  <c r="P108" i="4"/>
  <c r="P53" i="4"/>
  <c r="P20" i="4"/>
  <c r="P41" i="4"/>
  <c r="P96" i="4"/>
  <c r="P170" i="4"/>
  <c r="P182" i="4"/>
  <c r="P175" i="4"/>
  <c r="P36" i="4"/>
  <c r="P10" i="4"/>
  <c r="P194" i="4"/>
  <c r="P118" i="4"/>
  <c r="P91" i="4"/>
  <c r="P18" i="4"/>
  <c r="P139" i="4"/>
  <c r="P98" i="4"/>
  <c r="P31" i="4"/>
  <c r="P100" i="4"/>
  <c r="P21" i="4"/>
  <c r="P137" i="4"/>
  <c r="P64" i="4"/>
  <c r="P32" i="4"/>
  <c r="P208" i="4"/>
  <c r="P9" i="4"/>
  <c r="P76" i="4"/>
  <c r="P200" i="4"/>
  <c r="P50" i="4"/>
  <c r="P166" i="4"/>
  <c r="P12" i="4"/>
  <c r="P164" i="4"/>
  <c r="P68" i="4"/>
  <c r="P204" i="4"/>
  <c r="P112" i="4"/>
  <c r="P192" i="4"/>
  <c r="P181" i="4"/>
  <c r="P103" i="4"/>
  <c r="P25" i="4"/>
  <c r="P26" i="4"/>
  <c r="P92" i="4"/>
  <c r="P160" i="4"/>
  <c r="P116" i="4"/>
  <c r="P37" i="4"/>
  <c r="P101" i="4"/>
  <c r="P168" i="4"/>
  <c r="P132" i="4"/>
  <c r="P33" i="4"/>
  <c r="P119" i="4"/>
  <c r="P198" i="4"/>
  <c r="P110" i="4"/>
  <c r="P88" i="4"/>
  <c r="P102" i="4"/>
  <c r="P125" i="4"/>
  <c r="P61" i="4"/>
  <c r="P83" i="4"/>
  <c r="P165" i="4"/>
  <c r="P19" i="4"/>
  <c r="P141" i="4"/>
  <c r="P191" i="4"/>
  <c r="P171" i="4"/>
  <c r="P196" i="4"/>
  <c r="P6" i="4"/>
  <c r="P60" i="4"/>
  <c r="P157" i="4"/>
  <c r="P154" i="4"/>
  <c r="P38" i="4"/>
  <c r="P117" i="4"/>
  <c r="P8" i="4"/>
  <c r="P184" i="4"/>
  <c r="P155" i="4"/>
  <c r="P159" i="4"/>
  <c r="P15" i="4"/>
  <c r="P150" i="4"/>
  <c r="P172" i="4"/>
  <c r="P178" i="4"/>
  <c r="P105" i="4"/>
  <c r="P89" i="4"/>
  <c r="P136" i="4"/>
  <c r="P85" i="4"/>
  <c r="P87" i="4"/>
  <c r="P203" i="4"/>
  <c r="P167" i="4"/>
  <c r="P7" i="4"/>
  <c r="P82" i="4"/>
  <c r="P51" i="4"/>
  <c r="P199" i="4"/>
  <c r="P57" i="4"/>
  <c r="P35" i="4"/>
  <c r="P109" i="4"/>
  <c r="P156" i="4"/>
  <c r="P49" i="4"/>
  <c r="P148" i="4"/>
  <c r="P153" i="4"/>
  <c r="P142" i="4"/>
  <c r="P23" i="4"/>
  <c r="P134" i="4"/>
  <c r="P186" i="4"/>
  <c r="P140" i="4"/>
  <c r="P4" i="4"/>
  <c r="P75" i="4"/>
  <c r="P185" i="4"/>
  <c r="P55" i="4"/>
  <c r="P151" i="4"/>
  <c r="P99" i="4"/>
  <c r="P174" i="4"/>
  <c r="P124" i="4"/>
  <c r="P128" i="4"/>
  <c r="P67" i="4"/>
  <c r="P47" i="4"/>
  <c r="P56" i="4"/>
  <c r="P177" i="4"/>
  <c r="P144" i="4"/>
  <c r="P146" i="4"/>
  <c r="P13" i="4"/>
  <c r="P145" i="4"/>
  <c r="P104" i="4"/>
  <c r="P113" i="4"/>
  <c r="P130" i="4"/>
  <c r="P16" i="4"/>
  <c r="P183" i="4"/>
  <c r="P54" i="4"/>
  <c r="P93" i="4"/>
  <c r="P40" i="4"/>
  <c r="P193" i="4"/>
  <c r="P189" i="4"/>
  <c r="P39" i="4"/>
  <c r="P115" i="4"/>
  <c r="P80" i="4"/>
  <c r="P11" i="4"/>
  <c r="P143" i="4"/>
  <c r="P77" i="4"/>
  <c r="P195" i="4"/>
  <c r="P149" i="4"/>
  <c r="P29" i="4"/>
  <c r="P190" i="4"/>
  <c r="P131" i="4"/>
  <c r="P44" i="4"/>
  <c r="P106" i="4"/>
  <c r="P180" i="4"/>
  <c r="P65" i="4"/>
  <c r="P129" i="4"/>
  <c r="P95" i="4"/>
  <c r="P135" i="4"/>
  <c r="P28" i="4"/>
  <c r="P133" i="4"/>
  <c r="P14" i="4"/>
  <c r="P90" i="4"/>
  <c r="P197" i="4"/>
  <c r="P121" i="4"/>
  <c r="P84" i="4"/>
  <c r="P73" i="4"/>
  <c r="P188" i="4"/>
  <c r="P22" i="4"/>
  <c r="P58" i="4"/>
  <c r="P72" i="4"/>
  <c r="P158" i="4"/>
  <c r="P111" i="4"/>
  <c r="P2" i="4"/>
  <c r="O456" i="4"/>
  <c r="O389" i="4"/>
  <c r="O450" i="4"/>
  <c r="O379" i="4"/>
  <c r="O306" i="4"/>
  <c r="O430" i="4"/>
  <c r="O421" i="4"/>
  <c r="O311" i="4"/>
  <c r="O414" i="4"/>
  <c r="O231" i="4"/>
  <c r="O354" i="4"/>
  <c r="O399" i="4"/>
  <c r="O465" i="4"/>
  <c r="O451" i="4"/>
  <c r="O317" i="4"/>
  <c r="O463" i="4"/>
  <c r="O481" i="4"/>
  <c r="O365" i="4"/>
  <c r="O422" i="4"/>
  <c r="O303" i="4"/>
  <c r="O242" i="4"/>
  <c r="O263" i="4"/>
  <c r="O428" i="4"/>
  <c r="O278" i="4"/>
  <c r="O234" i="4"/>
  <c r="O305" i="4"/>
  <c r="O482" i="4"/>
  <c r="O390" i="4"/>
  <c r="O294" i="4"/>
  <c r="O362" i="4"/>
  <c r="O345" i="4"/>
  <c r="O387" i="4"/>
  <c r="O256" i="4"/>
  <c r="O257" i="4"/>
  <c r="O330" i="4"/>
  <c r="O356" i="4"/>
  <c r="O287" i="4"/>
  <c r="O348" i="4"/>
  <c r="O269" i="4"/>
  <c r="O447" i="4"/>
  <c r="O410" i="4"/>
  <c r="O498" i="4"/>
  <c r="O401" i="4"/>
  <c r="O264" i="4"/>
  <c r="O412" i="4"/>
  <c r="O484" i="4"/>
  <c r="O258" i="4"/>
  <c r="O449" i="4"/>
  <c r="O229" i="4"/>
  <c r="O315" i="4"/>
  <c r="O457" i="4"/>
  <c r="O400" i="4"/>
  <c r="O479" i="4"/>
  <c r="O371" i="4"/>
  <c r="O292" i="4"/>
  <c r="O483" i="4"/>
  <c r="O454" i="4"/>
  <c r="O351" i="4"/>
  <c r="O497" i="4"/>
  <c r="O359" i="4"/>
  <c r="O459" i="4"/>
  <c r="O290" i="4"/>
  <c r="O222" i="4"/>
  <c r="O478" i="4"/>
  <c r="O329" i="4"/>
  <c r="O406" i="4"/>
  <c r="O439" i="4"/>
  <c r="O252" i="4"/>
  <c r="O270" i="4"/>
  <c r="O318" i="4"/>
  <c r="O475" i="4"/>
  <c r="O217" i="4"/>
  <c r="O286" i="4"/>
  <c r="O420" i="4"/>
  <c r="O352" i="4"/>
  <c r="O474" i="4"/>
  <c r="O282" i="4"/>
  <c r="O350" i="4"/>
  <c r="O313" i="4"/>
  <c r="O335" i="4"/>
  <c r="O395" i="4"/>
  <c r="O251" i="4"/>
  <c r="O380" i="4"/>
  <c r="O423" i="4"/>
  <c r="O418" i="4"/>
  <c r="O228" i="4"/>
  <c r="O433" i="4"/>
  <c r="O281" i="4"/>
  <c r="O361" i="4"/>
  <c r="O235" i="4"/>
  <c r="O314" i="4"/>
  <c r="O309" i="4"/>
  <c r="O372" i="4"/>
  <c r="O215" i="4"/>
  <c r="O374" i="4"/>
  <c r="O473" i="4"/>
  <c r="O213" i="4"/>
  <c r="O347" i="4"/>
  <c r="O426" i="4"/>
  <c r="O333" i="4"/>
  <c r="O325" i="4"/>
  <c r="O221" i="4"/>
  <c r="O240" i="4"/>
  <c r="O248" i="4"/>
  <c r="O279" i="4"/>
  <c r="O300" i="4"/>
  <c r="O460" i="4"/>
  <c r="O260" i="4"/>
  <c r="O249" i="4"/>
  <c r="O425" i="4"/>
  <c r="O445" i="4"/>
  <c r="O357" i="4"/>
  <c r="O360" i="4"/>
  <c r="O328" i="4"/>
  <c r="O326" i="4"/>
  <c r="O288" i="4"/>
  <c r="O312" i="4"/>
  <c r="O369" i="4"/>
  <c r="O466" i="4"/>
  <c r="O272" i="4"/>
  <c r="O302" i="4"/>
  <c r="O462" i="4"/>
  <c r="O409" i="4"/>
  <c r="O491" i="4"/>
  <c r="O396" i="4"/>
  <c r="O394" i="4"/>
  <c r="O358" i="4"/>
  <c r="O341" i="4"/>
  <c r="O261" i="4"/>
  <c r="O442" i="4"/>
  <c r="O299" i="4"/>
  <c r="O486" i="4"/>
  <c r="O499" i="4"/>
  <c r="O337" i="4"/>
  <c r="O383" i="4"/>
  <c r="O375" i="4"/>
  <c r="O424" i="4"/>
  <c r="O334" i="4"/>
  <c r="O441" i="4"/>
  <c r="O283" i="4"/>
  <c r="O308" i="4"/>
  <c r="O349" i="4"/>
  <c r="O417" i="4"/>
  <c r="O273" i="4"/>
  <c r="O391" i="4"/>
  <c r="O232" i="4"/>
  <c r="O285" i="4"/>
  <c r="O298" i="4"/>
  <c r="O470" i="4"/>
  <c r="O322" i="4"/>
  <c r="O453" i="4"/>
  <c r="O301" i="4"/>
  <c r="O416" i="4"/>
  <c r="O487" i="4"/>
  <c r="O343" i="4"/>
  <c r="O245" i="4"/>
  <c r="O378" i="4"/>
  <c r="O467" i="4"/>
  <c r="O246" i="4"/>
  <c r="O255" i="4"/>
  <c r="O492" i="4"/>
  <c r="O415" i="4"/>
  <c r="O254" i="4"/>
  <c r="O216" i="4"/>
  <c r="O448" i="4"/>
  <c r="O366" i="4"/>
  <c r="O393" i="4"/>
  <c r="O403" i="4"/>
  <c r="O388" i="4"/>
  <c r="O338" i="4"/>
  <c r="O373" i="4"/>
  <c r="O244" i="4"/>
  <c r="O223" i="4"/>
  <c r="O477" i="4"/>
  <c r="O339" i="4"/>
  <c r="O368" i="4"/>
  <c r="O346" i="4"/>
  <c r="O342" i="4"/>
  <c r="O344" i="4"/>
  <c r="O411" i="4"/>
  <c r="O377" i="4"/>
  <c r="O398" i="4"/>
  <c r="O265" i="4"/>
  <c r="K456" i="4"/>
  <c r="K389" i="4"/>
  <c r="K450" i="4"/>
  <c r="K379" i="4"/>
  <c r="K306" i="4"/>
  <c r="K430" i="4"/>
  <c r="K421" i="4"/>
  <c r="K311" i="4"/>
  <c r="K414" i="4"/>
  <c r="K231" i="4"/>
  <c r="K354" i="4"/>
  <c r="K399" i="4"/>
  <c r="K465" i="4"/>
  <c r="K451" i="4"/>
  <c r="K317" i="4"/>
  <c r="K463" i="4"/>
  <c r="K481" i="4"/>
  <c r="K365" i="4"/>
  <c r="K422" i="4"/>
  <c r="K303" i="4"/>
  <c r="K242" i="4"/>
  <c r="K263" i="4"/>
  <c r="K428" i="4"/>
  <c r="K278" i="4"/>
  <c r="K234" i="4"/>
  <c r="K305" i="4"/>
  <c r="K482" i="4"/>
  <c r="K390" i="4"/>
  <c r="K294" i="4"/>
  <c r="K362" i="4"/>
  <c r="K345" i="4"/>
  <c r="K387" i="4"/>
  <c r="K256" i="4"/>
  <c r="K257" i="4"/>
  <c r="K330" i="4"/>
  <c r="K356" i="4"/>
  <c r="K287" i="4"/>
  <c r="K348" i="4"/>
  <c r="K269" i="4"/>
  <c r="K447" i="4"/>
  <c r="K410" i="4"/>
  <c r="K498" i="4"/>
  <c r="K401" i="4"/>
  <c r="K264" i="4"/>
  <c r="K412" i="4"/>
  <c r="K484" i="4"/>
  <c r="K258" i="4"/>
  <c r="K449" i="4"/>
  <c r="K229" i="4"/>
  <c r="K315" i="4"/>
  <c r="K457" i="4"/>
  <c r="K400" i="4"/>
  <c r="K479" i="4"/>
  <c r="K371" i="4"/>
  <c r="K292" i="4"/>
  <c r="K483" i="4"/>
  <c r="K454" i="4"/>
  <c r="K351" i="4"/>
  <c r="K497" i="4"/>
  <c r="K359" i="4"/>
  <c r="K459" i="4"/>
  <c r="K290" i="4"/>
  <c r="K222" i="4"/>
  <c r="K478" i="4"/>
  <c r="K329" i="4"/>
  <c r="K406" i="4"/>
  <c r="K439" i="4"/>
  <c r="K252" i="4"/>
  <c r="K270" i="4"/>
  <c r="K318" i="4"/>
  <c r="K475" i="4"/>
  <c r="K217" i="4"/>
  <c r="K286" i="4"/>
  <c r="K313" i="4"/>
  <c r="K335" i="4"/>
  <c r="K395" i="4"/>
  <c r="K251" i="4"/>
  <c r="K380" i="4"/>
  <c r="K423" i="4"/>
  <c r="K418" i="4"/>
  <c r="K228" i="4"/>
  <c r="K433" i="4"/>
  <c r="K281" i="4"/>
  <c r="K361" i="4"/>
  <c r="K235" i="4"/>
  <c r="K314" i="4"/>
  <c r="K309" i="4"/>
  <c r="K372" i="4"/>
  <c r="K215" i="4"/>
  <c r="K374" i="4"/>
  <c r="K473" i="4"/>
  <c r="K213" i="4"/>
  <c r="K347" i="4"/>
  <c r="K426" i="4"/>
  <c r="K333" i="4"/>
  <c r="K325" i="4"/>
  <c r="K221" i="4"/>
  <c r="K240" i="4"/>
  <c r="K248" i="4"/>
  <c r="K279" i="4"/>
  <c r="K300" i="4"/>
  <c r="K460" i="4"/>
  <c r="K260" i="4"/>
  <c r="K249" i="4"/>
  <c r="K425" i="4"/>
  <c r="K445" i="4"/>
  <c r="K357" i="4"/>
  <c r="K360" i="4"/>
  <c r="K328" i="4"/>
  <c r="K326" i="4"/>
  <c r="K288" i="4"/>
  <c r="K312" i="4"/>
  <c r="K369" i="4"/>
  <c r="K466" i="4"/>
  <c r="K272" i="4"/>
  <c r="K302" i="4"/>
  <c r="K462" i="4"/>
  <c r="K409" i="4"/>
  <c r="K491" i="4"/>
  <c r="K396" i="4"/>
  <c r="K394" i="4"/>
  <c r="K358" i="4"/>
  <c r="K341" i="4"/>
  <c r="K261" i="4"/>
  <c r="K442" i="4"/>
  <c r="K299" i="4"/>
  <c r="K486" i="4"/>
  <c r="K499" i="4"/>
  <c r="K337" i="4"/>
  <c r="K383" i="4"/>
  <c r="K375" i="4"/>
  <c r="K424" i="4"/>
  <c r="K334" i="4"/>
  <c r="K441" i="4"/>
  <c r="K283" i="4"/>
  <c r="K308" i="4"/>
  <c r="K349" i="4"/>
  <c r="K417" i="4"/>
  <c r="K273" i="4"/>
  <c r="K391" i="4"/>
  <c r="K232" i="4"/>
  <c r="K285" i="4"/>
  <c r="K298" i="4"/>
  <c r="K470" i="4"/>
  <c r="K322" i="4"/>
  <c r="K453" i="4"/>
  <c r="K301" i="4"/>
  <c r="K416" i="4"/>
  <c r="K487" i="4"/>
  <c r="K343" i="4"/>
  <c r="K245" i="4"/>
  <c r="K378" i="4"/>
  <c r="K467" i="4"/>
  <c r="K246" i="4"/>
  <c r="K255" i="4"/>
  <c r="K492" i="4"/>
  <c r="K415" i="4"/>
  <c r="K254" i="4"/>
  <c r="K216" i="4"/>
  <c r="K448" i="4"/>
  <c r="K366" i="4"/>
  <c r="K393" i="4"/>
  <c r="K403" i="4"/>
  <c r="K388" i="4"/>
  <c r="K338" i="4"/>
  <c r="K373" i="4"/>
  <c r="K244" i="4"/>
  <c r="K223" i="4"/>
  <c r="K477" i="4"/>
  <c r="K339" i="4"/>
  <c r="K368" i="4"/>
  <c r="K346" i="4"/>
  <c r="K342" i="4"/>
  <c r="K344" i="4"/>
  <c r="K411" i="4"/>
  <c r="K377" i="4"/>
  <c r="K398" i="4"/>
  <c r="K265" i="4"/>
  <c r="K420" i="4"/>
  <c r="K352" i="4"/>
  <c r="K474" i="4"/>
  <c r="K282" i="4"/>
  <c r="K350" i="4"/>
  <c r="M272" i="4"/>
  <c r="M462" i="4"/>
  <c r="M302" i="4"/>
  <c r="M420" i="4"/>
  <c r="M352" i="4"/>
  <c r="M474" i="4"/>
  <c r="M282" i="4"/>
  <c r="M350" i="4"/>
  <c r="M313" i="4"/>
  <c r="M335" i="4"/>
  <c r="M395" i="4"/>
  <c r="M251" i="4"/>
  <c r="M380" i="4"/>
  <c r="M423" i="4"/>
  <c r="M418" i="4"/>
  <c r="M228" i="4"/>
  <c r="M433" i="4"/>
  <c r="M281" i="4"/>
  <c r="M361" i="4"/>
  <c r="M235" i="4"/>
  <c r="M314" i="4"/>
  <c r="M309" i="4"/>
  <c r="M372" i="4"/>
  <c r="M215" i="4"/>
  <c r="M374" i="4"/>
  <c r="M473" i="4"/>
  <c r="M213" i="4"/>
  <c r="M347" i="4"/>
  <c r="M426" i="4"/>
  <c r="M333" i="4"/>
  <c r="M325" i="4"/>
  <c r="M221" i="4"/>
  <c r="M240" i="4"/>
  <c r="M248" i="4"/>
  <c r="M279" i="4"/>
  <c r="M300" i="4"/>
  <c r="M460" i="4"/>
  <c r="M260" i="4"/>
  <c r="M249" i="4"/>
  <c r="M425" i="4"/>
  <c r="M445" i="4"/>
  <c r="M357" i="4"/>
  <c r="M360" i="4"/>
  <c r="M328" i="4"/>
  <c r="M326" i="4"/>
  <c r="M288" i="4"/>
  <c r="M312" i="4"/>
  <c r="M369" i="4"/>
  <c r="M466" i="4"/>
  <c r="M409" i="4"/>
  <c r="M491" i="4"/>
  <c r="M396" i="4"/>
  <c r="M394" i="4"/>
  <c r="M358" i="4"/>
  <c r="M341" i="4"/>
  <c r="M261" i="4"/>
  <c r="M442" i="4"/>
  <c r="M299" i="4"/>
  <c r="M486" i="4"/>
  <c r="M499" i="4"/>
  <c r="M337" i="4"/>
  <c r="M383" i="4"/>
  <c r="M375" i="4"/>
  <c r="M424" i="4"/>
  <c r="M334" i="4"/>
  <c r="M441" i="4"/>
  <c r="M283" i="4"/>
  <c r="M308" i="4"/>
  <c r="M349" i="4"/>
  <c r="M417" i="4"/>
  <c r="M273" i="4"/>
  <c r="M391" i="4"/>
  <c r="M232" i="4"/>
  <c r="M285" i="4"/>
  <c r="M298" i="4"/>
  <c r="M470" i="4"/>
  <c r="M322" i="4"/>
  <c r="M453" i="4"/>
  <c r="M301" i="4"/>
  <c r="M416" i="4"/>
  <c r="M487" i="4"/>
  <c r="M343" i="4"/>
  <c r="M245" i="4"/>
  <c r="M378" i="4"/>
  <c r="M467" i="4"/>
  <c r="M246" i="4"/>
  <c r="M255" i="4"/>
  <c r="M492" i="4"/>
  <c r="M415" i="4"/>
  <c r="M254" i="4"/>
  <c r="M216" i="4"/>
  <c r="M448" i="4"/>
  <c r="M366" i="4"/>
  <c r="M393" i="4"/>
  <c r="M403" i="4"/>
  <c r="M388" i="4"/>
  <c r="M338" i="4"/>
  <c r="M373" i="4"/>
  <c r="M244" i="4"/>
  <c r="M223" i="4"/>
  <c r="M477" i="4"/>
  <c r="M339" i="4"/>
  <c r="M368" i="4"/>
  <c r="M346" i="4"/>
  <c r="M342" i="4"/>
  <c r="M344" i="4"/>
  <c r="M411" i="4"/>
  <c r="M377" i="4"/>
  <c r="M398" i="4"/>
  <c r="M265" i="4"/>
  <c r="M456" i="4"/>
  <c r="M389" i="4"/>
  <c r="M450" i="4"/>
  <c r="M379" i="4"/>
  <c r="M306" i="4"/>
  <c r="M430" i="4"/>
  <c r="M421" i="4"/>
  <c r="M311" i="4"/>
  <c r="M414" i="4"/>
  <c r="M231" i="4"/>
  <c r="M354" i="4"/>
  <c r="M399" i="4"/>
  <c r="M465" i="4"/>
  <c r="M451" i="4"/>
  <c r="M317" i="4"/>
  <c r="M463" i="4"/>
  <c r="M481" i="4"/>
  <c r="M365" i="4"/>
  <c r="M422" i="4"/>
  <c r="M303" i="4"/>
  <c r="M242" i="4"/>
  <c r="M263" i="4"/>
  <c r="M428" i="4"/>
  <c r="M278" i="4"/>
  <c r="M234" i="4"/>
  <c r="M305" i="4"/>
  <c r="M482" i="4"/>
  <c r="M390" i="4"/>
  <c r="M294" i="4"/>
  <c r="M362" i="4"/>
  <c r="M345" i="4"/>
  <c r="M387" i="4"/>
  <c r="M256" i="4"/>
  <c r="M257" i="4"/>
  <c r="M330" i="4"/>
  <c r="M356" i="4"/>
  <c r="M287" i="4"/>
  <c r="M348" i="4"/>
  <c r="M269" i="4"/>
  <c r="M447" i="4"/>
  <c r="M410" i="4"/>
  <c r="M498" i="4"/>
  <c r="M401" i="4"/>
  <c r="M264" i="4"/>
  <c r="M412" i="4"/>
  <c r="M484" i="4"/>
  <c r="M258" i="4"/>
  <c r="M449" i="4"/>
  <c r="M229" i="4"/>
  <c r="M315" i="4"/>
  <c r="M457" i="4"/>
  <c r="M400" i="4"/>
  <c r="M479" i="4"/>
  <c r="M371" i="4"/>
  <c r="M292" i="4"/>
  <c r="M483" i="4"/>
  <c r="M454" i="4"/>
  <c r="M351" i="4"/>
  <c r="M497" i="4"/>
  <c r="M359" i="4"/>
  <c r="M459" i="4"/>
  <c r="M290" i="4"/>
  <c r="M222" i="4"/>
  <c r="M478" i="4"/>
  <c r="M329" i="4"/>
  <c r="M406" i="4"/>
  <c r="M439" i="4"/>
  <c r="M252" i="4"/>
  <c r="M270" i="4"/>
  <c r="M318" i="4"/>
  <c r="M475" i="4"/>
  <c r="M217" i="4"/>
  <c r="M286" i="4"/>
  <c r="N105" i="4"/>
  <c r="N136" i="4"/>
  <c r="N87" i="4"/>
  <c r="N167" i="4"/>
  <c r="N51" i="4"/>
  <c r="N199" i="4"/>
  <c r="N57" i="4"/>
  <c r="N35" i="4"/>
  <c r="N109" i="4"/>
  <c r="N156" i="4"/>
  <c r="N49" i="4"/>
  <c r="N142" i="4"/>
  <c r="N23" i="4"/>
  <c r="N134" i="4"/>
  <c r="N186" i="4"/>
  <c r="N140" i="4"/>
  <c r="N75" i="4"/>
  <c r="N55" i="4"/>
  <c r="N99" i="4"/>
  <c r="N124" i="4"/>
  <c r="N67" i="4"/>
  <c r="N47" i="4"/>
  <c r="N56" i="4"/>
  <c r="N177" i="4"/>
  <c r="N144" i="4"/>
  <c r="N145" i="4"/>
  <c r="N104" i="4"/>
  <c r="N113" i="4"/>
  <c r="N130" i="4"/>
  <c r="N16" i="4"/>
  <c r="N183" i="4"/>
  <c r="N54" i="4"/>
  <c r="N193" i="4"/>
  <c r="N39" i="4"/>
  <c r="N11" i="4"/>
  <c r="N77" i="4"/>
  <c r="N149" i="4"/>
  <c r="N131" i="4"/>
  <c r="N44" i="4"/>
  <c r="N106" i="4"/>
  <c r="N180" i="4"/>
  <c r="N65" i="4"/>
  <c r="N129" i="4"/>
  <c r="N95" i="4"/>
  <c r="N135" i="4"/>
  <c r="N28" i="4"/>
  <c r="N133" i="4"/>
  <c r="N90" i="4"/>
  <c r="N121" i="4"/>
  <c r="N73" i="4"/>
  <c r="N188" i="4"/>
  <c r="N58" i="4"/>
  <c r="N158" i="4"/>
  <c r="N111" i="4"/>
  <c r="N94" i="4"/>
  <c r="N211" i="4"/>
  <c r="N169" i="4"/>
  <c r="N206" i="4"/>
  <c r="N79" i="4"/>
  <c r="N66" i="4"/>
  <c r="N34" i="4"/>
  <c r="N212" i="4"/>
  <c r="N126" i="4"/>
  <c r="N187" i="4"/>
  <c r="N209" i="4"/>
  <c r="N207" i="4"/>
  <c r="N173" i="4"/>
  <c r="N30" i="4"/>
  <c r="N179" i="4"/>
  <c r="N107" i="4"/>
  <c r="N205" i="4"/>
  <c r="N78" i="4"/>
  <c r="N27" i="4"/>
  <c r="N52" i="4"/>
  <c r="N74" i="4"/>
  <c r="N45" i="4"/>
  <c r="N5" i="4"/>
  <c r="N201" i="4"/>
  <c r="N163" i="4"/>
  <c r="N81" i="4"/>
  <c r="N162" i="4"/>
  <c r="N176" i="4"/>
  <c r="N120" i="4"/>
  <c r="N138" i="4"/>
  <c r="N71" i="4"/>
  <c r="N127" i="4"/>
  <c r="N210" i="4"/>
  <c r="N63" i="4"/>
  <c r="N48" i="4"/>
  <c r="N70" i="4"/>
  <c r="N152" i="4"/>
  <c r="N202" i="4"/>
  <c r="N62" i="4"/>
  <c r="N3" i="4"/>
  <c r="N86" i="4"/>
  <c r="N161" i="4"/>
  <c r="N69" i="4"/>
  <c r="N114" i="4"/>
  <c r="N97" i="4"/>
  <c r="N17" i="4"/>
  <c r="N46" i="4"/>
  <c r="N147" i="4"/>
  <c r="N108" i="4"/>
  <c r="N53" i="4"/>
  <c r="N20" i="4"/>
  <c r="N41" i="4"/>
  <c r="N96" i="4"/>
  <c r="N170" i="4"/>
  <c r="N182" i="4"/>
  <c r="N175" i="4"/>
  <c r="N36" i="4"/>
  <c r="N10" i="4"/>
  <c r="N194" i="4"/>
  <c r="N118" i="4"/>
  <c r="N91" i="4"/>
  <c r="N18" i="4"/>
  <c r="N139" i="4"/>
  <c r="N98" i="4"/>
  <c r="N31" i="4"/>
  <c r="N100" i="4"/>
  <c r="N21" i="4"/>
  <c r="N137" i="4"/>
  <c r="N64" i="4"/>
  <c r="N32" i="4"/>
  <c r="N208" i="4"/>
  <c r="N9" i="4"/>
  <c r="N203" i="4"/>
  <c r="N82" i="4"/>
  <c r="N148" i="4"/>
  <c r="N185" i="4"/>
  <c r="N174" i="4"/>
  <c r="N13" i="4"/>
  <c r="N93" i="4"/>
  <c r="N189" i="4"/>
  <c r="N80" i="4"/>
  <c r="N195" i="4"/>
  <c r="N29" i="4"/>
  <c r="N197" i="4"/>
  <c r="N22" i="4"/>
  <c r="N50" i="4"/>
  <c r="N12" i="4"/>
  <c r="N123" i="4"/>
  <c r="N43" i="4"/>
  <c r="N76" i="4"/>
  <c r="N164" i="4"/>
  <c r="N204" i="4"/>
  <c r="N192" i="4"/>
  <c r="N103" i="4"/>
  <c r="N26" i="4"/>
  <c r="N92" i="4"/>
  <c r="N160" i="4"/>
  <c r="N101" i="4"/>
  <c r="N132" i="4"/>
  <c r="N33" i="4"/>
  <c r="N119" i="4"/>
  <c r="N198" i="4"/>
  <c r="N110" i="4"/>
  <c r="N88" i="4"/>
  <c r="N102" i="4"/>
  <c r="N125" i="4"/>
  <c r="N61" i="4"/>
  <c r="N83" i="4"/>
  <c r="N165" i="4"/>
  <c r="N19" i="4"/>
  <c r="N141" i="4"/>
  <c r="N191" i="4"/>
  <c r="N171" i="4"/>
  <c r="N196" i="4"/>
  <c r="N6" i="4"/>
  <c r="N60" i="4"/>
  <c r="N157" i="4"/>
  <c r="N89" i="4"/>
  <c r="N85" i="4"/>
  <c r="N7" i="4"/>
  <c r="N153" i="4"/>
  <c r="N4" i="4"/>
  <c r="N151" i="4"/>
  <c r="N128" i="4"/>
  <c r="N146" i="4"/>
  <c r="N40" i="4"/>
  <c r="N115" i="4"/>
  <c r="N143" i="4"/>
  <c r="N190" i="4"/>
  <c r="N14" i="4"/>
  <c r="N84" i="4"/>
  <c r="N72" i="4"/>
  <c r="N200" i="4"/>
  <c r="N166" i="4"/>
  <c r="N42" i="4"/>
  <c r="N59" i="4"/>
  <c r="N122" i="4"/>
  <c r="N24" i="4"/>
  <c r="N68" i="4"/>
  <c r="N112" i="4"/>
  <c r="N181" i="4"/>
  <c r="N25" i="4"/>
  <c r="N116" i="4"/>
  <c r="N37" i="4"/>
  <c r="N168" i="4"/>
  <c r="N154" i="4"/>
  <c r="N38" i="4"/>
  <c r="N117" i="4"/>
  <c r="N8" i="4"/>
  <c r="N184" i="4"/>
  <c r="N155" i="4"/>
  <c r="N159" i="4"/>
  <c r="N15" i="4"/>
  <c r="N150" i="4"/>
  <c r="N172" i="4"/>
  <c r="N178" i="4"/>
  <c r="N2" i="4"/>
  <c r="L68" i="4"/>
  <c r="L204" i="4"/>
  <c r="L112" i="4"/>
  <c r="L192" i="4"/>
  <c r="L181" i="4"/>
  <c r="L103" i="4"/>
  <c r="L25" i="4"/>
  <c r="L26" i="4"/>
  <c r="L92" i="4"/>
  <c r="L160" i="4"/>
  <c r="L116" i="4"/>
  <c r="L37" i="4"/>
  <c r="L101" i="4"/>
  <c r="L168" i="4"/>
  <c r="L132" i="4"/>
  <c r="L33" i="4"/>
  <c r="L119" i="4"/>
  <c r="L198" i="4"/>
  <c r="L110" i="4"/>
  <c r="L88" i="4"/>
  <c r="L102" i="4"/>
  <c r="L125" i="4"/>
  <c r="L83" i="4"/>
  <c r="L61" i="4"/>
  <c r="L6" i="4"/>
  <c r="L165" i="4"/>
  <c r="L19" i="4"/>
  <c r="L141" i="4"/>
  <c r="L191" i="4"/>
  <c r="L171" i="4"/>
  <c r="L196" i="4"/>
  <c r="L60" i="4"/>
  <c r="L157" i="4"/>
  <c r="L38" i="4"/>
  <c r="L117" i="4"/>
  <c r="L8" i="4"/>
  <c r="L184" i="4"/>
  <c r="L155" i="4"/>
  <c r="L15" i="4"/>
  <c r="L150" i="4"/>
  <c r="L172" i="4"/>
  <c r="L178" i="4"/>
  <c r="L105" i="4"/>
  <c r="L89" i="4"/>
  <c r="L136" i="4"/>
  <c r="L85" i="4"/>
  <c r="L87" i="4"/>
  <c r="L203" i="4"/>
  <c r="L167" i="4"/>
  <c r="L7" i="4"/>
  <c r="L82" i="4"/>
  <c r="L199" i="4"/>
  <c r="L57" i="4"/>
  <c r="L35" i="4"/>
  <c r="L109" i="4"/>
  <c r="L156" i="4"/>
  <c r="L49" i="4"/>
  <c r="L148" i="4"/>
  <c r="L142" i="4"/>
  <c r="L23" i="4"/>
  <c r="L134" i="4"/>
  <c r="L186" i="4"/>
  <c r="L140" i="4"/>
  <c r="L4" i="4"/>
  <c r="L75" i="4"/>
  <c r="L55" i="4"/>
  <c r="L151" i="4"/>
  <c r="L174" i="4"/>
  <c r="L128" i="4"/>
  <c r="L67" i="4"/>
  <c r="L47" i="4"/>
  <c r="L177" i="4"/>
  <c r="L146" i="4"/>
  <c r="L145" i="4"/>
  <c r="L104" i="4"/>
  <c r="L113" i="4"/>
  <c r="L130" i="4"/>
  <c r="L16" i="4"/>
  <c r="L183" i="4"/>
  <c r="L54" i="4"/>
  <c r="L93" i="4"/>
  <c r="L40" i="4"/>
  <c r="L193" i="4"/>
  <c r="L189" i="4"/>
  <c r="L39" i="4"/>
  <c r="L115" i="4"/>
  <c r="L80" i="4"/>
  <c r="L11" i="4"/>
  <c r="L143" i="4"/>
  <c r="L77" i="4"/>
  <c r="L195" i="4"/>
  <c r="L149" i="4"/>
  <c r="L29" i="4"/>
  <c r="L190" i="4"/>
  <c r="L131" i="4"/>
  <c r="L44" i="4"/>
  <c r="L106" i="4"/>
  <c r="L180" i="4"/>
  <c r="L65" i="4"/>
  <c r="L129" i="4"/>
  <c r="L95" i="4"/>
  <c r="L135" i="4"/>
  <c r="L28" i="4"/>
  <c r="L133" i="4"/>
  <c r="L14" i="4"/>
  <c r="L90" i="4"/>
  <c r="L197" i="4"/>
  <c r="L121" i="4"/>
  <c r="L84" i="4"/>
  <c r="L73" i="4"/>
  <c r="L188" i="4"/>
  <c r="L22" i="4"/>
  <c r="L58" i="4"/>
  <c r="L72" i="4"/>
  <c r="L158" i="4"/>
  <c r="L111" i="4"/>
  <c r="L94" i="4"/>
  <c r="L211" i="4"/>
  <c r="L169" i="4"/>
  <c r="L206" i="4"/>
  <c r="L79" i="4"/>
  <c r="L66" i="4"/>
  <c r="L34" i="4"/>
  <c r="L212" i="4"/>
  <c r="L126" i="4"/>
  <c r="L187" i="4"/>
  <c r="L209" i="4"/>
  <c r="L207" i="4"/>
  <c r="L173" i="4"/>
  <c r="L30" i="4"/>
  <c r="L179" i="4"/>
  <c r="L107" i="4"/>
  <c r="L205" i="4"/>
  <c r="L78" i="4"/>
  <c r="L27" i="4"/>
  <c r="L52" i="4"/>
  <c r="L74" i="4"/>
  <c r="L45" i="4"/>
  <c r="L5" i="4"/>
  <c r="L201" i="4"/>
  <c r="L163" i="4"/>
  <c r="L81" i="4"/>
  <c r="L162" i="4"/>
  <c r="L176" i="4"/>
  <c r="L120" i="4"/>
  <c r="L138" i="4"/>
  <c r="L71" i="4"/>
  <c r="L127" i="4"/>
  <c r="L210" i="4"/>
  <c r="L63" i="4"/>
  <c r="L48" i="4"/>
  <c r="L70" i="4"/>
  <c r="L154" i="4"/>
  <c r="L185" i="4"/>
  <c r="L124" i="4"/>
  <c r="L161" i="4"/>
  <c r="L96" i="4"/>
  <c r="L139" i="4"/>
  <c r="L9" i="4"/>
  <c r="L159" i="4"/>
  <c r="L51" i="4"/>
  <c r="L153" i="4"/>
  <c r="L99" i="4"/>
  <c r="L56" i="4"/>
  <c r="L144" i="4"/>
  <c r="L13" i="4"/>
  <c r="L152" i="4"/>
  <c r="L202" i="4"/>
  <c r="L62" i="4"/>
  <c r="L3" i="4"/>
  <c r="L86" i="4"/>
  <c r="L69" i="4"/>
  <c r="L114" i="4"/>
  <c r="L97" i="4"/>
  <c r="L17" i="4"/>
  <c r="L46" i="4"/>
  <c r="L147" i="4"/>
  <c r="L108" i="4"/>
  <c r="L53" i="4"/>
  <c r="L20" i="4"/>
  <c r="L41" i="4"/>
  <c r="L170" i="4"/>
  <c r="L182" i="4"/>
  <c r="L175" i="4"/>
  <c r="L36" i="4"/>
  <c r="L10" i="4"/>
  <c r="L194" i="4"/>
  <c r="L118" i="4"/>
  <c r="L91" i="4"/>
  <c r="L18" i="4"/>
  <c r="L98" i="4"/>
  <c r="L31" i="4"/>
  <c r="L100" i="4"/>
  <c r="L21" i="4"/>
  <c r="L137" i="4"/>
  <c r="L64" i="4"/>
  <c r="L32" i="4"/>
  <c r="L208" i="4"/>
  <c r="L200" i="4"/>
  <c r="L50" i="4"/>
  <c r="L166" i="4"/>
  <c r="L12" i="4"/>
  <c r="L42" i="4"/>
  <c r="L123" i="4"/>
  <c r="L59" i="4"/>
  <c r="L43" i="4"/>
  <c r="L122" i="4"/>
  <c r="L76" i="4"/>
  <c r="L24" i="4"/>
  <c r="L164" i="4"/>
  <c r="L2" i="4"/>
  <c r="J177" i="4"/>
  <c r="J56" i="4"/>
  <c r="J144" i="4"/>
  <c r="J13" i="4"/>
  <c r="J146" i="4"/>
  <c r="J145" i="4"/>
  <c r="J61" i="4"/>
  <c r="J83" i="4"/>
  <c r="J165" i="4"/>
  <c r="J19" i="4"/>
  <c r="J141" i="4"/>
  <c r="J191" i="4"/>
  <c r="J171" i="4"/>
  <c r="J196" i="4"/>
  <c r="J6" i="4"/>
  <c r="J60" i="4"/>
  <c r="J157" i="4"/>
  <c r="J154" i="4"/>
  <c r="J38" i="4"/>
  <c r="J117" i="4"/>
  <c r="J8" i="4"/>
  <c r="J184" i="4"/>
  <c r="J155" i="4"/>
  <c r="J159" i="4"/>
  <c r="J15" i="4"/>
  <c r="J150" i="4"/>
  <c r="J172" i="4"/>
  <c r="J178" i="4"/>
  <c r="J105" i="4"/>
  <c r="J89" i="4"/>
  <c r="J136" i="4"/>
  <c r="J85" i="4"/>
  <c r="J87" i="4"/>
  <c r="J203" i="4"/>
  <c r="J167" i="4"/>
  <c r="J7" i="4"/>
  <c r="J82" i="4"/>
  <c r="J51" i="4"/>
  <c r="J199" i="4"/>
  <c r="J57" i="4"/>
  <c r="J35" i="4"/>
  <c r="J109" i="4"/>
  <c r="J156" i="4"/>
  <c r="J49" i="4"/>
  <c r="J148" i="4"/>
  <c r="J153" i="4"/>
  <c r="J142" i="4"/>
  <c r="J23" i="4"/>
  <c r="J134" i="4"/>
  <c r="J186" i="4"/>
  <c r="J140" i="4"/>
  <c r="J4" i="4"/>
  <c r="J75" i="4"/>
  <c r="J185" i="4"/>
  <c r="J55" i="4"/>
  <c r="J151" i="4"/>
  <c r="J99" i="4"/>
  <c r="J174" i="4"/>
  <c r="J124" i="4"/>
  <c r="J128" i="4"/>
  <c r="J67" i="4"/>
  <c r="J47" i="4"/>
  <c r="J104" i="4"/>
  <c r="J39" i="4"/>
  <c r="J95" i="4"/>
  <c r="J126" i="4"/>
  <c r="J107" i="4"/>
  <c r="J63" i="4"/>
  <c r="J114" i="4"/>
  <c r="J96" i="4"/>
  <c r="J32" i="4"/>
  <c r="J50" i="4"/>
  <c r="J68" i="4"/>
  <c r="J204" i="4"/>
  <c r="J112" i="4"/>
  <c r="J192" i="4"/>
  <c r="J181" i="4"/>
  <c r="J103" i="4"/>
  <c r="J25" i="4"/>
  <c r="J26" i="4"/>
  <c r="J92" i="4"/>
  <c r="J160" i="4"/>
  <c r="J116" i="4"/>
  <c r="J113" i="4"/>
  <c r="J130" i="4"/>
  <c r="J16" i="4"/>
  <c r="J183" i="4"/>
  <c r="J54" i="4"/>
  <c r="J93" i="4"/>
  <c r="J40" i="4"/>
  <c r="J193" i="4"/>
  <c r="J189" i="4"/>
  <c r="J115" i="4"/>
  <c r="J80" i="4"/>
  <c r="J11" i="4"/>
  <c r="J143" i="4"/>
  <c r="J77" i="4"/>
  <c r="J195" i="4"/>
  <c r="J149" i="4"/>
  <c r="J29" i="4"/>
  <c r="J190" i="4"/>
  <c r="J131" i="4"/>
  <c r="J44" i="4"/>
  <c r="J106" i="4"/>
  <c r="J180" i="4"/>
  <c r="J65" i="4"/>
  <c r="J129" i="4"/>
  <c r="J135" i="4"/>
  <c r="J28" i="4"/>
  <c r="J133" i="4"/>
  <c r="J14" i="4"/>
  <c r="J90" i="4"/>
  <c r="J197" i="4"/>
  <c r="J121" i="4"/>
  <c r="J84" i="4"/>
  <c r="J73" i="4"/>
  <c r="J188" i="4"/>
  <c r="J22" i="4"/>
  <c r="J58" i="4"/>
  <c r="J72" i="4"/>
  <c r="J158" i="4"/>
  <c r="J111" i="4"/>
  <c r="J94" i="4"/>
  <c r="J211" i="4"/>
  <c r="J169" i="4"/>
  <c r="J206" i="4"/>
  <c r="J79" i="4"/>
  <c r="J66" i="4"/>
  <c r="J34" i="4"/>
  <c r="J212" i="4"/>
  <c r="J187" i="4"/>
  <c r="J209" i="4"/>
  <c r="J207" i="4"/>
  <c r="J173" i="4"/>
  <c r="J30" i="4"/>
  <c r="J179" i="4"/>
  <c r="J205" i="4"/>
  <c r="J78" i="4"/>
  <c r="J27" i="4"/>
  <c r="J52" i="4"/>
  <c r="J74" i="4"/>
  <c r="J45" i="4"/>
  <c r="J5" i="4"/>
  <c r="J201" i="4"/>
  <c r="J163" i="4"/>
  <c r="J81" i="4"/>
  <c r="J162" i="4"/>
  <c r="J176" i="4"/>
  <c r="J120" i="4"/>
  <c r="J138" i="4"/>
  <c r="J71" i="4"/>
  <c r="J127" i="4"/>
  <c r="J210" i="4"/>
  <c r="J48" i="4"/>
  <c r="J70" i="4"/>
  <c r="J152" i="4"/>
  <c r="J202" i="4"/>
  <c r="J62" i="4"/>
  <c r="J3" i="4"/>
  <c r="J86" i="4"/>
  <c r="J161" i="4"/>
  <c r="J69" i="4"/>
  <c r="J97" i="4"/>
  <c r="J17" i="4"/>
  <c r="J46" i="4"/>
  <c r="J147" i="4"/>
  <c r="J108" i="4"/>
  <c r="J53" i="4"/>
  <c r="J20" i="4"/>
  <c r="J41" i="4"/>
  <c r="J170" i="4"/>
  <c r="J182" i="4"/>
  <c r="J175" i="4"/>
  <c r="J36" i="4"/>
  <c r="J10" i="4"/>
  <c r="J194" i="4"/>
  <c r="J118" i="4"/>
  <c r="J91" i="4"/>
  <c r="J18" i="4"/>
  <c r="J139" i="4"/>
  <c r="J98" i="4"/>
  <c r="J31" i="4"/>
  <c r="J100" i="4"/>
  <c r="J21" i="4"/>
  <c r="J137" i="4"/>
  <c r="J64" i="4"/>
  <c r="J208" i="4"/>
  <c r="J9" i="4"/>
  <c r="J200" i="4"/>
  <c r="J166" i="4"/>
  <c r="J12" i="4"/>
  <c r="J42" i="4"/>
  <c r="J123" i="4"/>
  <c r="J59" i="4"/>
  <c r="J43" i="4"/>
  <c r="J122" i="4"/>
  <c r="J76" i="4"/>
  <c r="J24" i="4"/>
  <c r="J164" i="4"/>
  <c r="J37" i="4"/>
  <c r="J101" i="4"/>
  <c r="J168" i="4"/>
  <c r="J132" i="4"/>
  <c r="J33" i="4"/>
  <c r="J119" i="4"/>
  <c r="J198" i="4"/>
  <c r="J110" i="4"/>
  <c r="J88" i="4"/>
  <c r="J102" i="4"/>
  <c r="J125" i="4"/>
  <c r="J2" i="4"/>
  <c r="H29" i="4"/>
  <c r="H190" i="4"/>
  <c r="H131" i="4"/>
  <c r="H44" i="4"/>
  <c r="H106" i="4"/>
  <c r="H65" i="4"/>
  <c r="H129" i="4"/>
  <c r="H135" i="4"/>
  <c r="H28" i="4"/>
  <c r="H133" i="4"/>
  <c r="H14" i="4"/>
  <c r="H197" i="4"/>
  <c r="H84" i="4"/>
  <c r="H158" i="4"/>
  <c r="H94" i="4"/>
  <c r="H169" i="4"/>
  <c r="H206" i="4"/>
  <c r="H79" i="4"/>
  <c r="H66" i="4"/>
  <c r="H34" i="4"/>
  <c r="H212" i="4"/>
  <c r="H126" i="4"/>
  <c r="H209" i="4"/>
  <c r="H207" i="4"/>
  <c r="H30" i="4"/>
  <c r="H107" i="4"/>
  <c r="H78" i="4"/>
  <c r="H5" i="4"/>
  <c r="H81" i="4"/>
  <c r="H162" i="4"/>
  <c r="H176" i="4"/>
  <c r="H120" i="4"/>
  <c r="H127" i="4"/>
  <c r="H210" i="4"/>
  <c r="H63" i="4"/>
  <c r="H48" i="4"/>
  <c r="H70" i="4"/>
  <c r="H202" i="4"/>
  <c r="H3" i="4"/>
  <c r="H161" i="4"/>
  <c r="H17" i="4"/>
  <c r="H108" i="4"/>
  <c r="H20" i="4"/>
  <c r="H41" i="4"/>
  <c r="H170" i="4"/>
  <c r="H175" i="4"/>
  <c r="H36" i="4"/>
  <c r="H10" i="4"/>
  <c r="H118" i="4"/>
  <c r="H91" i="4"/>
  <c r="H139" i="4"/>
  <c r="H100" i="4"/>
  <c r="H64" i="4"/>
  <c r="H208" i="4"/>
  <c r="H50" i="4"/>
  <c r="H12" i="4"/>
  <c r="H123" i="4"/>
  <c r="H43" i="4"/>
  <c r="H76" i="4"/>
  <c r="H164" i="4"/>
  <c r="H68" i="4"/>
  <c r="H112" i="4"/>
  <c r="H181" i="4"/>
  <c r="H25" i="4"/>
  <c r="H92" i="4"/>
  <c r="H160" i="4"/>
  <c r="H101" i="4"/>
  <c r="H132" i="4"/>
  <c r="H119" i="4"/>
  <c r="H110" i="4"/>
  <c r="H125" i="4"/>
  <c r="H61" i="4"/>
  <c r="H165" i="4"/>
  <c r="H141" i="4"/>
  <c r="H171" i="4"/>
  <c r="H6" i="4"/>
  <c r="H157" i="4"/>
  <c r="H154" i="4"/>
  <c r="H38" i="4"/>
  <c r="H117" i="4"/>
  <c r="H8" i="4"/>
  <c r="H184" i="4"/>
  <c r="H155" i="4"/>
  <c r="H159" i="4"/>
  <c r="H15" i="4"/>
  <c r="H150" i="4"/>
  <c r="H172" i="4"/>
  <c r="H178" i="4"/>
  <c r="H95" i="4"/>
  <c r="H90" i="4"/>
  <c r="H121" i="4"/>
  <c r="H73" i="4"/>
  <c r="H22" i="4"/>
  <c r="H58" i="4"/>
  <c r="H72" i="4"/>
  <c r="H111" i="4"/>
  <c r="H187" i="4"/>
  <c r="H173" i="4"/>
  <c r="H179" i="4"/>
  <c r="H205" i="4"/>
  <c r="H27" i="4"/>
  <c r="H74" i="4"/>
  <c r="H45" i="4"/>
  <c r="H201" i="4"/>
  <c r="H163" i="4"/>
  <c r="H71" i="4"/>
  <c r="H152" i="4"/>
  <c r="H62" i="4"/>
  <c r="H86" i="4"/>
  <c r="H69" i="4"/>
  <c r="H97" i="4"/>
  <c r="H46" i="4"/>
  <c r="H147" i="4"/>
  <c r="H53" i="4"/>
  <c r="H96" i="4"/>
  <c r="H194" i="4"/>
  <c r="H18" i="4"/>
  <c r="H31" i="4"/>
  <c r="H21" i="4"/>
  <c r="H32" i="4"/>
  <c r="H9" i="4"/>
  <c r="H200" i="4"/>
  <c r="H166" i="4"/>
  <c r="H42" i="4"/>
  <c r="H59" i="4"/>
  <c r="H122" i="4"/>
  <c r="H24" i="4"/>
  <c r="H204" i="4"/>
  <c r="H192" i="4"/>
  <c r="H103" i="4"/>
  <c r="H26" i="4"/>
  <c r="H116" i="4"/>
  <c r="H37" i="4"/>
  <c r="H168" i="4"/>
  <c r="H33" i="4"/>
  <c r="H198" i="4"/>
  <c r="H88" i="4"/>
  <c r="H102" i="4"/>
  <c r="H83" i="4"/>
  <c r="H19" i="4"/>
  <c r="H191" i="4"/>
  <c r="H196" i="4"/>
  <c r="H60" i="4"/>
  <c r="H105" i="4"/>
  <c r="H89" i="4"/>
  <c r="H136" i="4"/>
  <c r="H85" i="4"/>
  <c r="H87" i="4"/>
  <c r="H203" i="4"/>
  <c r="H167" i="4"/>
  <c r="H7" i="4"/>
  <c r="H82" i="4"/>
  <c r="H51" i="4"/>
  <c r="H199" i="4"/>
  <c r="H180" i="4"/>
  <c r="H188" i="4"/>
  <c r="H211" i="4"/>
  <c r="H52" i="4"/>
  <c r="H138" i="4"/>
  <c r="H114" i="4"/>
  <c r="H182" i="4"/>
  <c r="H98" i="4"/>
  <c r="H137" i="4"/>
  <c r="H57" i="4"/>
  <c r="H35" i="4"/>
  <c r="H109" i="4"/>
  <c r="H156" i="4"/>
  <c r="H49" i="4"/>
  <c r="H148" i="4"/>
  <c r="H153" i="4"/>
  <c r="H142" i="4"/>
  <c r="H23" i="4"/>
  <c r="H134" i="4"/>
  <c r="H186" i="4"/>
  <c r="H140" i="4"/>
  <c r="H4" i="4"/>
  <c r="H75" i="4"/>
  <c r="H185" i="4"/>
  <c r="H55" i="4"/>
  <c r="H151" i="4"/>
  <c r="H99" i="4"/>
  <c r="H174" i="4"/>
  <c r="H124" i="4"/>
  <c r="H128" i="4"/>
  <c r="H67" i="4"/>
  <c r="H47" i="4"/>
  <c r="H56" i="4"/>
  <c r="H177" i="4"/>
  <c r="H144" i="4"/>
  <c r="H146" i="4"/>
  <c r="H13" i="4"/>
  <c r="H145" i="4"/>
  <c r="H104" i="4"/>
  <c r="H113" i="4"/>
  <c r="H130" i="4"/>
  <c r="H16" i="4"/>
  <c r="H183" i="4"/>
  <c r="H54" i="4"/>
  <c r="H93" i="4"/>
  <c r="H40" i="4"/>
  <c r="H193" i="4"/>
  <c r="H189" i="4"/>
  <c r="H39" i="4"/>
  <c r="H115" i="4"/>
  <c r="H80" i="4"/>
  <c r="H11" i="4"/>
  <c r="H143" i="4"/>
  <c r="H77" i="4"/>
  <c r="H195" i="4"/>
  <c r="H149" i="4"/>
  <c r="H2" i="4"/>
  <c r="F398" i="4"/>
  <c r="F499" i="4"/>
  <c r="F416" i="4"/>
  <c r="F248" i="4"/>
  <c r="F286" i="4"/>
  <c r="F349" i="4"/>
  <c r="F406" i="4"/>
  <c r="F311" i="4"/>
  <c r="F242" i="4"/>
  <c r="F240" i="4"/>
  <c r="F362" i="4"/>
  <c r="F466" i="4"/>
  <c r="F369" i="4"/>
  <c r="F414" i="4"/>
  <c r="F301" i="4"/>
  <c r="F235" i="4"/>
  <c r="F265" i="4"/>
  <c r="F279" i="4"/>
  <c r="F338" i="4"/>
  <c r="F453" i="4"/>
  <c r="F361" i="4"/>
  <c r="F428" i="4"/>
  <c r="F354" i="4"/>
  <c r="F294" i="4"/>
  <c r="F439" i="4"/>
  <c r="F445" i="4"/>
  <c r="F252" i="4"/>
  <c r="F447" i="4"/>
  <c r="F351" i="4"/>
  <c r="F451" i="4"/>
  <c r="F394" i="4"/>
  <c r="F459" i="4"/>
  <c r="F421" i="4"/>
  <c r="F467" i="4"/>
  <c r="F263" i="4"/>
  <c r="F491" i="4"/>
  <c r="F328" i="4"/>
  <c r="F478" i="4"/>
  <c r="F273" i="4"/>
  <c r="F409" i="4"/>
  <c r="F378" i="4"/>
  <c r="F306" i="4"/>
  <c r="F433" i="4"/>
  <c r="F299" i="4"/>
  <c r="F456" i="4"/>
  <c r="F269" i="4"/>
  <c r="F465" i="4"/>
  <c r="F497" i="4"/>
  <c r="F334" i="4"/>
  <c r="F463" i="4"/>
  <c r="F308" i="4"/>
  <c r="F278" i="4"/>
  <c r="F257" i="4"/>
  <c r="F474" i="4"/>
  <c r="F450" i="4"/>
  <c r="F229" i="4"/>
  <c r="F387" i="4"/>
  <c r="F341" i="4"/>
  <c r="F426" i="4"/>
  <c r="F479" i="4"/>
  <c r="F388" i="4"/>
  <c r="F303" i="4"/>
  <c r="F391" i="4"/>
  <c r="F368" i="4"/>
  <c r="F389" i="4"/>
  <c r="F246" i="4"/>
  <c r="F352" i="4"/>
  <c r="F215" i="4"/>
  <c r="F317" i="4"/>
  <c r="F366" i="4"/>
  <c r="F365" i="4"/>
  <c r="F403" i="4"/>
  <c r="F484" i="4"/>
  <c r="F359" i="4"/>
  <c r="F374" i="4"/>
  <c r="F282" i="4"/>
  <c r="F261" i="4"/>
  <c r="F288" i="4"/>
  <c r="F315" i="4"/>
  <c r="F475" i="4"/>
  <c r="F473" i="4"/>
  <c r="F357" i="4"/>
  <c r="F305" i="4"/>
  <c r="F390" i="4"/>
  <c r="F393" i="4"/>
  <c r="F251" i="4"/>
  <c r="F231" i="4"/>
  <c r="F410" i="4"/>
  <c r="F371" i="4"/>
  <c r="F395" i="4"/>
  <c r="F383" i="4"/>
  <c r="F396" i="4"/>
  <c r="F401" i="4"/>
  <c r="F424" i="4"/>
  <c r="F330" i="4"/>
  <c r="F342" i="4"/>
  <c r="F287" i="4"/>
  <c r="F379" i="4"/>
  <c r="F411" i="4"/>
  <c r="F217" i="4"/>
  <c r="F298" i="4"/>
  <c r="F326" i="4"/>
  <c r="F258" i="4"/>
  <c r="F482" i="4"/>
  <c r="F346" i="4"/>
  <c r="F344" i="4"/>
  <c r="F313" i="4"/>
  <c r="F412" i="4"/>
  <c r="F441" i="4"/>
  <c r="F417" i="4"/>
  <c r="F425" i="4"/>
  <c r="F302" i="4"/>
  <c r="F380" i="4"/>
  <c r="F358" i="4"/>
  <c r="F264" i="4"/>
  <c r="F228" i="4"/>
  <c r="F400" i="4"/>
  <c r="F448" i="4"/>
  <c r="F333" i="4"/>
  <c r="F449" i="4"/>
  <c r="F249" i="4"/>
  <c r="F232" i="4"/>
  <c r="F255" i="4"/>
  <c r="F454" i="4"/>
  <c r="F423" i="4"/>
  <c r="F498" i="4"/>
  <c r="F213" i="4"/>
  <c r="F270" i="4"/>
  <c r="F223" i="4"/>
  <c r="F281" i="4"/>
  <c r="F337" i="4"/>
  <c r="F399" i="4"/>
  <c r="F234" i="4"/>
  <c r="F283" i="4"/>
  <c r="F481" i="4"/>
  <c r="F312" i="4"/>
  <c r="F372" i="4"/>
  <c r="F462" i="4"/>
  <c r="F339" i="4"/>
  <c r="F430" i="4"/>
  <c r="F457" i="4"/>
  <c r="F350" i="4"/>
  <c r="F329" i="4"/>
  <c r="F260" i="4"/>
  <c r="F285" i="4"/>
  <c r="F360" i="4"/>
  <c r="F415" i="4"/>
  <c r="F254" i="4"/>
  <c r="F442" i="4"/>
  <c r="F377" i="4"/>
  <c r="F335" i="4"/>
  <c r="F348" i="4"/>
  <c r="F470" i="4"/>
  <c r="F256" i="4"/>
  <c r="F375" i="4"/>
  <c r="F322" i="4"/>
  <c r="F290" i="4"/>
  <c r="F222" i="4"/>
  <c r="F356" i="4"/>
  <c r="F486" i="4"/>
  <c r="F483" i="4"/>
  <c r="F245" i="4"/>
  <c r="F373" i="4"/>
  <c r="F492" i="4"/>
  <c r="F345" i="4"/>
  <c r="F418" i="4"/>
  <c r="F347" i="4"/>
  <c r="F244" i="4"/>
  <c r="F318" i="4"/>
  <c r="F216" i="4"/>
  <c r="F325" i="4"/>
  <c r="F422" i="4"/>
  <c r="F221" i="4"/>
  <c r="F343" i="4"/>
  <c r="F420" i="4"/>
  <c r="F292" i="4"/>
  <c r="F314" i="4"/>
  <c r="F300" i="4"/>
  <c r="F487" i="4"/>
  <c r="F309" i="4"/>
  <c r="F460" i="4"/>
  <c r="F272" i="4"/>
  <c r="F477" i="4"/>
  <c r="D185" i="4" a="1"/>
  <c r="G168" i="4" a="1"/>
  <c r="E24" i="4" a="1"/>
  <c r="C88" i="4" a="1"/>
  <c r="C133" i="4" a="1"/>
  <c r="C93" i="4" a="1"/>
  <c r="C67" i="4" a="1"/>
  <c r="E208" i="4" a="1"/>
  <c r="G148" i="4" a="1"/>
  <c r="E114" i="4" a="1"/>
  <c r="G90" i="4" a="1"/>
  <c r="D95" i="4" a="1"/>
  <c r="G136" i="4" a="1"/>
  <c r="C165" i="4" a="1"/>
  <c r="G122" i="4" a="1"/>
  <c r="D36" i="4" a="1"/>
  <c r="C122" i="4" a="1"/>
  <c r="G29" i="4" a="1"/>
  <c r="E168" i="4" a="1"/>
  <c r="G27" i="4" a="1"/>
  <c r="G135" i="4" a="1"/>
  <c r="E46" i="4" a="1"/>
  <c r="G109" i="4" a="1"/>
  <c r="D133" i="4" a="1"/>
  <c r="G8" i="4" a="1"/>
  <c r="C45" i="4" a="1"/>
  <c r="C157" i="4" a="1"/>
  <c r="D99" i="4" a="1"/>
  <c r="C144" i="4" a="1"/>
  <c r="G13" i="4" a="1"/>
  <c r="D107" i="4" a="1"/>
  <c r="D84" i="4" a="1"/>
  <c r="C23" i="4" a="1"/>
  <c r="C39" i="4" a="1"/>
  <c r="G145" i="4" a="1"/>
  <c r="D35" i="4" a="1"/>
  <c r="D177" i="4" a="1"/>
  <c r="E186" i="4" a="1"/>
  <c r="E14" i="4" a="1"/>
  <c r="E139" i="4" a="1"/>
  <c r="C59" i="4" a="1"/>
  <c r="E147" i="4" a="1"/>
  <c r="C48" i="4" a="1"/>
  <c r="G126" i="4" a="1"/>
  <c r="E43" i="4" a="1"/>
  <c r="G57" i="4" a="1"/>
  <c r="C10" i="4" a="1"/>
  <c r="E69" i="4" a="1"/>
  <c r="E29" i="4" a="1"/>
  <c r="E125" i="4" a="1"/>
  <c r="E175" i="4" a="1"/>
  <c r="D29" i="4" a="1"/>
  <c r="D167" i="4" a="1"/>
  <c r="C66" i="4" a="1"/>
  <c r="C89" i="4" a="1"/>
  <c r="G125" i="4" a="1"/>
  <c r="G26" i="4" a="1"/>
  <c r="E198" i="4" a="1"/>
  <c r="C96" i="4" a="1"/>
  <c r="G12" i="4" a="1"/>
  <c r="G182" i="4" a="1"/>
  <c r="G183" i="4" a="1"/>
  <c r="G97" i="4" a="1"/>
  <c r="E5" i="4" a="1"/>
  <c r="C77" i="4" a="1"/>
  <c r="C129" i="4" a="1"/>
  <c r="D56" i="4" a="1"/>
  <c r="G181" i="4" a="1"/>
  <c r="E194" i="4" a="1"/>
  <c r="G159" i="4" a="1"/>
  <c r="G5" i="4" a="1"/>
  <c r="G129" i="4" a="1"/>
  <c r="E82" i="4" a="1"/>
  <c r="E23" i="4" a="1"/>
  <c r="G60" i="4" a="1"/>
  <c r="G88" i="4" a="1"/>
  <c r="E55" i="4" a="1"/>
  <c r="E50" i="4" a="1"/>
  <c r="C95" i="4" a="1"/>
  <c r="E133" i="4" a="1"/>
  <c r="C196" i="4" a="1"/>
  <c r="G116" i="4" a="1"/>
  <c r="G15" i="4" a="1"/>
  <c r="C73" i="4" a="1"/>
  <c r="D194" i="4" a="1"/>
  <c r="D140" i="4" a="1"/>
  <c r="G78" i="4" a="1"/>
  <c r="G153" i="4" a="1"/>
  <c r="C108" i="4" a="1"/>
  <c r="E63" i="4" a="1"/>
  <c r="C75" i="4" a="1"/>
  <c r="G212" i="4" a="1"/>
  <c r="E146" i="4" a="1"/>
  <c r="C70" i="4" a="1"/>
  <c r="C38" i="4" a="1"/>
  <c r="E189" i="4" a="1"/>
  <c r="C137" i="4" a="1"/>
  <c r="D144" i="4" a="1"/>
  <c r="D85" i="4" a="1"/>
  <c r="G118" i="4" a="1"/>
  <c r="D89" i="4" a="1"/>
  <c r="C178" i="4" a="1"/>
  <c r="E99" i="4" a="1"/>
  <c r="D90" i="4" a="1"/>
  <c r="C181" i="4" a="1"/>
  <c r="G102" i="4" a="1"/>
  <c r="C150" i="4" a="1"/>
  <c r="G201" i="4" a="1"/>
  <c r="E206" i="4" a="1"/>
  <c r="C156" i="4" a="1"/>
  <c r="C86" i="4" a="1"/>
  <c r="D205" i="4" a="1"/>
  <c r="D182" i="4" a="1"/>
  <c r="E212" i="4" a="1"/>
  <c r="E44" i="4" a="1"/>
  <c r="E13" i="4" a="1"/>
  <c r="D67" i="4" a="1"/>
  <c r="E182" i="4" a="1"/>
  <c r="G62" i="4" a="1"/>
  <c r="E91" i="4" a="1"/>
  <c r="C211" i="4" a="1"/>
  <c r="C103" i="4" a="1"/>
  <c r="E70" i="4" a="1"/>
  <c r="D79" i="4" a="1"/>
  <c r="D48" i="4" a="1"/>
  <c r="C41" i="4" a="1"/>
  <c r="C118" i="4" a="1"/>
  <c r="E58" i="4" a="1"/>
  <c r="E12" i="4" a="1"/>
  <c r="D27" i="4" a="1"/>
  <c r="D9" i="4" a="1"/>
  <c r="D102" i="4" a="1"/>
  <c r="G187" i="4" a="1"/>
  <c r="C101" i="4" a="1"/>
  <c r="E176" i="4" a="1"/>
  <c r="D13" i="4" a="1"/>
  <c r="D37" i="4" a="1"/>
  <c r="C32" i="4" a="1"/>
  <c r="D66" i="4" a="1"/>
  <c r="D145" i="4" a="1"/>
  <c r="D139" i="4" a="1"/>
  <c r="G190" i="4" a="1"/>
  <c r="C148" i="4" a="1"/>
  <c r="G174" i="4" a="1"/>
  <c r="C92" i="4" a="1"/>
  <c r="D7" i="4" a="1"/>
  <c r="C74" i="4" a="1"/>
  <c r="C114" i="4" a="1"/>
  <c r="E119" i="4" a="1"/>
  <c r="G10" i="4" a="1"/>
  <c r="E199" i="4" a="1"/>
  <c r="D178" i="4" a="1"/>
  <c r="C149" i="4" a="1"/>
  <c r="E178" i="4" a="1"/>
  <c r="D104" i="4" a="1"/>
  <c r="C173" i="4" a="1"/>
  <c r="D63" i="4" a="1"/>
  <c r="C53" i="4" a="1"/>
  <c r="D100" i="4" a="1"/>
  <c r="C151" i="4" a="1"/>
  <c r="D200" i="4" a="1"/>
  <c r="D170" i="4" a="1"/>
  <c r="D109" i="4" a="1"/>
  <c r="C187" i="4" a="1"/>
  <c r="G89" i="4" a="1"/>
  <c r="D188" i="4" a="1"/>
  <c r="D12" i="4" a="1"/>
  <c r="G22" i="4" a="1"/>
  <c r="D151" i="4" a="1"/>
  <c r="E197" i="4" a="1"/>
  <c r="C58" i="4" a="1"/>
  <c r="E47" i="4" a="1"/>
  <c r="G191" i="4" a="1"/>
  <c r="E22" i="4" a="1"/>
  <c r="E48" i="4" a="1"/>
  <c r="C199" i="4" a="1"/>
  <c r="G66" i="4" a="1"/>
  <c r="C24" i="4" a="1"/>
  <c r="C2" i="4" a="1"/>
  <c r="G138" i="4" a="1"/>
  <c r="D39" i="4" a="1"/>
  <c r="D168" i="4" a="1"/>
  <c r="D202" i="4" a="1"/>
  <c r="E109" i="4" a="1"/>
  <c r="E4" i="4" a="1"/>
  <c r="C183" i="4" a="1"/>
  <c r="D76" i="4" a="1"/>
  <c r="E40" i="4" a="1"/>
  <c r="E87" i="4" a="1"/>
  <c r="C145" i="4" a="1"/>
  <c r="G51" i="4" a="1"/>
  <c r="D15" i="4" a="1"/>
  <c r="G39" i="4" a="1"/>
  <c r="G200" i="4" a="1"/>
  <c r="G50" i="4" a="1"/>
  <c r="E76" i="4" a="1"/>
  <c r="D49" i="4" a="1"/>
  <c r="D53" i="4" a="1"/>
  <c r="E42" i="4" a="1"/>
  <c r="G101" i="4" a="1"/>
  <c r="G169" i="4" a="1"/>
  <c r="E130" i="4" a="1"/>
  <c r="G20" i="4" a="1"/>
  <c r="C60" i="4" a="1"/>
  <c r="D193" i="4" a="1"/>
  <c r="C12" i="4" a="1"/>
  <c r="C188" i="4" a="1"/>
  <c r="D38" i="4" a="1"/>
  <c r="C206" i="4" a="1"/>
  <c r="D129" i="4" a="1"/>
  <c r="C31" i="4" a="1"/>
  <c r="G9" i="4" a="1"/>
  <c r="D22" i="4" a="1"/>
  <c r="G205" i="4" a="1"/>
  <c r="G115" i="4" a="1"/>
  <c r="E52" i="4" a="1"/>
  <c r="D24" i="4" a="1"/>
  <c r="D28" i="4" a="1"/>
  <c r="E102" i="4" a="1"/>
  <c r="C102" i="4" a="1"/>
  <c r="G108" i="4" a="1"/>
  <c r="G65" i="4" a="1"/>
  <c r="C14" i="4" a="1"/>
  <c r="C161" i="4" a="1"/>
  <c r="G117" i="4" a="1"/>
  <c r="G139" i="4" a="1"/>
  <c r="G137" i="4" a="1"/>
  <c r="E107" i="4" a="1"/>
  <c r="C11" i="4" a="1"/>
  <c r="E94" i="4" a="1"/>
  <c r="G179" i="4" a="1"/>
  <c r="C135" i="4" a="1"/>
  <c r="E117" i="4" a="1"/>
  <c r="C207" i="4" a="1"/>
  <c r="D152" i="4" a="1"/>
  <c r="C200" i="4" a="1"/>
  <c r="C15" i="4" a="1"/>
  <c r="E39" i="4" a="1"/>
  <c r="E104" i="4" a="1"/>
  <c r="G150" i="4" a="1"/>
  <c r="D5" i="4" a="1"/>
  <c r="G120" i="4" a="1"/>
  <c r="E53" i="4" a="1"/>
  <c r="G72" i="4" a="1"/>
  <c r="E201" i="4" a="1"/>
  <c r="C112" i="4" a="1"/>
  <c r="G32" i="4" a="1"/>
  <c r="E185" i="4" a="1"/>
  <c r="C78" i="4" a="1"/>
  <c r="D126" i="4" a="1"/>
  <c r="E150" i="4" a="1"/>
  <c r="D113" i="4" a="1"/>
  <c r="C146" i="4" a="1"/>
  <c r="G172" i="4" a="1"/>
  <c r="D122" i="4" a="1"/>
  <c r="C19" i="4" a="1"/>
  <c r="D41" i="4" a="1"/>
  <c r="D208" i="4" a="1"/>
  <c r="D81" i="4" a="1"/>
  <c r="C189" i="4" a="1"/>
  <c r="E195" i="4" a="1"/>
  <c r="G204" i="4" a="1"/>
  <c r="G127" i="4" a="1"/>
  <c r="C174" i="4" a="1"/>
  <c r="C167" i="4" a="1"/>
  <c r="D156" i="4" a="1"/>
  <c r="E38" i="4" a="1"/>
  <c r="E60" i="4" a="1"/>
  <c r="G134" i="4" a="1"/>
  <c r="C62" i="4" a="1"/>
  <c r="E101" i="4" a="1"/>
  <c r="G197" i="4" a="1"/>
  <c r="D165" i="4" a="1"/>
  <c r="D199" i="4" a="1"/>
  <c r="E81" i="4" a="1"/>
  <c r="G16" i="4" a="1"/>
  <c r="G124" i="4" a="1"/>
  <c r="G161" i="4" a="1"/>
  <c r="C104" i="4" a="1"/>
  <c r="C139" i="4" a="1"/>
  <c r="D111" i="4" a="1"/>
  <c r="C99" i="4" a="1"/>
  <c r="D154" i="4" a="1"/>
  <c r="G48" i="4" a="1"/>
  <c r="C143" i="4" a="1"/>
  <c r="D115" i="4" a="1"/>
  <c r="E171" i="4" a="1"/>
  <c r="G131" i="4" a="1"/>
  <c r="D196" i="4" a="1"/>
  <c r="G155" i="4" a="1"/>
  <c r="C132" i="4" a="1"/>
  <c r="C182" i="4" a="1"/>
  <c r="E177" i="4" a="1"/>
  <c r="C168" i="4" a="1"/>
  <c r="G203" i="4" a="1"/>
  <c r="G47" i="4" a="1"/>
  <c r="E20" i="4" a="1"/>
  <c r="G24" i="4" a="1"/>
  <c r="E92" i="4" a="1"/>
  <c r="C54" i="4" a="1"/>
  <c r="G167" i="4" a="1"/>
  <c r="D110" i="4" a="1"/>
  <c r="D65" i="4" a="1"/>
  <c r="G11" i="4" a="1"/>
  <c r="G53" i="4" a="1"/>
  <c r="E156" i="4" a="1"/>
  <c r="E51" i="4" a="1"/>
  <c r="C119" i="4" a="1"/>
  <c r="C18" i="4" a="1"/>
  <c r="D135" i="4" a="1"/>
  <c r="D54" i="4" a="1"/>
  <c r="E167" i="4" a="1"/>
  <c r="G154" i="4" a="1"/>
  <c r="C61" i="4" a="1"/>
  <c r="E113" i="4" a="1"/>
  <c r="G30" i="4" a="1"/>
  <c r="G162" i="4" a="1"/>
  <c r="C25" i="4" a="1"/>
  <c r="E41" i="4" a="1"/>
  <c r="E78" i="4" a="1"/>
  <c r="E190" i="4" a="1"/>
  <c r="C169" i="4" a="1"/>
  <c r="D43" i="4" a="1"/>
  <c r="C147" i="4" a="1"/>
  <c r="G75" i="4" a="1"/>
  <c r="C64" i="4" a="1"/>
  <c r="C170" i="4" a="1"/>
  <c r="D25" i="4" a="1"/>
  <c r="E148" i="4" a="1"/>
  <c r="C204" i="4" a="1"/>
  <c r="D125" i="4" a="1"/>
  <c r="E172" i="4" a="1"/>
  <c r="G146" i="4" a="1"/>
  <c r="E136" i="4" a="1"/>
  <c r="E33" i="4" a="1"/>
  <c r="D31" i="4" a="1"/>
  <c r="C46" i="4" a="1"/>
  <c r="G23" i="4" a="1"/>
  <c r="D128" i="4" a="1"/>
  <c r="G184" i="4" a="1"/>
  <c r="E64" i="4" a="1"/>
  <c r="C113" i="4" a="1"/>
  <c r="E134" i="4" a="1"/>
  <c r="C191" i="4" a="1"/>
  <c r="E67" i="4" a="1"/>
  <c r="G164" i="4" a="1"/>
  <c r="E105" i="4" a="1"/>
  <c r="D130" i="4" a="1"/>
  <c r="G4" i="4" a="1"/>
  <c r="C17" i="4" a="1"/>
  <c r="E149" i="4" a="1"/>
  <c r="G83" i="4" a="1"/>
  <c r="C30" i="4" a="1"/>
  <c r="C83" i="4" a="1"/>
  <c r="G36" i="4" a="1"/>
  <c r="C194" i="4" a="1"/>
  <c r="D60" i="4" a="1"/>
  <c r="C124" i="4" a="1"/>
  <c r="D86" i="4" a="1"/>
  <c r="D97" i="4" a="1"/>
  <c r="E207" i="4" a="1"/>
  <c r="E26" i="4" a="1"/>
  <c r="D103" i="4" a="1"/>
  <c r="D21" i="4" a="1"/>
  <c r="G38" i="4" a="1"/>
  <c r="E90" i="4" a="1"/>
  <c r="E8" i="4" a="1"/>
  <c r="C154" i="4" a="1"/>
  <c r="E57" i="4" a="1"/>
  <c r="G44" i="4" a="1"/>
  <c r="D131" i="4" a="1"/>
  <c r="D132" i="4" a="1"/>
  <c r="E88" i="4" a="1"/>
  <c r="C34" i="4" a="1"/>
  <c r="D45" i="4" a="1"/>
  <c r="D162" i="4" a="1"/>
  <c r="E118" i="4" a="1"/>
  <c r="C185" i="4" a="1"/>
  <c r="D14" i="4" a="1"/>
  <c r="G41" i="4" a="1"/>
  <c r="E131" i="4" a="1"/>
  <c r="D203" i="4" a="1"/>
  <c r="D10" i="4" a="1"/>
  <c r="C72" i="4" a="1"/>
  <c r="G141" i="4" a="1"/>
  <c r="C100" i="4" a="1"/>
  <c r="C159" i="4" a="1"/>
  <c r="D175" i="4" a="1"/>
  <c r="C80" i="4" a="1"/>
  <c r="E45" i="4" a="1"/>
  <c r="C120" i="4" a="1"/>
  <c r="D61" i="4" a="1"/>
  <c r="G43" i="4" a="1"/>
  <c r="G112" i="4" a="1"/>
  <c r="G103" i="4" a="1"/>
  <c r="E188" i="4" a="1"/>
  <c r="E21" i="4" a="1"/>
  <c r="D106" i="4" a="1"/>
  <c r="C27" i="4" a="1"/>
  <c r="E103" i="4" a="1"/>
  <c r="C36" i="4" a="1"/>
  <c r="C97" i="4" a="1"/>
  <c r="D163" i="4" a="1"/>
  <c r="E106" i="4" a="1"/>
  <c r="E179" i="4" a="1"/>
  <c r="C63" i="4" a="1"/>
  <c r="G185" i="4" a="1"/>
  <c r="D47" i="4" a="1"/>
  <c r="C208" i="4" a="1"/>
  <c r="C176" i="4" a="1"/>
  <c r="G3" i="4" a="1"/>
  <c r="E158" i="4" a="1"/>
  <c r="C117" i="4" a="1"/>
  <c r="C33" i="4" a="1"/>
  <c r="G173" i="4" a="1"/>
  <c r="E151" i="4" a="1"/>
  <c r="D161" i="4" a="1"/>
  <c r="G25" i="4" a="1"/>
  <c r="E96" i="4" a="1"/>
  <c r="C192" i="4" a="1"/>
  <c r="D206" i="4" a="1"/>
  <c r="C171" i="4" a="1"/>
  <c r="C55" i="4" a="1"/>
  <c r="D42" i="4" a="1"/>
  <c r="G84" i="4" a="1"/>
  <c r="G142" i="4" a="1"/>
  <c r="C141" i="4" a="1"/>
  <c r="C130" i="4" a="1"/>
  <c r="C126" i="4" a="1"/>
  <c r="G199" i="4" a="1"/>
  <c r="E193" i="4" a="1"/>
  <c r="G79" i="4" a="1"/>
  <c r="D64" i="4" a="1"/>
  <c r="D68" i="4" a="1"/>
  <c r="E183" i="4" a="1"/>
  <c r="D119" i="4" a="1"/>
  <c r="D23" i="4" a="1"/>
  <c r="E17" i="4" a="1"/>
  <c r="E98" i="4" a="1"/>
  <c r="G64" i="4" a="1"/>
  <c r="E210" i="4" a="1"/>
  <c r="D159" i="4" a="1"/>
  <c r="D26" i="4" a="1"/>
  <c r="G107" i="4" a="1"/>
  <c r="G28" i="4" a="1"/>
  <c r="E3" i="4" a="1"/>
  <c r="D116" i="4" a="1"/>
  <c r="G151" i="4" a="1"/>
  <c r="C125" i="4" a="1"/>
  <c r="D136" i="4" a="1"/>
  <c r="G46" i="4" a="1"/>
  <c r="C26" i="4" a="1"/>
  <c r="E18" i="4" a="1"/>
  <c r="C110" i="4" a="1"/>
  <c r="E163" i="4" a="1"/>
  <c r="E153" i="4" a="1"/>
  <c r="E86" i="4" a="1"/>
  <c r="C82" i="4" a="1"/>
  <c r="D59" i="4" a="1"/>
  <c r="E30" i="4" a="1"/>
  <c r="E31" i="4" a="1"/>
  <c r="C107" i="4" a="1"/>
  <c r="E135" i="4" a="1"/>
  <c r="E9" i="4" a="1"/>
  <c r="D98" i="4" a="1"/>
  <c r="C166" i="4" a="1"/>
  <c r="E126" i="4" a="1"/>
  <c r="C49" i="4" a="1"/>
  <c r="D94" i="4" a="1"/>
  <c r="D210" i="4" a="1"/>
  <c r="G140" i="4" a="1"/>
  <c r="D78" i="4" a="1"/>
  <c r="G194" i="4" a="1"/>
  <c r="G133" i="4" a="1"/>
  <c r="D105" i="4" a="1"/>
  <c r="G166" i="4" a="1"/>
  <c r="D192" i="4" a="1"/>
  <c r="G67" i="4" a="1"/>
  <c r="E75" i="4" a="1"/>
  <c r="E140" i="4" a="1"/>
  <c r="E71" i="4" a="1"/>
  <c r="G105" i="4" a="1"/>
  <c r="G176" i="4" a="1"/>
  <c r="G132" i="4" a="1"/>
  <c r="E132" i="4" a="1"/>
  <c r="D190" i="4" a="1"/>
  <c r="E161" i="4" a="1"/>
  <c r="E85" i="4" a="1"/>
  <c r="G85" i="4" a="1"/>
  <c r="G189" i="4" a="1"/>
  <c r="E170" i="4" a="1"/>
  <c r="D174" i="4" a="1"/>
  <c r="C186" i="4" a="1"/>
  <c r="D17" i="4" a="1"/>
  <c r="E84" i="4" a="1"/>
  <c r="G170" i="4" a="1"/>
  <c r="D40" i="4" a="1"/>
  <c r="E145" i="4" a="1"/>
  <c r="D176" i="4" a="1"/>
  <c r="G87" i="4" a="1"/>
  <c r="D189" i="4" a="1"/>
  <c r="G91" i="4" a="1"/>
  <c r="G93" i="4" a="1"/>
  <c r="E95" i="4" a="1"/>
  <c r="D212" i="4" a="1"/>
  <c r="G192" i="4" a="1"/>
  <c r="C162" i="4" a="1"/>
  <c r="E36" i="4" a="1"/>
  <c r="G175" i="4" a="1"/>
  <c r="G195" i="4" a="1"/>
  <c r="E129" i="4" a="1"/>
  <c r="C197" i="4" a="1"/>
  <c r="C106" i="4" a="1"/>
  <c r="G96" i="4" a="1"/>
  <c r="C35" i="4" a="1"/>
  <c r="E160" i="4" a="1"/>
  <c r="C3" i="4" a="1"/>
  <c r="C42" i="4" a="1"/>
  <c r="G58" i="4" a="1"/>
  <c r="E108" i="4" a="1"/>
  <c r="G31" i="4" a="1"/>
  <c r="D181" i="4" a="1"/>
  <c r="C90" i="4" a="1"/>
  <c r="E28" i="4" a="1"/>
  <c r="C195" i="4" a="1"/>
  <c r="G188" i="4" a="1"/>
  <c r="G14" i="4" a="1"/>
  <c r="E123" i="4" a="1"/>
  <c r="C68" i="4" a="1"/>
  <c r="D19" i="4" a="1"/>
  <c r="C21" i="4" a="1"/>
  <c r="C175" i="4" a="1"/>
  <c r="C8" i="4" a="1"/>
  <c r="D114" i="4" a="1"/>
  <c r="G208" i="4" a="1"/>
  <c r="C71" i="4" a="1"/>
  <c r="D91" i="4" a="1"/>
  <c r="G37" i="4" a="1"/>
  <c r="E100" i="4" a="1"/>
  <c r="E74" i="4" a="1"/>
  <c r="E202" i="4" a="1"/>
  <c r="E120" i="4" a="1"/>
  <c r="G106" i="4" a="1"/>
  <c r="E56" i="4" a="1"/>
  <c r="C56" i="4" a="1"/>
  <c r="G61" i="4" a="1"/>
  <c r="E73" i="4" a="1"/>
  <c r="E49" i="4" a="1"/>
  <c r="E165" i="4" a="1"/>
  <c r="E115" i="4" a="1"/>
  <c r="D207" i="4" a="1"/>
  <c r="E152" i="4" a="1"/>
  <c r="E116" i="4" a="1"/>
  <c r="E32" i="4" a="1"/>
  <c r="G35" i="4" a="1"/>
  <c r="D173" i="4" a="1"/>
  <c r="E209" i="4" a="1"/>
  <c r="D195" i="4" a="1"/>
  <c r="E174" i="4" a="1"/>
  <c r="D88" i="4" a="1"/>
  <c r="C127" i="4" a="1"/>
  <c r="C109" i="4" a="1"/>
  <c r="D50" i="4" a="1"/>
  <c r="C91" i="4" a="1"/>
  <c r="E164" i="4" a="1"/>
  <c r="D158" i="4" a="1"/>
  <c r="E77" i="4" a="1"/>
  <c r="E138" i="4" a="1"/>
  <c r="C128" i="4" a="1"/>
  <c r="C85" i="4" a="1"/>
  <c r="G86" i="4" a="1"/>
  <c r="D87" i="4" a="1"/>
  <c r="C111" i="4" a="1"/>
  <c r="G63" i="4" a="1"/>
  <c r="C177" i="4" a="1"/>
  <c r="C116" i="4" a="1"/>
  <c r="E162" i="4" a="1"/>
  <c r="D209" i="4" a="1"/>
  <c r="G55" i="4" a="1"/>
  <c r="G198" i="4" a="1"/>
  <c r="G156" i="4" a="1"/>
  <c r="G206" i="4" a="1"/>
  <c r="G114" i="4" a="1"/>
  <c r="D198" i="4" a="1"/>
  <c r="E205" i="4" a="1"/>
  <c r="E180" i="4" a="1"/>
  <c r="D160" i="4" a="1"/>
  <c r="C155" i="4" a="1"/>
  <c r="C94" i="4" a="1"/>
  <c r="D137" i="4" a="1"/>
  <c r="G207" i="4" a="1"/>
  <c r="G104" i="4" a="1"/>
  <c r="G128" i="4" a="1"/>
  <c r="E66" i="4" a="1"/>
  <c r="C50" i="4" a="1"/>
  <c r="G81" i="4" a="1"/>
  <c r="G77" i="4" a="1"/>
  <c r="E154" i="4" a="1"/>
  <c r="D184" i="4" a="1"/>
  <c r="C6" i="4" a="1"/>
  <c r="G177" i="4" a="1"/>
  <c r="G100" i="4" a="1"/>
  <c r="C193" i="4" a="1"/>
  <c r="G110" i="4" a="1"/>
  <c r="G73" i="4" a="1"/>
  <c r="C136" i="4" a="1"/>
  <c r="E121" i="4" a="1"/>
  <c r="G40" i="4" a="1"/>
  <c r="C205" i="4" a="1"/>
  <c r="E173" i="4" a="1"/>
  <c r="E89" i="4" a="1"/>
  <c r="E143" i="4" a="1"/>
  <c r="D33" i="4" a="1"/>
  <c r="E128" i="4" a="1"/>
  <c r="E157" i="4" a="1"/>
  <c r="D80" i="4" a="1"/>
  <c r="C44" i="4" a="1"/>
  <c r="G163" i="4" a="1"/>
  <c r="C115" i="4" a="1"/>
  <c r="C20" i="4" a="1"/>
  <c r="E200" i="4" a="1"/>
  <c r="D172" i="4" a="1"/>
  <c r="G80" i="4" a="1"/>
  <c r="G68" i="4" a="1"/>
  <c r="G54" i="4" a="1"/>
  <c r="G18" i="4" a="1"/>
  <c r="D83" i="4" a="1"/>
  <c r="G147" i="4" a="1"/>
  <c r="C105" i="4" a="1"/>
  <c r="C52" i="4" a="1"/>
  <c r="C65" i="4" a="1"/>
  <c r="G56" i="4" a="1"/>
  <c r="D71" i="4" a="1"/>
  <c r="D191" i="4" a="1"/>
  <c r="C179" i="4" a="1"/>
  <c r="D112" i="4" a="1"/>
  <c r="D146" i="4" a="1"/>
  <c r="G157" i="4" a="1"/>
  <c r="C28" i="4" a="1"/>
  <c r="G33" i="4" a="1"/>
  <c r="E184" i="4" a="1"/>
  <c r="G152" i="4" a="1"/>
  <c r="D197" i="4" a="1"/>
  <c r="G171" i="4" a="1"/>
  <c r="D8" i="4" a="1"/>
  <c r="D150" i="4" a="1"/>
  <c r="D183" i="4" a="1"/>
  <c r="D72" i="4" a="1"/>
  <c r="E169" i="4" a="1"/>
  <c r="D108" i="4" a="1"/>
  <c r="D77" i="4" a="1"/>
  <c r="E181" i="4" a="1"/>
  <c r="C76" i="4" a="1"/>
  <c r="D186" i="4" a="1"/>
  <c r="G186" i="4" a="1"/>
  <c r="C172" i="4" a="1"/>
  <c r="E15" i="4" a="1"/>
  <c r="G42" i="4" a="1"/>
  <c r="E59" i="4" a="1"/>
  <c r="G19" i="4" a="1"/>
  <c r="C7" i="4" a="1"/>
  <c r="C138" i="4" a="1"/>
  <c r="C84" i="4" a="1"/>
  <c r="G45" i="4" a="1"/>
  <c r="C29" i="4" a="1"/>
  <c r="G99" i="4" a="1"/>
  <c r="D121" i="4" a="1"/>
  <c r="G211" i="4" a="1"/>
  <c r="C69" i="4" a="1"/>
  <c r="C9" i="4" a="1"/>
  <c r="D164" i="4" a="1"/>
  <c r="C121" i="4" a="1"/>
  <c r="D11" i="4" a="1"/>
  <c r="D143" i="4" a="1"/>
  <c r="G52" i="4" a="1"/>
  <c r="D75" i="4" a="1"/>
  <c r="D142" i="4" a="1"/>
  <c r="C184" i="4" a="1"/>
  <c r="G69" i="4" a="1"/>
  <c r="G76" i="4" a="1"/>
  <c r="E65" i="4" a="1"/>
  <c r="D120" i="4" a="1"/>
  <c r="D148" i="4" a="1"/>
  <c r="C131" i="4" a="1"/>
  <c r="C160" i="4" a="1"/>
  <c r="C152" i="4" a="1"/>
  <c r="E110" i="4" a="1"/>
  <c r="D3" i="4" a="1"/>
  <c r="D16" i="4" a="1"/>
  <c r="C142" i="4" a="1"/>
  <c r="D166" i="4" a="1"/>
  <c r="E2" i="4" a="1"/>
  <c r="E27" i="4" a="1"/>
  <c r="G143" i="4" a="1"/>
  <c r="E204" i="4" a="1"/>
  <c r="D34" i="4" a="1"/>
  <c r="C180" i="4" a="1"/>
  <c r="E187" i="4" a="1"/>
  <c r="E144" i="4" a="1"/>
  <c r="E35" i="4" a="1"/>
  <c r="G113" i="4" a="1"/>
  <c r="E61" i="4" a="1"/>
  <c r="C47" i="4" a="1"/>
  <c r="D93" i="4" a="1"/>
  <c r="G7" i="4" a="1"/>
  <c r="C79" i="4" a="1"/>
  <c r="G210" i="4" a="1"/>
  <c r="D123" i="4" a="1"/>
  <c r="C201" i="4" a="1"/>
  <c r="D187" i="4" a="1"/>
  <c r="G70" i="4" a="1"/>
  <c r="E68" i="4" a="1"/>
  <c r="D179" i="4" a="1"/>
  <c r="E6" i="4" a="1"/>
  <c r="D30" i="4" a="1"/>
  <c r="D118" i="4" a="1"/>
  <c r="G160" i="4" a="1"/>
  <c r="E127" i="4" a="1"/>
  <c r="E137" i="4" a="1"/>
  <c r="G119" i="4" a="1"/>
  <c r="C209" i="4" a="1"/>
  <c r="D4" i="4" a="1"/>
  <c r="D70" i="4" a="1"/>
  <c r="E37" i="4" a="1"/>
  <c r="E111" i="4" a="1"/>
  <c r="G165" i="4" a="1"/>
  <c r="G121" i="4" a="1"/>
  <c r="G82" i="4" a="1"/>
  <c r="D6" i="4" a="1"/>
  <c r="C87" i="4" a="1"/>
  <c r="C16" i="4" a="1"/>
  <c r="D117" i="4" a="1"/>
  <c r="E166" i="4" a="1"/>
  <c r="G98" i="4" a="1"/>
  <c r="G111" i="4" a="1"/>
  <c r="C43" i="4" a="1"/>
  <c r="G158" i="4" a="1"/>
  <c r="E83" i="4" a="1"/>
  <c r="D52" i="4" a="1"/>
  <c r="D2" i="4" a="1"/>
  <c r="D96" i="4" a="1"/>
  <c r="D51" i="4" a="1"/>
  <c r="E124" i="4" a="1"/>
  <c r="D69" i="4" a="1"/>
  <c r="C81" i="4" a="1"/>
  <c r="D134" i="4" a="1"/>
  <c r="D204" i="4" a="1"/>
  <c r="E155" i="4" a="1"/>
  <c r="D201" i="4" a="1"/>
  <c r="C198" i="4" a="1"/>
  <c r="C164" i="4" a="1"/>
  <c r="E72" i="4" a="1"/>
  <c r="G202" i="4" a="1"/>
  <c r="G149" i="4" a="1"/>
  <c r="E19" i="4" a="1"/>
  <c r="C57" i="4" a="1"/>
  <c r="E196" i="4" a="1"/>
  <c r="G180" i="4" a="1"/>
  <c r="G144" i="4" a="1"/>
  <c r="G17" i="4" a="1"/>
  <c r="C5" i="4" a="1"/>
  <c r="E34" i="4" a="1"/>
  <c r="G71" i="4" a="1"/>
  <c r="E62" i="4" a="1"/>
  <c r="D55" i="4" a="1"/>
  <c r="C13" i="4" a="1"/>
  <c r="E16" i="4" a="1"/>
  <c r="C153" i="4" a="1"/>
  <c r="E25" i="4" a="1"/>
  <c r="E191" i="4" a="1"/>
  <c r="D82" i="4" a="1"/>
  <c r="D171" i="4" a="1"/>
  <c r="D73" i="4" a="1"/>
  <c r="G178" i="4" a="1"/>
  <c r="E142" i="4" a="1"/>
  <c r="E80" i="4" a="1"/>
  <c r="D57" i="4" a="1"/>
  <c r="G21" i="4" a="1"/>
  <c r="G94" i="4" a="1"/>
  <c r="D149" i="4" a="1"/>
  <c r="D141" i="4" a="1"/>
  <c r="G6" i="4" a="1"/>
  <c r="C51" i="4" a="1"/>
  <c r="D74" i="4" a="1"/>
  <c r="C202" i="4" a="1"/>
  <c r="E93" i="4" a="1"/>
  <c r="C190" i="4" a="1"/>
  <c r="C203" i="4" a="1"/>
  <c r="D101" i="4" a="1"/>
  <c r="D46" i="4" a="1"/>
  <c r="E11" i="4" a="1"/>
  <c r="G59" i="4" a="1"/>
  <c r="E192" i="4" a="1"/>
  <c r="G196" i="4" a="1"/>
  <c r="E7" i="4" a="1"/>
  <c r="E54" i="4" a="1"/>
  <c r="D180" i="4" a="1"/>
  <c r="D157" i="4" a="1"/>
  <c r="E122" i="4" a="1"/>
  <c r="E159" i="4" a="1"/>
  <c r="G34" i="4" a="1"/>
  <c r="D147" i="4" a="1"/>
  <c r="C37" i="4" a="1"/>
  <c r="G209" i="4" a="1"/>
  <c r="D18" i="4" a="1"/>
  <c r="E112" i="4" a="1"/>
  <c r="D44" i="4" a="1"/>
  <c r="C163" i="4" a="1"/>
  <c r="D138" i="4" a="1"/>
  <c r="E211" i="4" a="1"/>
  <c r="C212" i="4" a="1"/>
  <c r="D169" i="4" a="1"/>
  <c r="C22" i="4" a="1"/>
  <c r="E141" i="4" a="1"/>
  <c r="G92" i="4" a="1"/>
  <c r="C140" i="4" a="1"/>
  <c r="C158" i="4" a="1"/>
  <c r="C98" i="4" a="1"/>
  <c r="D124" i="4" a="1"/>
  <c r="E79" i="4" a="1"/>
  <c r="G130" i="4" a="1"/>
  <c r="E10" i="4" a="1"/>
  <c r="D211" i="4" a="1"/>
  <c r="D153" i="4" a="1"/>
  <c r="D62" i="4" a="1"/>
  <c r="G123" i="4" a="1"/>
  <c r="C134" i="4" a="1"/>
  <c r="C40" i="4" a="1"/>
  <c r="E97" i="4" a="1"/>
  <c r="D155" i="4" a="1"/>
  <c r="C123" i="4" a="1"/>
  <c r="G49" i="4" a="1"/>
  <c r="G74" i="4" a="1"/>
  <c r="G193" i="4" a="1"/>
  <c r="D92" i="4" a="1"/>
  <c r="D20" i="4" a="1"/>
  <c r="G95" i="4" a="1"/>
  <c r="D32" i="4" a="1"/>
  <c r="D127" i="4" a="1"/>
  <c r="C210" i="4" a="1"/>
  <c r="G2" i="4" a="1"/>
  <c r="C4" i="4" a="1"/>
  <c r="D58" i="4" a="1"/>
  <c r="E203" i="4" a="1"/>
  <c r="E203" i="4" l="1"/>
  <c r="D58" i="4"/>
  <c r="C4" i="4"/>
  <c r="G2" i="4"/>
  <c r="C210" i="4"/>
  <c r="D127" i="4"/>
  <c r="D32" i="4"/>
  <c r="G95" i="4"/>
  <c r="D20" i="4"/>
  <c r="D92" i="4"/>
  <c r="G193" i="4"/>
  <c r="G74" i="4"/>
  <c r="G49" i="4"/>
  <c r="C123" i="4"/>
  <c r="D155" i="4"/>
  <c r="E97" i="4"/>
  <c r="C40" i="4"/>
  <c r="C134" i="4"/>
  <c r="G123" i="4"/>
  <c r="D62" i="4"/>
  <c r="D153" i="4"/>
  <c r="D211" i="4"/>
  <c r="E10" i="4"/>
  <c r="G130" i="4"/>
  <c r="E79" i="4"/>
  <c r="D124" i="4"/>
  <c r="C98" i="4"/>
  <c r="C158" i="4"/>
  <c r="C140" i="4"/>
  <c r="G92" i="4"/>
  <c r="E141" i="4"/>
  <c r="C22" i="4"/>
  <c r="D169" i="4"/>
  <c r="C212" i="4"/>
  <c r="E211" i="4"/>
  <c r="D138" i="4"/>
  <c r="C163" i="4"/>
  <c r="D44" i="4"/>
  <c r="E112" i="4"/>
  <c r="D18" i="4"/>
  <c r="G209" i="4"/>
  <c r="C37" i="4"/>
  <c r="D147" i="4"/>
  <c r="G34" i="4"/>
  <c r="E159" i="4"/>
  <c r="E122" i="4"/>
  <c r="D157" i="4"/>
  <c r="D180" i="4"/>
  <c r="E54" i="4"/>
  <c r="E7" i="4"/>
  <c r="G196" i="4"/>
  <c r="E192" i="4"/>
  <c r="G59" i="4"/>
  <c r="E11" i="4"/>
  <c r="D46" i="4"/>
  <c r="D101" i="4"/>
  <c r="C203" i="4"/>
  <c r="C190" i="4"/>
  <c r="E93" i="4"/>
  <c r="C202" i="4"/>
  <c r="D74" i="4"/>
  <c r="C51" i="4"/>
  <c r="G6" i="4"/>
  <c r="D141" i="4"/>
  <c r="D149" i="4"/>
  <c r="G94" i="4"/>
  <c r="G21" i="4"/>
  <c r="D57" i="4"/>
  <c r="E80" i="4"/>
  <c r="E142" i="4"/>
  <c r="G178" i="4"/>
  <c r="D73" i="4"/>
  <c r="D171" i="4"/>
  <c r="D82" i="4"/>
  <c r="E191" i="4"/>
  <c r="E25" i="4"/>
  <c r="C153" i="4"/>
  <c r="E16" i="4"/>
  <c r="C13" i="4"/>
  <c r="D55" i="4"/>
  <c r="E62" i="4"/>
  <c r="G71" i="4"/>
  <c r="E34" i="4"/>
  <c r="C5" i="4"/>
  <c r="G17" i="4"/>
  <c r="G144" i="4"/>
  <c r="G180" i="4"/>
  <c r="E196" i="4"/>
  <c r="C57" i="4"/>
  <c r="E19" i="4"/>
  <c r="G149" i="4"/>
  <c r="G202" i="4"/>
  <c r="E72" i="4"/>
  <c r="C164" i="4"/>
  <c r="C198" i="4"/>
  <c r="D201" i="4"/>
  <c r="E155" i="4"/>
  <c r="D204" i="4"/>
  <c r="D134" i="4"/>
  <c r="C81" i="4"/>
  <c r="D69" i="4"/>
  <c r="E124" i="4"/>
  <c r="D51" i="4"/>
  <c r="D96" i="4"/>
  <c r="D2" i="4"/>
  <c r="D52" i="4"/>
  <c r="E83" i="4"/>
  <c r="G158" i="4"/>
  <c r="C43" i="4"/>
  <c r="G111" i="4"/>
  <c r="G98" i="4"/>
  <c r="E166" i="4"/>
  <c r="D117" i="4"/>
  <c r="C16" i="4"/>
  <c r="C87" i="4"/>
  <c r="D6" i="4"/>
  <c r="G82" i="4"/>
  <c r="G121" i="4"/>
  <c r="G165" i="4"/>
  <c r="E111" i="4"/>
  <c r="E37" i="4"/>
  <c r="D70" i="4"/>
  <c r="D4" i="4"/>
  <c r="C209" i="4"/>
  <c r="G119" i="4"/>
  <c r="E137" i="4"/>
  <c r="E127" i="4"/>
  <c r="G160" i="4"/>
  <c r="D118" i="4"/>
  <c r="D30" i="4"/>
  <c r="E6" i="4"/>
  <c r="D179" i="4"/>
  <c r="E68" i="4"/>
  <c r="G70" i="4"/>
  <c r="D187" i="4"/>
  <c r="C201" i="4"/>
  <c r="D123" i="4"/>
  <c r="G210" i="4"/>
  <c r="C79" i="4"/>
  <c r="G7" i="4"/>
  <c r="D93" i="4"/>
  <c r="C47" i="4"/>
  <c r="E61" i="4"/>
  <c r="G113" i="4"/>
  <c r="E35" i="4"/>
  <c r="E144" i="4"/>
  <c r="E187" i="4"/>
  <c r="C180" i="4"/>
  <c r="D34" i="4"/>
  <c r="E204" i="4"/>
  <c r="G143" i="4"/>
  <c r="E27" i="4"/>
  <c r="E2" i="4"/>
  <c r="D166" i="4"/>
  <c r="C142" i="4"/>
  <c r="D16" i="4"/>
  <c r="D3" i="4"/>
  <c r="E110" i="4"/>
  <c r="C152" i="4"/>
  <c r="C160" i="4"/>
  <c r="C131" i="4"/>
  <c r="D148" i="4"/>
  <c r="D120" i="4"/>
  <c r="E65" i="4"/>
  <c r="G76" i="4"/>
  <c r="G69" i="4"/>
  <c r="C184" i="4"/>
  <c r="D142" i="4"/>
  <c r="D75" i="4"/>
  <c r="G52" i="4"/>
  <c r="D143" i="4"/>
  <c r="D11" i="4"/>
  <c r="C121" i="4"/>
  <c r="D164" i="4"/>
  <c r="C9" i="4"/>
  <c r="C69" i="4"/>
  <c r="G211" i="4"/>
  <c r="D121" i="4"/>
  <c r="G99" i="4"/>
  <c r="C29" i="4"/>
  <c r="G45" i="4"/>
  <c r="C84" i="4"/>
  <c r="C138" i="4"/>
  <c r="C7" i="4"/>
  <c r="G19" i="4"/>
  <c r="E59" i="4"/>
  <c r="G42" i="4"/>
  <c r="E15" i="4"/>
  <c r="C172" i="4"/>
  <c r="G186" i="4"/>
  <c r="D186" i="4"/>
  <c r="C76" i="4"/>
  <c r="E181" i="4"/>
  <c r="D77" i="4"/>
  <c r="D108" i="4"/>
  <c r="E169" i="4"/>
  <c r="D72" i="4"/>
  <c r="D183" i="4"/>
  <c r="D150" i="4"/>
  <c r="D8" i="4"/>
  <c r="G171" i="4"/>
  <c r="D197" i="4"/>
  <c r="G152" i="4"/>
  <c r="E184" i="4"/>
  <c r="G33" i="4"/>
  <c r="C28" i="4"/>
  <c r="G157" i="4"/>
  <c r="D146" i="4"/>
  <c r="D112" i="4"/>
  <c r="C179" i="4"/>
  <c r="D191" i="4"/>
  <c r="D71" i="4"/>
  <c r="G56" i="4"/>
  <c r="C65" i="4"/>
  <c r="C52" i="4"/>
  <c r="C105" i="4"/>
  <c r="G147" i="4"/>
  <c r="D83" i="4"/>
  <c r="G18" i="4"/>
  <c r="G54" i="4"/>
  <c r="G68" i="4"/>
  <c r="G80" i="4"/>
  <c r="D172" i="4"/>
  <c r="E200" i="4"/>
  <c r="C20" i="4"/>
  <c r="C115" i="4"/>
  <c r="G163" i="4"/>
  <c r="C44" i="4"/>
  <c r="D80" i="4"/>
  <c r="E157" i="4"/>
  <c r="E128" i="4"/>
  <c r="D33" i="4"/>
  <c r="E143" i="4"/>
  <c r="E89" i="4"/>
  <c r="E173" i="4"/>
  <c r="C205" i="4"/>
  <c r="G40" i="4"/>
  <c r="E121" i="4"/>
  <c r="C136" i="4"/>
  <c r="G73" i="4"/>
  <c r="G110" i="4"/>
  <c r="C193" i="4"/>
  <c r="G100" i="4"/>
  <c r="G177" i="4"/>
  <c r="C6" i="4"/>
  <c r="D184" i="4"/>
  <c r="E154" i="4"/>
  <c r="G77" i="4"/>
  <c r="G81" i="4"/>
  <c r="C50" i="4"/>
  <c r="E66" i="4"/>
  <c r="G128" i="4"/>
  <c r="G104" i="4"/>
  <c r="G207" i="4"/>
  <c r="D137" i="4"/>
  <c r="C94" i="4"/>
  <c r="C155" i="4"/>
  <c r="D160" i="4"/>
  <c r="E180" i="4"/>
  <c r="E205" i="4"/>
  <c r="D198" i="4"/>
  <c r="G114" i="4"/>
  <c r="G206" i="4"/>
  <c r="G156" i="4"/>
  <c r="G198" i="4"/>
  <c r="G55" i="4"/>
  <c r="D209" i="4"/>
  <c r="E162" i="4"/>
  <c r="C116" i="4"/>
  <c r="C177" i="4"/>
  <c r="G63" i="4"/>
  <c r="C111" i="4"/>
  <c r="D87" i="4"/>
  <c r="G86" i="4"/>
  <c r="C85" i="4"/>
  <c r="C128" i="4"/>
  <c r="E138" i="4"/>
  <c r="E77" i="4"/>
  <c r="D158" i="4"/>
  <c r="E164" i="4"/>
  <c r="C91" i="4"/>
  <c r="D50" i="4"/>
  <c r="C109" i="4"/>
  <c r="C127" i="4"/>
  <c r="D88" i="4"/>
  <c r="E174" i="4"/>
  <c r="D195" i="4"/>
  <c r="E209" i="4"/>
  <c r="D173" i="4"/>
  <c r="G35" i="4"/>
  <c r="E32" i="4"/>
  <c r="E116" i="4"/>
  <c r="E152" i="4"/>
  <c r="D207" i="4"/>
  <c r="E115" i="4"/>
  <c r="E165" i="4"/>
  <c r="E49" i="4"/>
  <c r="E73" i="4"/>
  <c r="G61" i="4"/>
  <c r="C56" i="4"/>
  <c r="E56" i="4"/>
  <c r="G106" i="4"/>
  <c r="E120" i="4"/>
  <c r="E202" i="4"/>
  <c r="E74" i="4"/>
  <c r="E100" i="4"/>
  <c r="G37" i="4"/>
  <c r="D91" i="4"/>
  <c r="C71" i="4"/>
  <c r="G208" i="4"/>
  <c r="D114" i="4"/>
  <c r="C8" i="4"/>
  <c r="C175" i="4"/>
  <c r="C21" i="4"/>
  <c r="D19" i="4"/>
  <c r="C68" i="4"/>
  <c r="E123" i="4"/>
  <c r="G14" i="4"/>
  <c r="G188" i="4"/>
  <c r="C195" i="4"/>
  <c r="E28" i="4"/>
  <c r="C90" i="4"/>
  <c r="D181" i="4"/>
  <c r="G31" i="4"/>
  <c r="E108" i="4"/>
  <c r="G58" i="4"/>
  <c r="C42" i="4"/>
  <c r="C3" i="4"/>
  <c r="E160" i="4"/>
  <c r="C35" i="4"/>
  <c r="G96" i="4"/>
  <c r="C106" i="4"/>
  <c r="C197" i="4"/>
  <c r="E129" i="4"/>
  <c r="G195" i="4"/>
  <c r="G175" i="4"/>
  <c r="E36" i="4"/>
  <c r="C162" i="4"/>
  <c r="G192" i="4"/>
  <c r="D212" i="4"/>
  <c r="E95" i="4"/>
  <c r="G93" i="4"/>
  <c r="G91" i="4"/>
  <c r="D189" i="4"/>
  <c r="G87" i="4"/>
  <c r="D176" i="4"/>
  <c r="E145" i="4"/>
  <c r="D40" i="4"/>
  <c r="G170" i="4"/>
  <c r="E84" i="4"/>
  <c r="D17" i="4"/>
  <c r="C186" i="4"/>
  <c r="D174" i="4"/>
  <c r="E170" i="4"/>
  <c r="G189" i="4"/>
  <c r="G85" i="4"/>
  <c r="E85" i="4"/>
  <c r="E161" i="4"/>
  <c r="D190" i="4"/>
  <c r="E132" i="4"/>
  <c r="G132" i="4"/>
  <c r="G176" i="4"/>
  <c r="G105" i="4"/>
  <c r="E71" i="4"/>
  <c r="E140" i="4"/>
  <c r="E75" i="4"/>
  <c r="G67" i="4"/>
  <c r="D192" i="4"/>
  <c r="G166" i="4"/>
  <c r="D105" i="4"/>
  <c r="G133" i="4"/>
  <c r="G194" i="4"/>
  <c r="D78" i="4"/>
  <c r="G140" i="4"/>
  <c r="D210" i="4"/>
  <c r="D94" i="4"/>
  <c r="C49" i="4"/>
  <c r="E126" i="4"/>
  <c r="C166" i="4"/>
  <c r="D98" i="4"/>
  <c r="E9" i="4"/>
  <c r="E135" i="4"/>
  <c r="C107" i="4"/>
  <c r="E31" i="4"/>
  <c r="E30" i="4"/>
  <c r="D59" i="4"/>
  <c r="C82" i="4"/>
  <c r="E86" i="4"/>
  <c r="E153" i="4"/>
  <c r="E163" i="4"/>
  <c r="C110" i="4"/>
  <c r="E18" i="4"/>
  <c r="C26" i="4"/>
  <c r="G46" i="4"/>
  <c r="D136" i="4"/>
  <c r="C125" i="4"/>
  <c r="G151" i="4"/>
  <c r="D116" i="4"/>
  <c r="E3" i="4"/>
  <c r="G28" i="4"/>
  <c r="G107" i="4"/>
  <c r="D26" i="4"/>
  <c r="D159" i="4"/>
  <c r="E210" i="4"/>
  <c r="G64" i="4"/>
  <c r="E98" i="4"/>
  <c r="E17" i="4"/>
  <c r="D23" i="4"/>
  <c r="D119" i="4"/>
  <c r="E183" i="4"/>
  <c r="D68" i="4"/>
  <c r="D64" i="4"/>
  <c r="G79" i="4"/>
  <c r="E193" i="4"/>
  <c r="G199" i="4"/>
  <c r="C126" i="4"/>
  <c r="C130" i="4"/>
  <c r="C141" i="4"/>
  <c r="G142" i="4"/>
  <c r="G84" i="4"/>
  <c r="D42" i="4"/>
  <c r="C55" i="4"/>
  <c r="C171" i="4"/>
  <c r="D206" i="4"/>
  <c r="C192" i="4"/>
  <c r="E96" i="4"/>
  <c r="G25" i="4"/>
  <c r="D161" i="4"/>
  <c r="E151" i="4"/>
  <c r="G173" i="4"/>
  <c r="C33" i="4"/>
  <c r="C117" i="4"/>
  <c r="E158" i="4"/>
  <c r="G3" i="4"/>
  <c r="C176" i="4"/>
  <c r="C208" i="4"/>
  <c r="D47" i="4"/>
  <c r="G185" i="4"/>
  <c r="C63" i="4"/>
  <c r="E179" i="4"/>
  <c r="E106" i="4"/>
  <c r="D163" i="4"/>
  <c r="C97" i="4"/>
  <c r="C36" i="4"/>
  <c r="E103" i="4"/>
  <c r="C27" i="4"/>
  <c r="D106" i="4"/>
  <c r="E21" i="4"/>
  <c r="E188" i="4"/>
  <c r="G103" i="4"/>
  <c r="G112" i="4"/>
  <c r="G43" i="4"/>
  <c r="D61" i="4"/>
  <c r="C120" i="4"/>
  <c r="E45" i="4"/>
  <c r="C80" i="4"/>
  <c r="D175" i="4"/>
  <c r="C159" i="4"/>
  <c r="C100" i="4"/>
  <c r="G141" i="4"/>
  <c r="C72" i="4"/>
  <c r="D10" i="4"/>
  <c r="D203" i="4"/>
  <c r="E131" i="4"/>
  <c r="G41" i="4"/>
  <c r="D14" i="4"/>
  <c r="C185" i="4"/>
  <c r="E118" i="4"/>
  <c r="D162" i="4"/>
  <c r="D45" i="4"/>
  <c r="C34" i="4"/>
  <c r="E88" i="4"/>
  <c r="D132" i="4"/>
  <c r="D131" i="4"/>
  <c r="G44" i="4"/>
  <c r="E57" i="4"/>
  <c r="C154" i="4"/>
  <c r="E8" i="4"/>
  <c r="E90" i="4"/>
  <c r="G38" i="4"/>
  <c r="D21" i="4"/>
  <c r="D103" i="4"/>
  <c r="E26" i="4"/>
  <c r="E207" i="4"/>
  <c r="D97" i="4"/>
  <c r="D86" i="4"/>
  <c r="C124" i="4"/>
  <c r="D60" i="4"/>
  <c r="C194" i="4"/>
  <c r="G36" i="4"/>
  <c r="C83" i="4"/>
  <c r="C30" i="4"/>
  <c r="G83" i="4"/>
  <c r="E149" i="4"/>
  <c r="C17" i="4"/>
  <c r="G4" i="4"/>
  <c r="D130" i="4"/>
  <c r="E105" i="4"/>
  <c r="G164" i="4"/>
  <c r="E67" i="4"/>
  <c r="C191" i="4"/>
  <c r="E134" i="4"/>
  <c r="C113" i="4"/>
  <c r="E64" i="4"/>
  <c r="G184" i="4"/>
  <c r="D128" i="4"/>
  <c r="G23" i="4"/>
  <c r="C46" i="4"/>
  <c r="D31" i="4"/>
  <c r="E33" i="4"/>
  <c r="E136" i="4"/>
  <c r="G146" i="4"/>
  <c r="E172" i="4"/>
  <c r="D125" i="4"/>
  <c r="C204" i="4"/>
  <c r="E148" i="4"/>
  <c r="D25" i="4"/>
  <c r="C170" i="4"/>
  <c r="C64" i="4"/>
  <c r="G75" i="4"/>
  <c r="C147" i="4"/>
  <c r="D43" i="4"/>
  <c r="C169" i="4"/>
  <c r="E190" i="4"/>
  <c r="E78" i="4"/>
  <c r="E41" i="4"/>
  <c r="C25" i="4"/>
  <c r="G162" i="4"/>
  <c r="G30" i="4"/>
  <c r="E113" i="4"/>
  <c r="C61" i="4"/>
  <c r="G154" i="4"/>
  <c r="E167" i="4"/>
  <c r="D54" i="4"/>
  <c r="D135" i="4"/>
  <c r="C18" i="4"/>
  <c r="C119" i="4"/>
  <c r="E51" i="4"/>
  <c r="E156" i="4"/>
  <c r="G53" i="4"/>
  <c r="G11" i="4"/>
  <c r="D65" i="4"/>
  <c r="D110" i="4"/>
  <c r="G167" i="4"/>
  <c r="C54" i="4"/>
  <c r="E92" i="4"/>
  <c r="G24" i="4"/>
  <c r="E20" i="4"/>
  <c r="G47" i="4"/>
  <c r="G203" i="4"/>
  <c r="C168" i="4"/>
  <c r="E177" i="4"/>
  <c r="C182" i="4"/>
  <c r="C132" i="4"/>
  <c r="G155" i="4"/>
  <c r="D196" i="4"/>
  <c r="G131" i="4"/>
  <c r="E171" i="4"/>
  <c r="D115" i="4"/>
  <c r="C143" i="4"/>
  <c r="G48" i="4"/>
  <c r="D154" i="4"/>
  <c r="C99" i="4"/>
  <c r="D111" i="4"/>
  <c r="C139" i="4"/>
  <c r="C104" i="4"/>
  <c r="G161" i="4"/>
  <c r="G124" i="4"/>
  <c r="G16" i="4"/>
  <c r="E81" i="4"/>
  <c r="D199" i="4"/>
  <c r="D165" i="4"/>
  <c r="G197" i="4"/>
  <c r="E101" i="4"/>
  <c r="C62" i="4"/>
  <c r="G134" i="4"/>
  <c r="E60" i="4"/>
  <c r="E38" i="4"/>
  <c r="D156" i="4"/>
  <c r="C167" i="4"/>
  <c r="C174" i="4"/>
  <c r="G127" i="4"/>
  <c r="G204" i="4"/>
  <c r="E195" i="4"/>
  <c r="C189" i="4"/>
  <c r="D81" i="4"/>
  <c r="D208" i="4"/>
  <c r="D41" i="4"/>
  <c r="C19" i="4"/>
  <c r="D122" i="4"/>
  <c r="G172" i="4"/>
  <c r="C146" i="4"/>
  <c r="D113" i="4"/>
  <c r="E150" i="4"/>
  <c r="D126" i="4"/>
  <c r="C78" i="4"/>
  <c r="E185" i="4"/>
  <c r="G32" i="4"/>
  <c r="C112" i="4"/>
  <c r="E201" i="4"/>
  <c r="G72" i="4"/>
  <c r="E53" i="4"/>
  <c r="G120" i="4"/>
  <c r="D5" i="4"/>
  <c r="G150" i="4"/>
  <c r="E104" i="4"/>
  <c r="E39" i="4"/>
  <c r="C15" i="4"/>
  <c r="C200" i="4"/>
  <c r="D152" i="4"/>
  <c r="C207" i="4"/>
  <c r="E117" i="4"/>
  <c r="C135" i="4"/>
  <c r="G179" i="4"/>
  <c r="E94" i="4"/>
  <c r="C11" i="4"/>
  <c r="E107" i="4"/>
  <c r="G137" i="4"/>
  <c r="G139" i="4"/>
  <c r="G117" i="4"/>
  <c r="C161" i="4"/>
  <c r="C14" i="4"/>
  <c r="G65" i="4"/>
  <c r="G108" i="4"/>
  <c r="C102" i="4"/>
  <c r="E102" i="4"/>
  <c r="D28" i="4"/>
  <c r="D24" i="4"/>
  <c r="E52" i="4"/>
  <c r="G115" i="4"/>
  <c r="G205" i="4"/>
  <c r="D22" i="4"/>
  <c r="G9" i="4"/>
  <c r="C31" i="4"/>
  <c r="D129" i="4"/>
  <c r="C206" i="4"/>
  <c r="D38" i="4"/>
  <c r="C188" i="4"/>
  <c r="C12" i="4"/>
  <c r="D193" i="4"/>
  <c r="C60" i="4"/>
  <c r="G20" i="4"/>
  <c r="E130" i="4"/>
  <c r="G169" i="4"/>
  <c r="G101" i="4"/>
  <c r="E42" i="4"/>
  <c r="D53" i="4"/>
  <c r="D49" i="4"/>
  <c r="E76" i="4"/>
  <c r="G50" i="4"/>
  <c r="G200" i="4"/>
  <c r="G39" i="4"/>
  <c r="D15" i="4"/>
  <c r="G51" i="4"/>
  <c r="C145" i="4"/>
  <c r="E87" i="4"/>
  <c r="E40" i="4"/>
  <c r="D76" i="4"/>
  <c r="C183" i="4"/>
  <c r="E4" i="4"/>
  <c r="E109" i="4"/>
  <c r="D202" i="4"/>
  <c r="D168" i="4"/>
  <c r="D39" i="4"/>
  <c r="G138" i="4"/>
  <c r="C2" i="4"/>
  <c r="C24" i="4"/>
  <c r="G66" i="4"/>
  <c r="C199" i="4"/>
  <c r="E48" i="4"/>
  <c r="E22" i="4"/>
  <c r="G191" i="4"/>
  <c r="E47" i="4"/>
  <c r="C58" i="4"/>
  <c r="E197" i="4"/>
  <c r="D151" i="4"/>
  <c r="G22" i="4"/>
  <c r="D12" i="4"/>
  <c r="D188" i="4"/>
  <c r="G89" i="4"/>
  <c r="C187" i="4"/>
  <c r="D109" i="4"/>
  <c r="D170" i="4"/>
  <c r="D200" i="4"/>
  <c r="C151" i="4"/>
  <c r="D100" i="4"/>
  <c r="C53" i="4"/>
  <c r="D63" i="4"/>
  <c r="C173" i="4"/>
  <c r="D104" i="4"/>
  <c r="E178" i="4"/>
  <c r="C149" i="4"/>
  <c r="D178" i="4"/>
  <c r="E199" i="4"/>
  <c r="G10" i="4"/>
  <c r="E119" i="4"/>
  <c r="C114" i="4"/>
  <c r="C74" i="4"/>
  <c r="D7" i="4"/>
  <c r="C92" i="4"/>
  <c r="G174" i="4"/>
  <c r="C148" i="4"/>
  <c r="G190" i="4"/>
  <c r="D139" i="4"/>
  <c r="D145" i="4"/>
  <c r="D66" i="4"/>
  <c r="C32" i="4"/>
  <c r="D37" i="4"/>
  <c r="D13" i="4"/>
  <c r="E176" i="4"/>
  <c r="C101" i="4"/>
  <c r="G187" i="4"/>
  <c r="D102" i="4"/>
  <c r="D9" i="4"/>
  <c r="D27" i="4"/>
  <c r="E12" i="4"/>
  <c r="E58" i="4"/>
  <c r="C118" i="4"/>
  <c r="C41" i="4"/>
  <c r="D48" i="4"/>
  <c r="D79" i="4"/>
  <c r="E70" i="4"/>
  <c r="C103" i="4"/>
  <c r="C211" i="4"/>
  <c r="E91" i="4"/>
  <c r="G62" i="4"/>
  <c r="E182" i="4"/>
  <c r="D67" i="4"/>
  <c r="E13" i="4"/>
  <c r="E44" i="4"/>
  <c r="E212" i="4"/>
  <c r="D182" i="4"/>
  <c r="D205" i="4"/>
  <c r="C86" i="4"/>
  <c r="C156" i="4"/>
  <c r="E206" i="4"/>
  <c r="G201" i="4"/>
  <c r="C150" i="4"/>
  <c r="G102" i="4"/>
  <c r="C181" i="4"/>
  <c r="D90" i="4"/>
  <c r="E99" i="4"/>
  <c r="C178" i="4"/>
  <c r="D89" i="4"/>
  <c r="G118" i="4"/>
  <c r="D85" i="4"/>
  <c r="D144" i="4"/>
  <c r="C137" i="4"/>
  <c r="E189" i="4"/>
  <c r="C38" i="4"/>
  <c r="C70" i="4"/>
  <c r="E146" i="4"/>
  <c r="G212" i="4"/>
  <c r="C75" i="4"/>
  <c r="E63" i="4"/>
  <c r="C108" i="4"/>
  <c r="G153" i="4"/>
  <c r="G78" i="4"/>
  <c r="D140" i="4"/>
  <c r="D194" i="4"/>
  <c r="C73" i="4"/>
  <c r="G15" i="4"/>
  <c r="G116" i="4"/>
  <c r="C196" i="4"/>
  <c r="E133" i="4"/>
  <c r="C95" i="4"/>
  <c r="E50" i="4"/>
  <c r="E55" i="4"/>
  <c r="G88" i="4"/>
  <c r="G60" i="4"/>
  <c r="E23" i="4"/>
  <c r="E82" i="4"/>
  <c r="G129" i="4"/>
  <c r="G5" i="4"/>
  <c r="G159" i="4"/>
  <c r="E194" i="4"/>
  <c r="G181" i="4"/>
  <c r="D56" i="4"/>
  <c r="C129" i="4"/>
  <c r="C77" i="4"/>
  <c r="E5" i="4"/>
  <c r="G97" i="4"/>
  <c r="G183" i="4"/>
  <c r="G182" i="4"/>
  <c r="G12" i="4"/>
  <c r="C96" i="4"/>
  <c r="E198" i="4"/>
  <c r="G26" i="4"/>
  <c r="G125" i="4"/>
  <c r="C89" i="4"/>
  <c r="C66" i="4"/>
  <c r="D167" i="4"/>
  <c r="D29" i="4"/>
  <c r="E175" i="4"/>
  <c r="E125" i="4"/>
  <c r="E29" i="4"/>
  <c r="E69" i="4"/>
  <c r="C10" i="4"/>
  <c r="G57" i="4"/>
  <c r="E43" i="4"/>
  <c r="G126" i="4"/>
  <c r="C48" i="4"/>
  <c r="E147" i="4"/>
  <c r="C59" i="4"/>
  <c r="E139" i="4"/>
  <c r="E14" i="4"/>
  <c r="E186" i="4"/>
  <c r="D177" i="4"/>
  <c r="D35" i="4"/>
  <c r="G145" i="4"/>
  <c r="C39" i="4"/>
  <c r="C23" i="4"/>
  <c r="D84" i="4"/>
  <c r="D107" i="4"/>
  <c r="G13" i="4"/>
  <c r="C144" i="4"/>
  <c r="D99" i="4"/>
  <c r="C157" i="4"/>
  <c r="C45" i="4"/>
  <c r="G8" i="4"/>
  <c r="D133" i="4"/>
  <c r="G109" i="4"/>
  <c r="E46" i="4"/>
  <c r="G135" i="4"/>
  <c r="G27" i="4"/>
  <c r="E168" i="4"/>
  <c r="G29" i="4"/>
  <c r="C122" i="4"/>
  <c r="D36" i="4"/>
  <c r="G122" i="4"/>
  <c r="C165" i="4"/>
  <c r="G136" i="4"/>
  <c r="D95" i="4"/>
  <c r="G90" i="4"/>
  <c r="E114" i="4"/>
  <c r="G148" i="4"/>
  <c r="E208" i="4"/>
  <c r="C67" i="4"/>
  <c r="C93" i="4"/>
  <c r="C133" i="4"/>
  <c r="C88" i="4"/>
  <c r="E24" i="4"/>
  <c r="G168" i="4"/>
  <c r="D185" i="4"/>
  <c r="I203" i="4" a="1"/>
  <c r="I127" i="4" a="1"/>
  <c r="I35" i="4" a="1"/>
  <c r="I173" i="4" a="1"/>
  <c r="I108" i="4" a="1"/>
  <c r="I158" i="4" a="1"/>
  <c r="I60" i="4" a="1"/>
  <c r="I76" i="4" a="1"/>
  <c r="I144" i="4" a="1"/>
  <c r="I65" i="4" a="1"/>
  <c r="I190" i="4" a="1"/>
  <c r="I38" i="4" a="1"/>
  <c r="I70" i="4" a="1"/>
  <c r="I194" i="4" a="1"/>
  <c r="I175" i="4" a="1"/>
  <c r="I112" i="4" a="1"/>
  <c r="I191" i="4" a="1"/>
  <c r="I72" i="4" a="1"/>
  <c r="I187" i="4" a="1"/>
  <c r="I32" i="4" a="1"/>
  <c r="I9" i="4" a="1"/>
  <c r="I3" i="4" a="1"/>
  <c r="I78" i="4" a="1"/>
  <c r="I185" i="4" a="1"/>
  <c r="I94" i="4" a="1"/>
  <c r="I125" i="4" a="1"/>
  <c r="I25" i="4" a="1"/>
  <c r="I166" i="4" a="1"/>
  <c r="I121" i="4" a="1"/>
  <c r="I116" i="4" a="1"/>
  <c r="I71" i="4" a="1"/>
  <c r="I135" i="4" a="1"/>
  <c r="I88" i="4" a="1"/>
  <c r="I41" i="4" a="1"/>
  <c r="I48" i="4" a="1"/>
  <c r="I99" i="4" a="1"/>
  <c r="I29" i="4" a="1"/>
  <c r="I146" i="4" a="1"/>
  <c r="I26" i="4" a="1"/>
  <c r="I10" i="4" a="1"/>
  <c r="I93" i="4" a="1"/>
  <c r="I6" i="4" a="1"/>
  <c r="I152" i="4" a="1"/>
  <c r="I160" i="4" a="1"/>
  <c r="I145" i="4" a="1"/>
  <c r="I140" i="4" a="1"/>
  <c r="I45" i="4" a="1"/>
  <c r="I107" i="4" a="1"/>
  <c r="I22" i="4" a="1"/>
  <c r="I91" i="4" a="1"/>
  <c r="I69" i="4" a="1"/>
  <c r="I16" i="4" a="1"/>
  <c r="I204" i="4" a="1"/>
  <c r="I59" i="4" a="1"/>
  <c r="I184" i="4" a="1"/>
  <c r="I75" i="4" a="1"/>
  <c r="I31" i="4" a="1"/>
  <c r="I33" i="4" a="1"/>
  <c r="I92" i="4" a="1"/>
  <c r="I201" i="4" a="1"/>
  <c r="I79" i="4" a="1"/>
  <c r="I155" i="4" a="1"/>
  <c r="I68" i="4" a="1"/>
  <c r="I180" i="4" a="1"/>
  <c r="I138" i="4" a="1"/>
  <c r="I115" i="4" a="1"/>
  <c r="I30" i="4" a="1"/>
  <c r="I136" i="4" a="1"/>
  <c r="I47" i="4" a="1"/>
  <c r="I178" i="4" a="1"/>
  <c r="I182" i="4" a="1"/>
  <c r="I5" i="4" a="1"/>
  <c r="I114" i="4" a="1"/>
  <c r="I27" i="4" a="1"/>
  <c r="I15" i="4" a="1"/>
  <c r="I200" i="4" a="1"/>
  <c r="I205" i="4" a="1"/>
  <c r="I77" i="4" a="1"/>
  <c r="I165" i="4" a="1"/>
  <c r="I84" i="4" a="1"/>
  <c r="I210" i="4" a="1"/>
  <c r="I179" i="4" a="1"/>
  <c r="I57" i="4" a="1"/>
  <c r="I149" i="4" a="1"/>
  <c r="I113" i="4" a="1"/>
  <c r="I20" i="4" a="1"/>
  <c r="I195" i="4" a="1"/>
  <c r="I53" i="4" a="1"/>
  <c r="I87" i="4" a="1"/>
  <c r="I176" i="4" a="1"/>
  <c r="I43" i="4" a="1"/>
  <c r="I159" i="4" a="1"/>
  <c r="I62" i="4" a="1"/>
  <c r="I49" i="4" a="1"/>
  <c r="I106" i="4" a="1"/>
  <c r="I172" i="4" a="1"/>
  <c r="I40" i="4" a="1"/>
  <c r="I197" i="4" a="1"/>
  <c r="I13" i="4" a="1"/>
  <c r="I133" i="4" a="1"/>
  <c r="I208" i="4" a="1"/>
  <c r="I122" i="4" a="1"/>
  <c r="I164" i="4" a="1"/>
  <c r="I73" i="4" a="1"/>
  <c r="I129" i="4" a="1"/>
  <c r="I86" i="4" a="1"/>
  <c r="I98" i="4" a="1"/>
  <c r="I8" i="4" a="1"/>
  <c r="I199" i="4" a="1"/>
  <c r="I44" i="4" a="1"/>
  <c r="I34" i="4" a="1"/>
  <c r="I123" i="4" a="1"/>
  <c r="I153" i="4" a="1"/>
  <c r="I17" i="4" a="1"/>
  <c r="I90" i="4" a="1"/>
  <c r="I167" i="4" a="1"/>
  <c r="I212" i="4" a="1"/>
  <c r="I189" i="4" a="1"/>
  <c r="I50" i="4" a="1"/>
  <c r="I147" i="4" a="1"/>
  <c r="I124" i="4" a="1"/>
  <c r="I111" i="4" a="1"/>
  <c r="I170" i="4" a="1"/>
  <c r="I163" i="4" a="1"/>
  <c r="I96" i="4" a="1"/>
  <c r="I105" i="4" a="1"/>
  <c r="I148" i="4" a="1"/>
  <c r="I177" i="4" a="1"/>
  <c r="I81" i="4" a="1"/>
  <c r="I104" i="4" a="1"/>
  <c r="I4" i="4" a="1"/>
  <c r="I119" i="4" a="1"/>
  <c r="I55" i="4" a="1"/>
  <c r="I141" i="4" a="1"/>
  <c r="I54" i="4" a="1"/>
  <c r="I37" i="4" a="1"/>
  <c r="I181" i="4" a="1"/>
  <c r="I154" i="4" a="1"/>
  <c r="I56" i="4" a="1"/>
  <c r="I36" i="4" a="1"/>
  <c r="I103" i="4" a="1"/>
  <c r="I39" i="4" a="1"/>
  <c r="I130" i="4" a="1"/>
  <c r="I109" i="4" a="1"/>
  <c r="I198" i="4" a="1"/>
  <c r="I139" i="4" a="1"/>
  <c r="I46" i="4" a="1"/>
  <c r="I7" i="4" a="1"/>
  <c r="I110" i="4" a="1"/>
  <c r="I157" i="4" a="1"/>
  <c r="I18" i="4" a="1"/>
  <c r="I183" i="4" a="1"/>
  <c r="I131" i="4" a="1"/>
  <c r="I67" i="4" a="1"/>
  <c r="I102" i="4" a="1"/>
  <c r="I12" i="4" a="1"/>
  <c r="I14" i="4" a="1"/>
  <c r="I24" i="4" a="1"/>
  <c r="I80" i="4" a="1"/>
  <c r="I128" i="4" a="1"/>
  <c r="I120" i="4" a="1"/>
  <c r="I28" i="4" a="1"/>
  <c r="I85" i="4" a="1"/>
  <c r="I151" i="4" a="1"/>
  <c r="I58" i="4" a="1"/>
  <c r="I23" i="4" a="1"/>
  <c r="I186" i="4" a="1"/>
  <c r="I162" i="4" a="1"/>
  <c r="I174" i="4" a="1"/>
  <c r="I202" i="4" a="1"/>
  <c r="I161" i="4" a="1"/>
  <c r="I21" i="4" a="1"/>
  <c r="I207" i="4" a="1"/>
  <c r="I134" i="4" a="1"/>
  <c r="I51" i="4" a="1"/>
  <c r="I101" i="4" a="1"/>
  <c r="I42" i="4" a="1"/>
  <c r="I206" i="4" a="1"/>
  <c r="I82" i="4" a="1"/>
  <c r="I168" i="4" a="1"/>
  <c r="I211" i="4" a="1"/>
  <c r="I83" i="4" a="1"/>
  <c r="I61" i="4" a="1"/>
  <c r="I143" i="4" a="1"/>
  <c r="I66" i="4" a="1"/>
  <c r="I74" i="4" a="1"/>
  <c r="I95" i="4" a="1"/>
  <c r="I188" i="4" a="1"/>
  <c r="I156" i="4" a="1"/>
  <c r="I63" i="4" a="1"/>
  <c r="I11" i="4" a="1"/>
  <c r="I64" i="4" a="1"/>
  <c r="I97" i="4" a="1"/>
  <c r="I52" i="4" a="1"/>
  <c r="I19" i="4" a="1"/>
  <c r="I137" i="4" a="1"/>
  <c r="I89" i="4" a="1"/>
  <c r="I209" i="4" a="1"/>
  <c r="I100" i="4" a="1"/>
  <c r="I132" i="4" a="1"/>
  <c r="I126" i="4" a="1"/>
  <c r="I193" i="4" a="1"/>
  <c r="I118" i="4" a="1"/>
  <c r="I171" i="4" a="1"/>
  <c r="I150" i="4" a="1"/>
  <c r="I117" i="4" a="1"/>
  <c r="I142" i="4" a="1"/>
  <c r="I196" i="4" a="1"/>
  <c r="I169" i="4" a="1"/>
  <c r="I192" i="4" a="1"/>
  <c r="I2" i="4" a="1"/>
  <c r="Q203" i="4" a="1"/>
  <c r="Q127" i="4" a="1"/>
  <c r="Q35" i="4" a="1"/>
  <c r="Q173" i="4" a="1"/>
  <c r="Q108" i="4" a="1"/>
  <c r="Q158" i="4" a="1"/>
  <c r="Q60" i="4" a="1"/>
  <c r="Q76" i="4" a="1"/>
  <c r="Q190" i="4" a="1"/>
  <c r="Q38" i="4" a="1"/>
  <c r="Q70" i="4" a="1"/>
  <c r="Q194" i="4" a="1"/>
  <c r="Q175" i="4" a="1"/>
  <c r="Q112" i="4" a="1"/>
  <c r="Q191" i="4" a="1"/>
  <c r="Q72" i="4" a="1"/>
  <c r="Q187" i="4" a="1"/>
  <c r="Q32" i="4" a="1"/>
  <c r="Q9" i="4" a="1"/>
  <c r="Q3" i="4" a="1"/>
  <c r="Q78" i="4" a="1"/>
  <c r="Q185" i="4" a="1"/>
  <c r="Q94" i="4" a="1"/>
  <c r="Q125" i="4" a="1"/>
  <c r="Q25" i="4" a="1"/>
  <c r="Q166" i="4" a="1"/>
  <c r="Q121" i="4" a="1"/>
  <c r="Q116" i="4" a="1"/>
  <c r="Q71" i="4" a="1"/>
  <c r="Q135" i="4" a="1"/>
  <c r="Q88" i="4" a="1"/>
  <c r="Q41" i="4" a="1"/>
  <c r="Q48" i="4" a="1"/>
  <c r="Q99" i="4" a="1"/>
  <c r="Q29" i="4" a="1"/>
  <c r="Q103" i="4" a="1"/>
  <c r="Q139" i="4" a="1"/>
  <c r="Q7" i="4" a="1"/>
  <c r="Q110" i="4" a="1"/>
  <c r="Q157" i="4" a="1"/>
  <c r="Q183" i="4" a="1"/>
  <c r="Q102" i="4" a="1"/>
  <c r="Q24" i="4" a="1"/>
  <c r="Q80" i="4" a="1"/>
  <c r="Q128" i="4" a="1"/>
  <c r="Q120" i="4" a="1"/>
  <c r="Q28" i="4" a="1"/>
  <c r="Q85" i="4" a="1"/>
  <c r="Q26" i="4" a="1"/>
  <c r="Q58" i="4" a="1"/>
  <c r="Q23" i="4" a="1"/>
  <c r="Q186" i="4" a="1"/>
  <c r="Q97" i="4" a="1"/>
  <c r="Q161" i="4" a="1"/>
  <c r="Q42" i="4" a="1"/>
  <c r="Q211" i="4" a="1"/>
  <c r="Q83" i="4" a="1"/>
  <c r="Q61" i="4" a="1"/>
  <c r="Q143" i="4" a="1"/>
  <c r="Q66" i="4" a="1"/>
  <c r="Q74" i="4" a="1"/>
  <c r="Q188" i="4" a="1"/>
  <c r="Q156" i="4" a="1"/>
  <c r="Q52" i="4" a="1"/>
  <c r="Q63" i="4" a="1"/>
  <c r="Q11" i="4" a="1"/>
  <c r="Q19" i="4" a="1"/>
  <c r="Q137" i="4" a="1"/>
  <c r="Q89" i="4" a="1"/>
  <c r="Q100" i="4" a="1"/>
  <c r="Q126" i="4" a="1"/>
  <c r="Q118" i="4" a="1"/>
  <c r="Q144" i="4" a="1"/>
  <c r="Q65" i="4" a="1"/>
  <c r="Q10" i="4" a="1"/>
  <c r="Q93" i="4" a="1"/>
  <c r="Q6" i="4" a="1"/>
  <c r="Q152" i="4" a="1"/>
  <c r="Q160" i="4" a="1"/>
  <c r="Q145" i="4" a="1"/>
  <c r="Q140" i="4" a="1"/>
  <c r="Q45" i="4" a="1"/>
  <c r="Q107" i="4" a="1"/>
  <c r="Q22" i="4" a="1"/>
  <c r="Q91" i="4" a="1"/>
  <c r="Q69" i="4" a="1"/>
  <c r="Q16" i="4" a="1"/>
  <c r="Q204" i="4" a="1"/>
  <c r="Q59" i="4" a="1"/>
  <c r="Q184" i="4" a="1"/>
  <c r="Q75" i="4" a="1"/>
  <c r="Q31" i="4" a="1"/>
  <c r="Q33" i="4" a="1"/>
  <c r="Q92" i="4" a="1"/>
  <c r="Q201" i="4" a="1"/>
  <c r="Q79" i="4" a="1"/>
  <c r="Q155" i="4" a="1"/>
  <c r="Q68" i="4" a="1"/>
  <c r="Q180" i="4" a="1"/>
  <c r="Q138" i="4" a="1"/>
  <c r="Q115" i="4" a="1"/>
  <c r="Q30" i="4" a="1"/>
  <c r="Q136" i="4" a="1"/>
  <c r="Q47" i="4" a="1"/>
  <c r="Q178" i="4" a="1"/>
  <c r="Q182" i="4" a="1"/>
  <c r="Q5" i="4" a="1"/>
  <c r="Q114" i="4" a="1"/>
  <c r="Q27" i="4" a="1"/>
  <c r="Q15" i="4" a="1"/>
  <c r="Q200" i="4" a="1"/>
  <c r="Q205" i="4" a="1"/>
  <c r="Q77" i="4" a="1"/>
  <c r="Q165" i="4" a="1"/>
  <c r="Q84" i="4" a="1"/>
  <c r="Q210" i="4" a="1"/>
  <c r="Q179" i="4" a="1"/>
  <c r="Q57" i="4" a="1"/>
  <c r="Q149" i="4" a="1"/>
  <c r="Q113" i="4" a="1"/>
  <c r="Q20" i="4" a="1"/>
  <c r="Q195" i="4" a="1"/>
  <c r="Q53" i="4" a="1"/>
  <c r="Q87" i="4" a="1"/>
  <c r="Q176" i="4" a="1"/>
  <c r="Q43" i="4" a="1"/>
  <c r="Q159" i="4" a="1"/>
  <c r="Q62" i="4" a="1"/>
  <c r="Q49" i="4" a="1"/>
  <c r="Q106" i="4" a="1"/>
  <c r="Q172" i="4" a="1"/>
  <c r="Q40" i="4" a="1"/>
  <c r="Q197" i="4" a="1"/>
  <c r="Q13" i="4" a="1"/>
  <c r="Q133" i="4" a="1"/>
  <c r="Q208" i="4" a="1"/>
  <c r="Q122" i="4" a="1"/>
  <c r="Q164" i="4" a="1"/>
  <c r="Q73" i="4" a="1"/>
  <c r="Q129" i="4" a="1"/>
  <c r="Q86" i="4" a="1"/>
  <c r="Q98" i="4" a="1"/>
  <c r="Q8" i="4" a="1"/>
  <c r="Q199" i="4" a="1"/>
  <c r="Q44" i="4" a="1"/>
  <c r="Q34" i="4" a="1"/>
  <c r="Q123" i="4" a="1"/>
  <c r="Q153" i="4" a="1"/>
  <c r="Q17" i="4" a="1"/>
  <c r="Q90" i="4" a="1"/>
  <c r="Q167" i="4" a="1"/>
  <c r="Q212" i="4" a="1"/>
  <c r="Q189" i="4" a="1"/>
  <c r="Q50" i="4" a="1"/>
  <c r="Q147" i="4" a="1"/>
  <c r="Q124" i="4" a="1"/>
  <c r="Q111" i="4" a="1"/>
  <c r="Q170" i="4" a="1"/>
  <c r="Q163" i="4" a="1"/>
  <c r="Q96" i="4" a="1"/>
  <c r="Q105" i="4" a="1"/>
  <c r="Q148" i="4" a="1"/>
  <c r="Q177" i="4" a="1"/>
  <c r="Q81" i="4" a="1"/>
  <c r="Q104" i="4" a="1"/>
  <c r="Q4" i="4" a="1"/>
  <c r="Q119" i="4" a="1"/>
  <c r="Q55" i="4" a="1"/>
  <c r="Q141" i="4" a="1"/>
  <c r="Q54" i="4" a="1"/>
  <c r="Q37" i="4" a="1"/>
  <c r="Q181" i="4" a="1"/>
  <c r="Q154" i="4" a="1"/>
  <c r="Q56" i="4" a="1"/>
  <c r="Q36" i="4" a="1"/>
  <c r="Q39" i="4" a="1"/>
  <c r="Q130" i="4" a="1"/>
  <c r="Q109" i="4" a="1"/>
  <c r="Q198" i="4" a="1"/>
  <c r="Q46" i="4" a="1"/>
  <c r="Q18" i="4" a="1"/>
  <c r="Q131" i="4" a="1"/>
  <c r="Q67" i="4" a="1"/>
  <c r="Q12" i="4" a="1"/>
  <c r="Q146" i="4" a="1"/>
  <c r="Q14" i="4" a="1"/>
  <c r="Q151" i="4" a="1"/>
  <c r="Q192" i="4" a="1"/>
  <c r="Q142" i="4" a="1"/>
  <c r="Q196" i="4" a="1"/>
  <c r="Q169" i="4" a="1"/>
  <c r="Q162" i="4" a="1"/>
  <c r="Q174" i="4" a="1"/>
  <c r="Q202" i="4" a="1"/>
  <c r="Q21" i="4" a="1"/>
  <c r="Q207" i="4" a="1"/>
  <c r="Q134" i="4" a="1"/>
  <c r="Q51" i="4" a="1"/>
  <c r="Q101" i="4" a="1"/>
  <c r="Q206" i="4" a="1"/>
  <c r="Q82" i="4" a="1"/>
  <c r="Q168" i="4" a="1"/>
  <c r="Q95" i="4" a="1"/>
  <c r="Q209" i="4" a="1"/>
  <c r="Q132" i="4" a="1"/>
  <c r="Q193" i="4" a="1"/>
  <c r="Q64" i="4" a="1"/>
  <c r="Q171" i="4" a="1"/>
  <c r="Q150" i="4" a="1"/>
  <c r="Q117" i="4" a="1"/>
  <c r="Q2" i="4" a="1"/>
  <c r="O196" i="4" a="1"/>
  <c r="O35" i="4" a="1"/>
  <c r="O110" i="4" a="1"/>
  <c r="O143" i="4" a="1"/>
  <c r="O154" i="4" a="1"/>
  <c r="O209" i="4" a="1"/>
  <c r="O100" i="4" a="1"/>
  <c r="O9" i="4" a="1"/>
  <c r="O131" i="4" a="1"/>
  <c r="O172" i="4" a="1"/>
  <c r="O171" i="4" a="1"/>
  <c r="O185" i="4" a="1"/>
  <c r="O206" i="4" a="1"/>
  <c r="O46" i="4" a="1"/>
  <c r="O199" i="4" a="1"/>
  <c r="O146" i="4" a="1"/>
  <c r="O175" i="4" a="1"/>
  <c r="O203" i="4" a="1"/>
  <c r="O191" i="4" a="1"/>
  <c r="O144" i="4" a="1"/>
  <c r="O205" i="4" a="1"/>
  <c r="O170" i="4" a="1"/>
  <c r="O135" i="4" a="1"/>
  <c r="O183" i="4" a="1"/>
  <c r="O141" i="4" a="1"/>
  <c r="O122" i="4" a="1"/>
  <c r="O25" i="4" a="1"/>
  <c r="O111" i="4" a="1"/>
  <c r="O89" i="4" a="1"/>
  <c r="O3" i="4" a="1"/>
  <c r="O105" i="4" a="1"/>
  <c r="O92" i="4" a="1"/>
  <c r="O81" i="4" a="1"/>
  <c r="O50" i="4" a="1"/>
  <c r="O97" i="4" a="1"/>
  <c r="O19" i="4" a="1"/>
  <c r="O37" i="4" a="1"/>
  <c r="O68" i="4" a="1"/>
  <c r="O187" i="4" a="1"/>
  <c r="O59" i="4" a="1"/>
  <c r="O173" i="4" a="1"/>
  <c r="O32" i="4" a="1"/>
  <c r="O108" i="4" a="1"/>
  <c r="O95" i="4" a="1"/>
  <c r="O31" i="4" a="1"/>
  <c r="O96" i="4" a="1"/>
  <c r="O179" i="4" a="1"/>
  <c r="O26" i="4" a="1"/>
  <c r="O113" i="4" a="1"/>
  <c r="O195" i="4" a="1"/>
  <c r="O201" i="4" a="1"/>
  <c r="O117" i="4" a="1"/>
  <c r="O102" i="4" a="1"/>
  <c r="O176" i="4" a="1"/>
  <c r="O70" i="4" a="1"/>
  <c r="O55" i="4" a="1"/>
  <c r="O5" i="4" a="1"/>
  <c r="O125" i="4" a="1"/>
  <c r="O208" i="4" a="1"/>
  <c r="O16" i="4" a="1"/>
  <c r="O138" i="4" a="1"/>
  <c r="O116" i="4" a="1"/>
  <c r="O85" i="4" a="1"/>
  <c r="O30" i="4" a="1"/>
  <c r="O118" i="4" a="1"/>
  <c r="O207" i="4" a="1"/>
  <c r="O67" i="4" a="1"/>
  <c r="O148" i="4" a="1"/>
  <c r="O63" i="4" a="1"/>
  <c r="O29" i="4" a="1"/>
  <c r="O54" i="4" a="1"/>
  <c r="O83" i="4" a="1"/>
  <c r="O15" i="4" a="1"/>
  <c r="O184" i="4" a="1"/>
  <c r="O66" i="4" a="1"/>
  <c r="O77" i="4" a="1"/>
  <c r="O152" i="4" a="1"/>
  <c r="O130" i="4" a="1"/>
  <c r="O119" i="4" a="1"/>
  <c r="O69" i="4" a="1"/>
  <c r="O211" i="4" a="1"/>
  <c r="O7" i="4" a="1"/>
  <c r="O204" i="4" a="1"/>
  <c r="O161" i="4" a="1"/>
  <c r="O151" i="4" a="1"/>
  <c r="O106" i="4" a="1"/>
  <c r="O134" i="4" a="1"/>
  <c r="O167" i="4" a="1"/>
  <c r="O20" i="4" a="1"/>
  <c r="O101" i="4" a="1"/>
  <c r="O53" i="4" a="1"/>
  <c r="O52" i="4" a="1"/>
  <c r="O91" i="4" a="1"/>
  <c r="O168" i="4" a="1"/>
  <c r="O62" i="4" a="1"/>
  <c r="O164" i="4" a="1"/>
  <c r="O115" i="4" a="1"/>
  <c r="O160" i="4" a="1"/>
  <c r="O45" i="4" a="1"/>
  <c r="O87" i="4" a="1"/>
  <c r="O48" i="4" a="1"/>
  <c r="O99" i="4" a="1"/>
  <c r="O192" i="4" a="1"/>
  <c r="O72" i="4" a="1"/>
  <c r="O121" i="4" a="1"/>
  <c r="O165" i="4" a="1"/>
  <c r="O86" i="4" a="1"/>
  <c r="O193" i="4" a="1"/>
  <c r="O64" i="4" a="1"/>
  <c r="O94" i="4" a="1"/>
  <c r="O42" i="4" a="1"/>
  <c r="O40" i="4" a="1"/>
  <c r="O22" i="4" a="1"/>
  <c r="O182" i="4" a="1"/>
  <c r="O23" i="4" a="1"/>
  <c r="O43" i="4" a="1"/>
  <c r="O24" i="4" a="1"/>
  <c r="O137" i="4" a="1"/>
  <c r="O27" i="4" a="1"/>
  <c r="O200" i="4" a="1"/>
  <c r="O162" i="4" a="1"/>
  <c r="O49" i="4" a="1"/>
  <c r="O145" i="4" a="1"/>
  <c r="O132" i="4" a="1"/>
  <c r="O153" i="4" a="1"/>
  <c r="O210" i="4" a="1"/>
  <c r="O82" i="4" a="1"/>
  <c r="O112" i="4" a="1"/>
  <c r="O80" i="4" a="1"/>
  <c r="O166" i="4" a="1"/>
  <c r="O127" i="4" a="1"/>
  <c r="O65" i="4" a="1"/>
  <c r="O181" i="4" a="1"/>
  <c r="O73" i="4" a="1"/>
  <c r="O163" i="4" a="1"/>
  <c r="O88" i="4" a="1"/>
  <c r="O107" i="4" a="1"/>
  <c r="O13" i="4" a="1"/>
  <c r="O198" i="4" a="1"/>
  <c r="O11" i="4" a="1"/>
  <c r="O142" i="4" a="1"/>
  <c r="O158" i="4" a="1"/>
  <c r="O103" i="4" a="1"/>
  <c r="O60" i="4" a="1"/>
  <c r="O47" i="4" a="1"/>
  <c r="O12" i="4" a="1"/>
  <c r="O44" i="4" a="1"/>
  <c r="O155" i="4" a="1"/>
  <c r="O18" i="4" a="1"/>
  <c r="O98" i="4" a="1"/>
  <c r="O51" i="4" a="1"/>
  <c r="O10" i="4" a="1"/>
  <c r="O186" i="4" a="1"/>
  <c r="O177" i="4" a="1"/>
  <c r="O38" i="4" a="1"/>
  <c r="O4" i="4" a="1"/>
  <c r="O58" i="4" a="1"/>
  <c r="O212" i="4" a="1"/>
  <c r="O79" i="4" a="1"/>
  <c r="O34" i="4" a="1"/>
  <c r="O169" i="4" a="1"/>
  <c r="O56" i="4" a="1"/>
  <c r="O123" i="4" a="1"/>
  <c r="O129" i="4" a="1"/>
  <c r="O84" i="4" a="1"/>
  <c r="O190" i="4" a="1"/>
  <c r="O156" i="4" a="1"/>
  <c r="O109" i="4" a="1"/>
  <c r="O197" i="4" a="1"/>
  <c r="O147" i="4" a="1"/>
  <c r="O71" i="4" a="1"/>
  <c r="O21" i="4" a="1"/>
  <c r="O57" i="4" a="1"/>
  <c r="O78" i="4" a="1"/>
  <c r="O104" i="4" a="1"/>
  <c r="O194" i="4" a="1"/>
  <c r="O157" i="4" a="1"/>
  <c r="O174" i="4" a="1"/>
  <c r="O120" i="4" a="1"/>
  <c r="O140" i="4" a="1"/>
  <c r="O126" i="4" a="1"/>
  <c r="O17" i="4" a="1"/>
  <c r="O188" i="4" a="1"/>
  <c r="O149" i="4" a="1"/>
  <c r="O33" i="4" a="1"/>
  <c r="O150" i="4" a="1"/>
  <c r="O39" i="4" a="1"/>
  <c r="O139" i="4" a="1"/>
  <c r="O61" i="4" a="1"/>
  <c r="O128" i="4" a="1"/>
  <c r="O202" i="4" a="1"/>
  <c r="O36" i="4" a="1"/>
  <c r="O8" i="4" a="1"/>
  <c r="O136" i="4" a="1"/>
  <c r="O41" i="4" a="1"/>
  <c r="O178" i="4" a="1"/>
  <c r="O189" i="4" a="1"/>
  <c r="O133" i="4" a="1"/>
  <c r="O14" i="4" a="1"/>
  <c r="O114" i="4" a="1"/>
  <c r="O159" i="4" a="1"/>
  <c r="O93" i="4" a="1"/>
  <c r="O124" i="4" a="1"/>
  <c r="O6" i="4" a="1"/>
  <c r="O180" i="4" a="1"/>
  <c r="O74" i="4" a="1"/>
  <c r="O28" i="4" a="1"/>
  <c r="O75" i="4" a="1"/>
  <c r="O90" i="4" a="1"/>
  <c r="O76" i="4" a="1"/>
  <c r="O2" i="4" a="1"/>
  <c r="K196" i="4" a="1"/>
  <c r="K35" i="4" a="1"/>
  <c r="K110" i="4" a="1"/>
  <c r="K143" i="4" a="1"/>
  <c r="K154" i="4" a="1"/>
  <c r="K209" i="4" a="1"/>
  <c r="K100" i="4" a="1"/>
  <c r="K9" i="4" a="1"/>
  <c r="K131" i="4" a="1"/>
  <c r="K172" i="4" a="1"/>
  <c r="K171" i="4" a="1"/>
  <c r="K185" i="4" a="1"/>
  <c r="K206" i="4" a="1"/>
  <c r="K46" i="4" a="1"/>
  <c r="K203" i="4" a="1"/>
  <c r="K191" i="4" a="1"/>
  <c r="K144" i="4" a="1"/>
  <c r="K205" i="4" a="1"/>
  <c r="K170" i="4" a="1"/>
  <c r="K135" i="4" a="1"/>
  <c r="K183" i="4" a="1"/>
  <c r="K199" i="4" a="1"/>
  <c r="K146" i="4" a="1"/>
  <c r="K175" i="4" a="1"/>
  <c r="K141" i="4" a="1"/>
  <c r="K122" i="4" a="1"/>
  <c r="K25" i="4" a="1"/>
  <c r="K111" i="4" a="1"/>
  <c r="K89" i="4" a="1"/>
  <c r="K3" i="4" a="1"/>
  <c r="K105" i="4" a="1"/>
  <c r="K92" i="4" a="1"/>
  <c r="K81" i="4" a="1"/>
  <c r="K50" i="4" a="1"/>
  <c r="K97" i="4" a="1"/>
  <c r="K19" i="4" a="1"/>
  <c r="K37" i="4" a="1"/>
  <c r="K68" i="4" a="1"/>
  <c r="K187" i="4" a="1"/>
  <c r="K59" i="4" a="1"/>
  <c r="K173" i="4" a="1"/>
  <c r="K32" i="4" a="1"/>
  <c r="K108" i="4" a="1"/>
  <c r="K95" i="4" a="1"/>
  <c r="K31" i="4" a="1"/>
  <c r="K96" i="4" a="1"/>
  <c r="K179" i="4" a="1"/>
  <c r="K26" i="4" a="1"/>
  <c r="K113" i="4" a="1"/>
  <c r="K195" i="4" a="1"/>
  <c r="K201" i="4" a="1"/>
  <c r="K117" i="4" a="1"/>
  <c r="K102" i="4" a="1"/>
  <c r="K176" i="4" a="1"/>
  <c r="K70" i="4" a="1"/>
  <c r="K55" i="4" a="1"/>
  <c r="K5" i="4" a="1"/>
  <c r="K125" i="4" a="1"/>
  <c r="K208" i="4" a="1"/>
  <c r="K198" i="4" a="1"/>
  <c r="K158" i="4" a="1"/>
  <c r="K47" i="4" a="1"/>
  <c r="K44" i="4" a="1"/>
  <c r="K177" i="4" a="1"/>
  <c r="K34" i="4" a="1"/>
  <c r="K56" i="4" a="1"/>
  <c r="K123" i="4" a="1"/>
  <c r="K84" i="4" a="1"/>
  <c r="K147" i="4" a="1"/>
  <c r="K57" i="4" a="1"/>
  <c r="K104" i="4" a="1"/>
  <c r="K194" i="4" a="1"/>
  <c r="K157" i="4" a="1"/>
  <c r="K174" i="4" a="1"/>
  <c r="K149" i="4" a="1"/>
  <c r="K150" i="4" a="1"/>
  <c r="K128" i="4" a="1"/>
  <c r="K159" i="4" a="1"/>
  <c r="K93" i="4" a="1"/>
  <c r="K124" i="4" a="1"/>
  <c r="K74" i="4" a="1"/>
  <c r="K90" i="4" a="1"/>
  <c r="K16" i="4" a="1"/>
  <c r="K138" i="4" a="1"/>
  <c r="K116" i="4" a="1"/>
  <c r="K85" i="4" a="1"/>
  <c r="K30" i="4" a="1"/>
  <c r="K118" i="4" a="1"/>
  <c r="K207" i="4" a="1"/>
  <c r="K67" i="4" a="1"/>
  <c r="K148" i="4" a="1"/>
  <c r="K63" i="4" a="1"/>
  <c r="K29" i="4" a="1"/>
  <c r="K54" i="4" a="1"/>
  <c r="K83" i="4" a="1"/>
  <c r="K15" i="4" a="1"/>
  <c r="K184" i="4" a="1"/>
  <c r="K66" i="4" a="1"/>
  <c r="K77" i="4" a="1"/>
  <c r="K152" i="4" a="1"/>
  <c r="K130" i="4" a="1"/>
  <c r="K119" i="4" a="1"/>
  <c r="K69" i="4" a="1"/>
  <c r="K64" i="4" a="1"/>
  <c r="K40" i="4" a="1"/>
  <c r="K182" i="4" a="1"/>
  <c r="K23" i="4" a="1"/>
  <c r="K43" i="4" a="1"/>
  <c r="K24" i="4" a="1"/>
  <c r="K27" i="4" a="1"/>
  <c r="K200" i="4" a="1"/>
  <c r="K49" i="4" a="1"/>
  <c r="K132" i="4" a="1"/>
  <c r="K210" i="4" a="1"/>
  <c r="K112" i="4" a="1"/>
  <c r="K80" i="4" a="1"/>
  <c r="K166" i="4" a="1"/>
  <c r="K127" i="4" a="1"/>
  <c r="K65" i="4" a="1"/>
  <c r="K181" i="4" a="1"/>
  <c r="K88" i="4" a="1"/>
  <c r="K11" i="4" a="1"/>
  <c r="K103" i="4" a="1"/>
  <c r="K12" i="4" a="1"/>
  <c r="K98" i="4" a="1"/>
  <c r="K51" i="4" a="1"/>
  <c r="K38" i="4" a="1"/>
  <c r="K76" i="4" a="1"/>
  <c r="K58" i="4" a="1"/>
  <c r="K212" i="4" a="1"/>
  <c r="K156" i="4" a="1"/>
  <c r="K71" i="4" a="1"/>
  <c r="K21" i="4" a="1"/>
  <c r="K61" i="4" a="1"/>
  <c r="K202" i="4" a="1"/>
  <c r="K36" i="4" a="1"/>
  <c r="K8" i="4" a="1"/>
  <c r="K41" i="4" a="1"/>
  <c r="K178" i="4" a="1"/>
  <c r="K189" i="4" a="1"/>
  <c r="K133" i="4" a="1"/>
  <c r="K14" i="4" a="1"/>
  <c r="K114" i="4" a="1"/>
  <c r="K6" i="4" a="1"/>
  <c r="K75" i="4" a="1"/>
  <c r="K186" i="4" a="1"/>
  <c r="K211" i="4" a="1"/>
  <c r="K7" i="4" a="1"/>
  <c r="K204" i="4" a="1"/>
  <c r="K161" i="4" a="1"/>
  <c r="K151" i="4" a="1"/>
  <c r="K106" i="4" a="1"/>
  <c r="K134" i="4" a="1"/>
  <c r="K167" i="4" a="1"/>
  <c r="K20" i="4" a="1"/>
  <c r="K101" i="4" a="1"/>
  <c r="K53" i="4" a="1"/>
  <c r="K52" i="4" a="1"/>
  <c r="K91" i="4" a="1"/>
  <c r="K168" i="4" a="1"/>
  <c r="K62" i="4" a="1"/>
  <c r="K164" i="4" a="1"/>
  <c r="K115" i="4" a="1"/>
  <c r="K160" i="4" a="1"/>
  <c r="K45" i="4" a="1"/>
  <c r="K87" i="4" a="1"/>
  <c r="K48" i="4" a="1"/>
  <c r="K99" i="4" a="1"/>
  <c r="K192" i="4" a="1"/>
  <c r="K72" i="4" a="1"/>
  <c r="K121" i="4" a="1"/>
  <c r="K165" i="4" a="1"/>
  <c r="K86" i="4" a="1"/>
  <c r="K193" i="4" a="1"/>
  <c r="K94" i="4" a="1"/>
  <c r="K42" i="4" a="1"/>
  <c r="K22" i="4" a="1"/>
  <c r="K137" i="4" a="1"/>
  <c r="K162" i="4" a="1"/>
  <c r="K145" i="4" a="1"/>
  <c r="K153" i="4" a="1"/>
  <c r="K82" i="4" a="1"/>
  <c r="K73" i="4" a="1"/>
  <c r="K163" i="4" a="1"/>
  <c r="K107" i="4" a="1"/>
  <c r="K13" i="4" a="1"/>
  <c r="K10" i="4" a="1"/>
  <c r="K142" i="4" a="1"/>
  <c r="K60" i="4" a="1"/>
  <c r="K155" i="4" a="1"/>
  <c r="K18" i="4" a="1"/>
  <c r="K4" i="4" a="1"/>
  <c r="K79" i="4" a="1"/>
  <c r="K169" i="4" a="1"/>
  <c r="K129" i="4" a="1"/>
  <c r="K190" i="4" a="1"/>
  <c r="K109" i="4" a="1"/>
  <c r="K197" i="4" a="1"/>
  <c r="K78" i="4" a="1"/>
  <c r="K120" i="4" a="1"/>
  <c r="K140" i="4" a="1"/>
  <c r="K126" i="4" a="1"/>
  <c r="K17" i="4" a="1"/>
  <c r="K188" i="4" a="1"/>
  <c r="K33" i="4" a="1"/>
  <c r="K39" i="4" a="1"/>
  <c r="K139" i="4" a="1"/>
  <c r="K136" i="4" a="1"/>
  <c r="K180" i="4" a="1"/>
  <c r="K28" i="4" a="1"/>
  <c r="K2" i="4" a="1"/>
  <c r="M196" i="4" a="1"/>
  <c r="M35" i="4" a="1"/>
  <c r="M110" i="4" a="1"/>
  <c r="M143" i="4" a="1"/>
  <c r="M154" i="4" a="1"/>
  <c r="M209" i="4" a="1"/>
  <c r="M100" i="4" a="1"/>
  <c r="M9" i="4" a="1"/>
  <c r="M131" i="4" a="1"/>
  <c r="M172" i="4" a="1"/>
  <c r="M171" i="4" a="1"/>
  <c r="M185" i="4" a="1"/>
  <c r="M206" i="4" a="1"/>
  <c r="M46" i="4" a="1"/>
  <c r="M203" i="4" a="1"/>
  <c r="M191" i="4" a="1"/>
  <c r="M144" i="4" a="1"/>
  <c r="M205" i="4" a="1"/>
  <c r="M170" i="4" a="1"/>
  <c r="M135" i="4" a="1"/>
  <c r="M183" i="4" a="1"/>
  <c r="M199" i="4" a="1"/>
  <c r="M146" i="4" a="1"/>
  <c r="M175" i="4" a="1"/>
  <c r="M141" i="4" a="1"/>
  <c r="M122" i="4" a="1"/>
  <c r="M25" i="4" a="1"/>
  <c r="M111" i="4" a="1"/>
  <c r="M89" i="4" a="1"/>
  <c r="M3" i="4" a="1"/>
  <c r="M105" i="4" a="1"/>
  <c r="M92" i="4" a="1"/>
  <c r="M81" i="4" a="1"/>
  <c r="M50" i="4" a="1"/>
  <c r="M97" i="4" a="1"/>
  <c r="M19" i="4" a="1"/>
  <c r="M37" i="4" a="1"/>
  <c r="M68" i="4" a="1"/>
  <c r="M187" i="4" a="1"/>
  <c r="M59" i="4" a="1"/>
  <c r="M173" i="4" a="1"/>
  <c r="M32" i="4" a="1"/>
  <c r="M108" i="4" a="1"/>
  <c r="M95" i="4" a="1"/>
  <c r="M31" i="4" a="1"/>
  <c r="M96" i="4" a="1"/>
  <c r="M179" i="4" a="1"/>
  <c r="M26" i="4" a="1"/>
  <c r="M113" i="4" a="1"/>
  <c r="M195" i="4" a="1"/>
  <c r="M201" i="4" a="1"/>
  <c r="M117" i="4" a="1"/>
  <c r="M102" i="4" a="1"/>
  <c r="M176" i="4" a="1"/>
  <c r="M70" i="4" a="1"/>
  <c r="M55" i="4" a="1"/>
  <c r="M5" i="4" a="1"/>
  <c r="M125" i="4" a="1"/>
  <c r="M208" i="4" a="1"/>
  <c r="M16" i="4" a="1"/>
  <c r="M138" i="4" a="1"/>
  <c r="M116" i="4" a="1"/>
  <c r="M85" i="4" a="1"/>
  <c r="M30" i="4" a="1"/>
  <c r="M118" i="4" a="1"/>
  <c r="M207" i="4" a="1"/>
  <c r="M67" i="4" a="1"/>
  <c r="M148" i="4" a="1"/>
  <c r="M63" i="4" a="1"/>
  <c r="M29" i="4" a="1"/>
  <c r="M54" i="4" a="1"/>
  <c r="M83" i="4" a="1"/>
  <c r="M15" i="4" a="1"/>
  <c r="M184" i="4" a="1"/>
  <c r="M66" i="4" a="1"/>
  <c r="M77" i="4" a="1"/>
  <c r="M152" i="4" a="1"/>
  <c r="M130" i="4" a="1"/>
  <c r="M119" i="4" a="1"/>
  <c r="M69" i="4" a="1"/>
  <c r="M211" i="4" a="1"/>
  <c r="M7" i="4" a="1"/>
  <c r="M204" i="4" a="1"/>
  <c r="M161" i="4" a="1"/>
  <c r="M151" i="4" a="1"/>
  <c r="M106" i="4" a="1"/>
  <c r="M134" i="4" a="1"/>
  <c r="M167" i="4" a="1"/>
  <c r="M20" i="4" a="1"/>
  <c r="M101" i="4" a="1"/>
  <c r="M53" i="4" a="1"/>
  <c r="M52" i="4" a="1"/>
  <c r="M91" i="4" a="1"/>
  <c r="M168" i="4" a="1"/>
  <c r="M62" i="4" a="1"/>
  <c r="M164" i="4" a="1"/>
  <c r="M115" i="4" a="1"/>
  <c r="M160" i="4" a="1"/>
  <c r="M45" i="4" a="1"/>
  <c r="M87" i="4" a="1"/>
  <c r="M48" i="4" a="1"/>
  <c r="M99" i="4" a="1"/>
  <c r="M192" i="4" a="1"/>
  <c r="M72" i="4" a="1"/>
  <c r="M121" i="4" a="1"/>
  <c r="M165" i="4" a="1"/>
  <c r="M86" i="4" a="1"/>
  <c r="M193" i="4" a="1"/>
  <c r="M64" i="4" a="1"/>
  <c r="M94" i="4" a="1"/>
  <c r="M42" i="4" a="1"/>
  <c r="M40" i="4" a="1"/>
  <c r="M22" i="4" a="1"/>
  <c r="M182" i="4" a="1"/>
  <c r="M23" i="4" a="1"/>
  <c r="M43" i="4" a="1"/>
  <c r="M24" i="4" a="1"/>
  <c r="M137" i="4" a="1"/>
  <c r="M27" i="4" a="1"/>
  <c r="M200" i="4" a="1"/>
  <c r="M162" i="4" a="1"/>
  <c r="M49" i="4" a="1"/>
  <c r="M145" i="4" a="1"/>
  <c r="M132" i="4" a="1"/>
  <c r="M153" i="4" a="1"/>
  <c r="M210" i="4" a="1"/>
  <c r="M82" i="4" a="1"/>
  <c r="M112" i="4" a="1"/>
  <c r="M80" i="4" a="1"/>
  <c r="M166" i="4" a="1"/>
  <c r="M127" i="4" a="1"/>
  <c r="M65" i="4" a="1"/>
  <c r="M181" i="4" a="1"/>
  <c r="M73" i="4" a="1"/>
  <c r="M163" i="4" a="1"/>
  <c r="M88" i="4" a="1"/>
  <c r="M107" i="4" a="1"/>
  <c r="M13" i="4" a="1"/>
  <c r="M198" i="4" a="1"/>
  <c r="M10" i="4" a="1"/>
  <c r="M11" i="4" a="1"/>
  <c r="M142" i="4" a="1"/>
  <c r="M158" i="4" a="1"/>
  <c r="M103" i="4" a="1"/>
  <c r="M60" i="4" a="1"/>
  <c r="M47" i="4" a="1"/>
  <c r="M12" i="4" a="1"/>
  <c r="M44" i="4" a="1"/>
  <c r="M155" i="4" a="1"/>
  <c r="M18" i="4" a="1"/>
  <c r="M98" i="4" a="1"/>
  <c r="M51" i="4" a="1"/>
  <c r="M177" i="4" a="1"/>
  <c r="M38" i="4" a="1"/>
  <c r="M76" i="4" a="1"/>
  <c r="M4" i="4" a="1"/>
  <c r="M58" i="4" a="1"/>
  <c r="M212" i="4" a="1"/>
  <c r="M79" i="4" a="1"/>
  <c r="M34" i="4" a="1"/>
  <c r="M169" i="4" a="1"/>
  <c r="M56" i="4" a="1"/>
  <c r="M123" i="4" a="1"/>
  <c r="M129" i="4" a="1"/>
  <c r="M84" i="4" a="1"/>
  <c r="M190" i="4" a="1"/>
  <c r="M156" i="4" a="1"/>
  <c r="M109" i="4" a="1"/>
  <c r="M197" i="4" a="1"/>
  <c r="M147" i="4" a="1"/>
  <c r="M71" i="4" a="1"/>
  <c r="M21" i="4" a="1"/>
  <c r="M57" i="4" a="1"/>
  <c r="M78" i="4" a="1"/>
  <c r="M104" i="4" a="1"/>
  <c r="M194" i="4" a="1"/>
  <c r="M157" i="4" a="1"/>
  <c r="M174" i="4" a="1"/>
  <c r="M120" i="4" a="1"/>
  <c r="M140" i="4" a="1"/>
  <c r="M126" i="4" a="1"/>
  <c r="M17" i="4" a="1"/>
  <c r="M188" i="4" a="1"/>
  <c r="M149" i="4" a="1"/>
  <c r="M33" i="4" a="1"/>
  <c r="M150" i="4" a="1"/>
  <c r="M39" i="4" a="1"/>
  <c r="M139" i="4" a="1"/>
  <c r="M61" i="4" a="1"/>
  <c r="M128" i="4" a="1"/>
  <c r="M202" i="4" a="1"/>
  <c r="M36" i="4" a="1"/>
  <c r="M8" i="4" a="1"/>
  <c r="M136" i="4" a="1"/>
  <c r="M41" i="4" a="1"/>
  <c r="M178" i="4" a="1"/>
  <c r="M189" i="4" a="1"/>
  <c r="M133" i="4" a="1"/>
  <c r="M14" i="4" a="1"/>
  <c r="M114" i="4" a="1"/>
  <c r="M159" i="4" a="1"/>
  <c r="M93" i="4" a="1"/>
  <c r="M124" i="4" a="1"/>
  <c r="M6" i="4" a="1"/>
  <c r="M180" i="4" a="1"/>
  <c r="M74" i="4" a="1"/>
  <c r="M28" i="4" a="1"/>
  <c r="M75" i="4" a="1"/>
  <c r="M90" i="4" a="1"/>
  <c r="M186" i="4" a="1"/>
  <c r="M2" i="4" a="1"/>
  <c r="F80" i="4" a="1"/>
  <c r="F204" i="4" a="1"/>
  <c r="F126" i="4" a="1"/>
  <c r="F177" i="4" a="1"/>
  <c r="F53" i="4" a="1"/>
  <c r="F42" i="4" a="1"/>
  <c r="F40" i="4" a="1"/>
  <c r="F12" i="4" a="1"/>
  <c r="F198" i="4" a="1"/>
  <c r="F168" i="4" a="1"/>
  <c r="F7" i="4" a="1"/>
  <c r="F62" i="4" a="1"/>
  <c r="F110" i="4" a="1"/>
  <c r="F180" i="4" a="1"/>
  <c r="F84" i="4" a="1"/>
  <c r="F118" i="4" a="1"/>
  <c r="F146" i="4" a="1"/>
  <c r="F5" i="4" a="1"/>
  <c r="F137" i="4" a="1"/>
  <c r="F162" i="4" a="1"/>
  <c r="F54" i="4" a="1"/>
  <c r="F142" i="4" a="1"/>
  <c r="F65" i="4" a="1"/>
  <c r="F169" i="4" a="1"/>
  <c r="F71" i="4" a="1"/>
  <c r="F151" i="4" a="1"/>
  <c r="F57" i="4" a="1"/>
  <c r="F134" i="4" a="1"/>
  <c r="F92" i="4" a="1"/>
  <c r="F58" i="4" a="1"/>
  <c r="F125" i="4" a="1"/>
  <c r="F95" i="4" a="1"/>
  <c r="F172" i="4" a="1"/>
  <c r="F48" i="4" a="1"/>
  <c r="F29" i="4" a="1"/>
  <c r="F24" i="4" a="1"/>
  <c r="F61" i="4" a="1"/>
  <c r="F121" i="4" a="1"/>
  <c r="F66" i="4" a="1"/>
  <c r="F28" i="4" a="1"/>
  <c r="F98" i="4" a="1"/>
  <c r="F26" i="4" a="1"/>
  <c r="F107" i="4" a="1"/>
  <c r="F22" i="4" a="1"/>
  <c r="F50" i="4" a="1"/>
  <c r="F186" i="4" a="1"/>
  <c r="F105" i="4" a="1"/>
  <c r="F203" i="4" a="1"/>
  <c r="F124" i="4" a="1"/>
  <c r="F127" i="4" a="1"/>
  <c r="F68" i="4" a="1"/>
  <c r="F59" i="4" a="1"/>
  <c r="F205" i="4" a="1"/>
  <c r="F32" i="4" a="1"/>
  <c r="F56" i="4" a="1"/>
  <c r="F140" i="4" a="1"/>
  <c r="F3" i="4" a="1"/>
  <c r="F207" i="4" a="1"/>
  <c r="F51" i="4" a="1"/>
  <c r="F4" i="4" a="1"/>
  <c r="F178" i="4" a="1"/>
  <c r="F176" i="4" a="1"/>
  <c r="F70" i="4" a="1"/>
  <c r="F159" i="4" a="1"/>
  <c r="F196" i="4" a="1"/>
  <c r="F35" i="4" a="1"/>
  <c r="F138" i="4" a="1"/>
  <c r="F116" i="4" a="1"/>
  <c r="F75" i="4" a="1"/>
  <c r="F153" i="4" a="1"/>
  <c r="F179" i="4" a="1"/>
  <c r="F117" i="4" a="1"/>
  <c r="F47" i="4" a="1"/>
  <c r="F63" i="4" a="1"/>
  <c r="F194" i="4" a="1"/>
  <c r="F69" i="4" a="1"/>
  <c r="F2" i="4" a="1"/>
  <c r="F157" i="4" a="1"/>
  <c r="F77" i="4" a="1"/>
  <c r="F152" i="4" a="1"/>
  <c r="F135" i="4" a="1"/>
  <c r="F17" i="4" a="1"/>
  <c r="F199" i="4" a="1"/>
  <c r="F166" i="4" a="1"/>
  <c r="F193" i="4" a="1"/>
  <c r="F188" i="4" a="1"/>
  <c r="F90" i="4" a="1"/>
  <c r="F78" i="4" a="1"/>
  <c r="F102" i="4" a="1"/>
  <c r="F139" i="4" a="1"/>
  <c r="F202" i="4" a="1"/>
  <c r="F18" i="4" a="1"/>
  <c r="F10" i="4" a="1"/>
  <c r="F111" i="4" a="1"/>
  <c r="F115" i="4" a="1"/>
  <c r="F108" i="4" a="1"/>
  <c r="F106" i="4" a="1"/>
  <c r="F131" i="4" a="1"/>
  <c r="F37" i="4" a="1"/>
  <c r="F165" i="4" a="1"/>
  <c r="F100" i="4" a="1"/>
  <c r="F36" i="4" a="1"/>
  <c r="F145" i="4" a="1"/>
  <c r="F88" i="4" a="1"/>
  <c r="F60" i="4" a="1"/>
  <c r="F130" i="4" a="1"/>
  <c r="F119" i="4" a="1"/>
  <c r="F43" i="4" a="1"/>
  <c r="F208" i="4" a="1"/>
  <c r="F79" i="4" a="1"/>
  <c r="F112" i="4" a="1"/>
  <c r="F25" i="4" a="1"/>
  <c r="F187" i="4" a="1"/>
  <c r="F200" i="4" a="1"/>
  <c r="F89" i="4" a="1"/>
  <c r="F154" i="4" a="1"/>
  <c r="F31" i="4" a="1"/>
  <c r="F45" i="4" a="1"/>
  <c r="F148" i="4" a="1"/>
  <c r="F167" i="4" a="1"/>
  <c r="F38" i="4" a="1"/>
  <c r="F195" i="4" a="1"/>
  <c r="F13" i="4" a="1"/>
  <c r="F133" i="4" a="1"/>
  <c r="F23" i="4" a="1"/>
  <c r="F211" i="4" a="1"/>
  <c r="F155" i="4" a="1"/>
  <c r="F173" i="4" a="1"/>
  <c r="F123" i="4" a="1"/>
  <c r="F41" i="4" a="1"/>
  <c r="F81" i="4" a="1"/>
  <c r="F201" i="4" a="1"/>
  <c r="F189" i="4" a="1"/>
  <c r="F34" i="4" a="1"/>
  <c r="F83" i="4" a="1"/>
  <c r="F181" i="4" a="1"/>
  <c r="F184" i="4" a="1"/>
  <c r="F160" i="4" a="1"/>
  <c r="F85" i="4" a="1"/>
  <c r="F30" i="4" a="1"/>
  <c r="F210" i="4" a="1"/>
  <c r="F96" i="4" a="1"/>
  <c r="F171" i="4" a="1"/>
  <c r="F104" i="4" a="1"/>
  <c r="F94" i="4" a="1"/>
  <c r="F99" i="4" a="1"/>
  <c r="F16" i="4" a="1"/>
  <c r="F19" i="4" a="1"/>
  <c r="F6" i="4" a="1"/>
  <c r="F49" i="4" a="1"/>
  <c r="F33" i="4" a="1"/>
  <c r="F39" i="4" a="1"/>
  <c r="F52" i="4" a="1"/>
  <c r="F44" i="4" a="1"/>
  <c r="F82" i="4" a="1"/>
  <c r="F97" i="4" a="1"/>
  <c r="F93" i="4" a="1"/>
  <c r="F73" i="4" a="1"/>
  <c r="F161" i="4" a="1"/>
  <c r="F183" i="4" a="1"/>
  <c r="F67" i="4" a="1"/>
  <c r="F136" i="4" a="1"/>
  <c r="F150" i="4" a="1"/>
  <c r="F87" i="4" a="1"/>
  <c r="F212" i="4" a="1"/>
  <c r="F175" i="4" a="1"/>
  <c r="F114" i="4" a="1"/>
  <c r="F141" i="4" a="1"/>
  <c r="F192" i="4" a="1"/>
  <c r="F72" i="4" a="1"/>
  <c r="F27" i="4" a="1"/>
  <c r="F9" i="4" a="1"/>
  <c r="F86" i="4" a="1"/>
  <c r="F103" i="4" a="1"/>
  <c r="F8" i="4" a="1"/>
  <c r="F64" i="4" a="1"/>
  <c r="F156" i="4" a="1"/>
  <c r="F101" i="4" a="1"/>
  <c r="F55" i="4" a="1"/>
  <c r="F15" i="4" a="1"/>
  <c r="F174" i="4" a="1"/>
  <c r="F163" i="4" a="1"/>
  <c r="F20" i="4" a="1"/>
  <c r="F109" i="4" a="1"/>
  <c r="F206" i="4" a="1"/>
  <c r="F147" i="4" a="1"/>
  <c r="F46" i="4" a="1"/>
  <c r="F11" i="4" a="1"/>
  <c r="F128" i="4" a="1"/>
  <c r="F120" i="4" a="1"/>
  <c r="F129" i="4" a="1"/>
  <c r="F132" i="4" a="1"/>
  <c r="F158" i="4" a="1"/>
  <c r="F21" i="4" a="1"/>
  <c r="F149" i="4" a="1"/>
  <c r="F190" i="4" a="1"/>
  <c r="F91" i="4" a="1"/>
  <c r="F113" i="4" a="1"/>
  <c r="F185" i="4" a="1"/>
  <c r="F122" i="4" a="1"/>
  <c r="F144" i="4" a="1"/>
  <c r="F164" i="4" a="1"/>
  <c r="F209" i="4" a="1"/>
  <c r="F170" i="4" a="1"/>
  <c r="F76" i="4" a="1"/>
  <c r="F197" i="4" a="1"/>
  <c r="F182" i="4" a="1"/>
  <c r="F14" i="4" a="1"/>
  <c r="F191" i="4" a="1"/>
  <c r="F143" i="4" a="1"/>
  <c r="F74" i="4" a="1"/>
  <c r="I192" i="4" l="1"/>
  <c r="I169" i="4"/>
  <c r="I196" i="4"/>
  <c r="I142" i="4"/>
  <c r="I117" i="4"/>
  <c r="I150" i="4"/>
  <c r="I171" i="4"/>
  <c r="I118" i="4"/>
  <c r="I193" i="4"/>
  <c r="I126" i="4"/>
  <c r="I132" i="4"/>
  <c r="I100" i="4"/>
  <c r="I209" i="4"/>
  <c r="I89" i="4"/>
  <c r="I137" i="4"/>
  <c r="I19" i="4"/>
  <c r="I52" i="4"/>
  <c r="I97" i="4"/>
  <c r="I64" i="4"/>
  <c r="I11" i="4"/>
  <c r="I63" i="4"/>
  <c r="I156" i="4"/>
  <c r="I188" i="4"/>
  <c r="I95" i="4"/>
  <c r="I74" i="4"/>
  <c r="I66" i="4"/>
  <c r="I143" i="4"/>
  <c r="I61" i="4"/>
  <c r="I83" i="4"/>
  <c r="I211" i="4"/>
  <c r="I168" i="4"/>
  <c r="I82" i="4"/>
  <c r="I206" i="4"/>
  <c r="I42" i="4"/>
  <c r="I101" i="4"/>
  <c r="I51" i="4"/>
  <c r="I134" i="4"/>
  <c r="I207" i="4"/>
  <c r="I21" i="4"/>
  <c r="I161" i="4"/>
  <c r="I202" i="4"/>
  <c r="I174" i="4"/>
  <c r="I162" i="4"/>
  <c r="I186" i="4"/>
  <c r="I23" i="4"/>
  <c r="I58" i="4"/>
  <c r="I151" i="4"/>
  <c r="I85" i="4"/>
  <c r="I28" i="4"/>
  <c r="I120" i="4"/>
  <c r="I128" i="4"/>
  <c r="I80" i="4"/>
  <c r="I24" i="4"/>
  <c r="I14" i="4"/>
  <c r="I12" i="4"/>
  <c r="I102" i="4"/>
  <c r="I67" i="4"/>
  <c r="I131" i="4"/>
  <c r="I183" i="4"/>
  <c r="I18" i="4"/>
  <c r="I157" i="4"/>
  <c r="I110" i="4"/>
  <c r="I7" i="4"/>
  <c r="I46" i="4"/>
  <c r="I139" i="4"/>
  <c r="I198" i="4"/>
  <c r="I109" i="4"/>
  <c r="I130" i="4"/>
  <c r="I39" i="4"/>
  <c r="I103" i="4"/>
  <c r="I36" i="4"/>
  <c r="I56" i="4"/>
  <c r="I154" i="4"/>
  <c r="I181" i="4"/>
  <c r="I37" i="4"/>
  <c r="I54" i="4"/>
  <c r="I141" i="4"/>
  <c r="I55" i="4"/>
  <c r="I119" i="4"/>
  <c r="I4" i="4"/>
  <c r="I104" i="4"/>
  <c r="I81" i="4"/>
  <c r="I177" i="4"/>
  <c r="I148" i="4"/>
  <c r="I105" i="4"/>
  <c r="I96" i="4"/>
  <c r="I163" i="4"/>
  <c r="I170" i="4"/>
  <c r="I111" i="4"/>
  <c r="I124" i="4"/>
  <c r="I147" i="4"/>
  <c r="I50" i="4"/>
  <c r="I189" i="4"/>
  <c r="I212" i="4"/>
  <c r="I167" i="4"/>
  <c r="I90" i="4"/>
  <c r="I17" i="4"/>
  <c r="I153" i="4"/>
  <c r="I123" i="4"/>
  <c r="I34" i="4"/>
  <c r="I44" i="4"/>
  <c r="I199" i="4"/>
  <c r="I8" i="4"/>
  <c r="I98" i="4"/>
  <c r="I86" i="4"/>
  <c r="I129" i="4"/>
  <c r="I73" i="4"/>
  <c r="I164" i="4"/>
  <c r="I122" i="4"/>
  <c r="I208" i="4"/>
  <c r="I133" i="4"/>
  <c r="I13" i="4"/>
  <c r="I197" i="4"/>
  <c r="I40" i="4"/>
  <c r="I172" i="4"/>
  <c r="I106" i="4"/>
  <c r="I49" i="4"/>
  <c r="I62" i="4"/>
  <c r="I159" i="4"/>
  <c r="I43" i="4"/>
  <c r="I176" i="4"/>
  <c r="I87" i="4"/>
  <c r="I53" i="4"/>
  <c r="I195" i="4"/>
  <c r="I20" i="4"/>
  <c r="I113" i="4"/>
  <c r="I149" i="4"/>
  <c r="I57" i="4"/>
  <c r="I179" i="4"/>
  <c r="I210" i="4"/>
  <c r="I84" i="4"/>
  <c r="I165" i="4"/>
  <c r="I77" i="4"/>
  <c r="I205" i="4"/>
  <c r="I200" i="4"/>
  <c r="I15" i="4"/>
  <c r="I27" i="4"/>
  <c r="I114" i="4"/>
  <c r="I5" i="4"/>
  <c r="I182" i="4"/>
  <c r="I178" i="4"/>
  <c r="I47" i="4"/>
  <c r="I136" i="4"/>
  <c r="I30" i="4"/>
  <c r="I115" i="4"/>
  <c r="I138" i="4"/>
  <c r="I180" i="4"/>
  <c r="I68" i="4"/>
  <c r="I155" i="4"/>
  <c r="I79" i="4"/>
  <c r="I201" i="4"/>
  <c r="I92" i="4"/>
  <c r="I33" i="4"/>
  <c r="I31" i="4"/>
  <c r="I75" i="4"/>
  <c r="I184" i="4"/>
  <c r="I59" i="4"/>
  <c r="I204" i="4"/>
  <c r="I16" i="4"/>
  <c r="I69" i="4"/>
  <c r="I91" i="4"/>
  <c r="I22" i="4"/>
  <c r="I107" i="4"/>
  <c r="I45" i="4"/>
  <c r="I140" i="4"/>
  <c r="I145" i="4"/>
  <c r="I160" i="4"/>
  <c r="I152" i="4"/>
  <c r="I6" i="4"/>
  <c r="I93" i="4"/>
  <c r="I10" i="4"/>
  <c r="I26" i="4"/>
  <c r="I146" i="4"/>
  <c r="I29" i="4"/>
  <c r="I99" i="4"/>
  <c r="I48" i="4"/>
  <c r="I41" i="4"/>
  <c r="I88" i="4"/>
  <c r="I135" i="4"/>
  <c r="I71" i="4"/>
  <c r="I116" i="4"/>
  <c r="I121" i="4"/>
  <c r="I166" i="4"/>
  <c r="I25" i="4"/>
  <c r="I125" i="4"/>
  <c r="I94" i="4"/>
  <c r="I185" i="4"/>
  <c r="I78" i="4"/>
  <c r="I3" i="4"/>
  <c r="I9" i="4"/>
  <c r="I32" i="4"/>
  <c r="I187" i="4"/>
  <c r="I72" i="4"/>
  <c r="I191" i="4"/>
  <c r="I112" i="4"/>
  <c r="I175" i="4"/>
  <c r="I194" i="4"/>
  <c r="I70" i="4"/>
  <c r="I38" i="4"/>
  <c r="I190" i="4"/>
  <c r="I65" i="4"/>
  <c r="I144" i="4"/>
  <c r="I76" i="4"/>
  <c r="I60" i="4"/>
  <c r="I158" i="4"/>
  <c r="I108" i="4"/>
  <c r="I173" i="4"/>
  <c r="I35" i="4"/>
  <c r="I127" i="4"/>
  <c r="I203" i="4"/>
  <c r="I2" i="4"/>
  <c r="Q117" i="4"/>
  <c r="Q150" i="4"/>
  <c r="Q171" i="4"/>
  <c r="Q64" i="4"/>
  <c r="Q193" i="4"/>
  <c r="Q132" i="4"/>
  <c r="Q209" i="4"/>
  <c r="Q95" i="4"/>
  <c r="Q168" i="4"/>
  <c r="Q82" i="4"/>
  <c r="Q206" i="4"/>
  <c r="Q101" i="4"/>
  <c r="Q51" i="4"/>
  <c r="Q134" i="4"/>
  <c r="Q207" i="4"/>
  <c r="Q21" i="4"/>
  <c r="Q202" i="4"/>
  <c r="Q174" i="4"/>
  <c r="Q162" i="4"/>
  <c r="Q169" i="4"/>
  <c r="Q196" i="4"/>
  <c r="Q142" i="4"/>
  <c r="Q192" i="4"/>
  <c r="Q151" i="4"/>
  <c r="Q14" i="4"/>
  <c r="Q146" i="4"/>
  <c r="Q12" i="4"/>
  <c r="Q67" i="4"/>
  <c r="Q131" i="4"/>
  <c r="Q18" i="4"/>
  <c r="Q46" i="4"/>
  <c r="Q198" i="4"/>
  <c r="Q109" i="4"/>
  <c r="Q130" i="4"/>
  <c r="Q39" i="4"/>
  <c r="Q36" i="4"/>
  <c r="Q56" i="4"/>
  <c r="Q154" i="4"/>
  <c r="Q181" i="4"/>
  <c r="Q37" i="4"/>
  <c r="Q54" i="4"/>
  <c r="Q141" i="4"/>
  <c r="Q55" i="4"/>
  <c r="Q119" i="4"/>
  <c r="Q4" i="4"/>
  <c r="Q104" i="4"/>
  <c r="Q81" i="4"/>
  <c r="Q177" i="4"/>
  <c r="Q148" i="4"/>
  <c r="Q105" i="4"/>
  <c r="Q96" i="4"/>
  <c r="Q163" i="4"/>
  <c r="Q170" i="4"/>
  <c r="Q111" i="4"/>
  <c r="Q124" i="4"/>
  <c r="Q147" i="4"/>
  <c r="Q50" i="4"/>
  <c r="Q189" i="4"/>
  <c r="Q212" i="4"/>
  <c r="Q167" i="4"/>
  <c r="Q90" i="4"/>
  <c r="Q17" i="4"/>
  <c r="Q153" i="4"/>
  <c r="Q123" i="4"/>
  <c r="Q34" i="4"/>
  <c r="Q44" i="4"/>
  <c r="Q199" i="4"/>
  <c r="Q8" i="4"/>
  <c r="Q98" i="4"/>
  <c r="Q86" i="4"/>
  <c r="Q129" i="4"/>
  <c r="Q73" i="4"/>
  <c r="Q164" i="4"/>
  <c r="Q122" i="4"/>
  <c r="Q208" i="4"/>
  <c r="Q133" i="4"/>
  <c r="Q13" i="4"/>
  <c r="Q197" i="4"/>
  <c r="Q40" i="4"/>
  <c r="Q172" i="4"/>
  <c r="Q106" i="4"/>
  <c r="Q49" i="4"/>
  <c r="Q62" i="4"/>
  <c r="Q159" i="4"/>
  <c r="Q43" i="4"/>
  <c r="Q176" i="4"/>
  <c r="Q87" i="4"/>
  <c r="Q53" i="4"/>
  <c r="Q195" i="4"/>
  <c r="Q20" i="4"/>
  <c r="Q113" i="4"/>
  <c r="Q149" i="4"/>
  <c r="Q57" i="4"/>
  <c r="Q179" i="4"/>
  <c r="Q210" i="4"/>
  <c r="Q84" i="4"/>
  <c r="Q165" i="4"/>
  <c r="Q77" i="4"/>
  <c r="Q205" i="4"/>
  <c r="Q200" i="4"/>
  <c r="Q15" i="4"/>
  <c r="Q27" i="4"/>
  <c r="Q114" i="4"/>
  <c r="Q5" i="4"/>
  <c r="Q182" i="4"/>
  <c r="Q178" i="4"/>
  <c r="Q47" i="4"/>
  <c r="Q136" i="4"/>
  <c r="Q30" i="4"/>
  <c r="Q115" i="4"/>
  <c r="Q138" i="4"/>
  <c r="Q180" i="4"/>
  <c r="Q68" i="4"/>
  <c r="Q155" i="4"/>
  <c r="Q79" i="4"/>
  <c r="Q201" i="4"/>
  <c r="Q92" i="4"/>
  <c r="Q33" i="4"/>
  <c r="Q31" i="4"/>
  <c r="Q75" i="4"/>
  <c r="Q184" i="4"/>
  <c r="Q59" i="4"/>
  <c r="Q204" i="4"/>
  <c r="Q16" i="4"/>
  <c r="Q69" i="4"/>
  <c r="Q91" i="4"/>
  <c r="Q22" i="4"/>
  <c r="Q107" i="4"/>
  <c r="Q45" i="4"/>
  <c r="Q140" i="4"/>
  <c r="Q145" i="4"/>
  <c r="Q160" i="4"/>
  <c r="Q152" i="4"/>
  <c r="Q6" i="4"/>
  <c r="Q93" i="4"/>
  <c r="Q10" i="4"/>
  <c r="Q65" i="4"/>
  <c r="Q144" i="4"/>
  <c r="Q118" i="4"/>
  <c r="Q126" i="4"/>
  <c r="Q100" i="4"/>
  <c r="Q89" i="4"/>
  <c r="Q137" i="4"/>
  <c r="Q19" i="4"/>
  <c r="Q11" i="4"/>
  <c r="Q63" i="4"/>
  <c r="Q52" i="4"/>
  <c r="Q156" i="4"/>
  <c r="Q188" i="4"/>
  <c r="Q74" i="4"/>
  <c r="Q66" i="4"/>
  <c r="Q143" i="4"/>
  <c r="Q61" i="4"/>
  <c r="Q83" i="4"/>
  <c r="Q211" i="4"/>
  <c r="Q42" i="4"/>
  <c r="Q161" i="4"/>
  <c r="Q97" i="4"/>
  <c r="Q186" i="4"/>
  <c r="Q23" i="4"/>
  <c r="Q58" i="4"/>
  <c r="Q26" i="4"/>
  <c r="Q85" i="4"/>
  <c r="Q28" i="4"/>
  <c r="Q120" i="4"/>
  <c r="Q128" i="4"/>
  <c r="Q80" i="4"/>
  <c r="Q24" i="4"/>
  <c r="Q102" i="4"/>
  <c r="Q183" i="4"/>
  <c r="Q157" i="4"/>
  <c r="Q110" i="4"/>
  <c r="Q7" i="4"/>
  <c r="Q139" i="4"/>
  <c r="Q103" i="4"/>
  <c r="Q29" i="4"/>
  <c r="Q99" i="4"/>
  <c r="Q48" i="4"/>
  <c r="Q41" i="4"/>
  <c r="Q88" i="4"/>
  <c r="Q135" i="4"/>
  <c r="Q71" i="4"/>
  <c r="Q116" i="4"/>
  <c r="Q121" i="4"/>
  <c r="Q166" i="4"/>
  <c r="Q25" i="4"/>
  <c r="Q125" i="4"/>
  <c r="Q94" i="4"/>
  <c r="Q185" i="4"/>
  <c r="Q78" i="4"/>
  <c r="Q3" i="4"/>
  <c r="Q9" i="4"/>
  <c r="Q32" i="4"/>
  <c r="Q187" i="4"/>
  <c r="Q72" i="4"/>
  <c r="Q191" i="4"/>
  <c r="Q112" i="4"/>
  <c r="Q175" i="4"/>
  <c r="Q194" i="4"/>
  <c r="Q70" i="4"/>
  <c r="Q38" i="4"/>
  <c r="Q190" i="4"/>
  <c r="Q76" i="4"/>
  <c r="Q60" i="4"/>
  <c r="Q158" i="4"/>
  <c r="Q108" i="4"/>
  <c r="Q173" i="4"/>
  <c r="Q35" i="4"/>
  <c r="Q127" i="4"/>
  <c r="Q203" i="4"/>
  <c r="Q2" i="4"/>
  <c r="O76" i="4"/>
  <c r="O90" i="4"/>
  <c r="O75" i="4"/>
  <c r="O28" i="4"/>
  <c r="O74" i="4"/>
  <c r="O180" i="4"/>
  <c r="O6" i="4"/>
  <c r="O124" i="4"/>
  <c r="O93" i="4"/>
  <c r="O159" i="4"/>
  <c r="O114" i="4"/>
  <c r="O14" i="4"/>
  <c r="O133" i="4"/>
  <c r="O189" i="4"/>
  <c r="O178" i="4"/>
  <c r="O41" i="4"/>
  <c r="O136" i="4"/>
  <c r="O8" i="4"/>
  <c r="O36" i="4"/>
  <c r="O202" i="4"/>
  <c r="O128" i="4"/>
  <c r="O61" i="4"/>
  <c r="O139" i="4"/>
  <c r="O39" i="4"/>
  <c r="O150" i="4"/>
  <c r="O33" i="4"/>
  <c r="O149" i="4"/>
  <c r="O188" i="4"/>
  <c r="O17" i="4"/>
  <c r="O126" i="4"/>
  <c r="O140" i="4"/>
  <c r="O120" i="4"/>
  <c r="O174" i="4"/>
  <c r="O157" i="4"/>
  <c r="O194" i="4"/>
  <c r="O104" i="4"/>
  <c r="O78" i="4"/>
  <c r="O57" i="4"/>
  <c r="O21" i="4"/>
  <c r="O71" i="4"/>
  <c r="O147" i="4"/>
  <c r="O197" i="4"/>
  <c r="O109" i="4"/>
  <c r="O156" i="4"/>
  <c r="O190" i="4"/>
  <c r="O84" i="4"/>
  <c r="O129" i="4"/>
  <c r="O123" i="4"/>
  <c r="O56" i="4"/>
  <c r="O169" i="4"/>
  <c r="O34" i="4"/>
  <c r="O79" i="4"/>
  <c r="O212" i="4"/>
  <c r="O58" i="4"/>
  <c r="O4" i="4"/>
  <c r="O38" i="4"/>
  <c r="O177" i="4"/>
  <c r="O186" i="4"/>
  <c r="O10" i="4"/>
  <c r="O51" i="4"/>
  <c r="O98" i="4"/>
  <c r="O18" i="4"/>
  <c r="O155" i="4"/>
  <c r="O44" i="4"/>
  <c r="O12" i="4"/>
  <c r="O47" i="4"/>
  <c r="O60" i="4"/>
  <c r="O103" i="4"/>
  <c r="O158" i="4"/>
  <c r="O142" i="4"/>
  <c r="O11" i="4"/>
  <c r="O198" i="4"/>
  <c r="O13" i="4"/>
  <c r="O107" i="4"/>
  <c r="O88" i="4"/>
  <c r="O163" i="4"/>
  <c r="O73" i="4"/>
  <c r="O181" i="4"/>
  <c r="O65" i="4"/>
  <c r="O127" i="4"/>
  <c r="O166" i="4"/>
  <c r="O80" i="4"/>
  <c r="O112" i="4"/>
  <c r="O82" i="4"/>
  <c r="O210" i="4"/>
  <c r="O153" i="4"/>
  <c r="O132" i="4"/>
  <c r="O145" i="4"/>
  <c r="O49" i="4"/>
  <c r="O162" i="4"/>
  <c r="O200" i="4"/>
  <c r="O27" i="4"/>
  <c r="O137" i="4"/>
  <c r="O24" i="4"/>
  <c r="O43" i="4"/>
  <c r="O23" i="4"/>
  <c r="O182" i="4"/>
  <c r="O22" i="4"/>
  <c r="O40" i="4"/>
  <c r="O42" i="4"/>
  <c r="O94" i="4"/>
  <c r="O64" i="4"/>
  <c r="O193" i="4"/>
  <c r="O86" i="4"/>
  <c r="O165" i="4"/>
  <c r="O121" i="4"/>
  <c r="O72" i="4"/>
  <c r="O192" i="4"/>
  <c r="O99" i="4"/>
  <c r="O48" i="4"/>
  <c r="O87" i="4"/>
  <c r="O45" i="4"/>
  <c r="O160" i="4"/>
  <c r="O115" i="4"/>
  <c r="O164" i="4"/>
  <c r="O62" i="4"/>
  <c r="O168" i="4"/>
  <c r="O91" i="4"/>
  <c r="O52" i="4"/>
  <c r="O53" i="4"/>
  <c r="O101" i="4"/>
  <c r="O20" i="4"/>
  <c r="O167" i="4"/>
  <c r="O134" i="4"/>
  <c r="O106" i="4"/>
  <c r="O151" i="4"/>
  <c r="O161" i="4"/>
  <c r="O204" i="4"/>
  <c r="O7" i="4"/>
  <c r="O211" i="4"/>
  <c r="O69" i="4"/>
  <c r="O119" i="4"/>
  <c r="O130" i="4"/>
  <c r="O152" i="4"/>
  <c r="O77" i="4"/>
  <c r="O66" i="4"/>
  <c r="O184" i="4"/>
  <c r="O15" i="4"/>
  <c r="O83" i="4"/>
  <c r="O54" i="4"/>
  <c r="O29" i="4"/>
  <c r="O63" i="4"/>
  <c r="O148" i="4"/>
  <c r="O67" i="4"/>
  <c r="O207" i="4"/>
  <c r="O118" i="4"/>
  <c r="O30" i="4"/>
  <c r="O85" i="4"/>
  <c r="O116" i="4"/>
  <c r="O138" i="4"/>
  <c r="O16" i="4"/>
  <c r="O208" i="4"/>
  <c r="O125" i="4"/>
  <c r="O5" i="4"/>
  <c r="O55" i="4"/>
  <c r="O70" i="4"/>
  <c r="O176" i="4"/>
  <c r="O102" i="4"/>
  <c r="O117" i="4"/>
  <c r="O201" i="4"/>
  <c r="O195" i="4"/>
  <c r="O113" i="4"/>
  <c r="O26" i="4"/>
  <c r="O179" i="4"/>
  <c r="O96" i="4"/>
  <c r="O31" i="4"/>
  <c r="O95" i="4"/>
  <c r="O108" i="4"/>
  <c r="O32" i="4"/>
  <c r="O173" i="4"/>
  <c r="O59" i="4"/>
  <c r="O187" i="4"/>
  <c r="O68" i="4"/>
  <c r="O37" i="4"/>
  <c r="O19" i="4"/>
  <c r="O97" i="4"/>
  <c r="O50" i="4"/>
  <c r="O81" i="4"/>
  <c r="O92" i="4"/>
  <c r="O105" i="4"/>
  <c r="O3" i="4"/>
  <c r="O89" i="4"/>
  <c r="O111" i="4"/>
  <c r="O25" i="4"/>
  <c r="O122" i="4"/>
  <c r="O141" i="4"/>
  <c r="O183" i="4"/>
  <c r="O135" i="4"/>
  <c r="O170" i="4"/>
  <c r="O205" i="4"/>
  <c r="O144" i="4"/>
  <c r="O191" i="4"/>
  <c r="O203" i="4"/>
  <c r="O175" i="4"/>
  <c r="O146" i="4"/>
  <c r="O199" i="4"/>
  <c r="O46" i="4"/>
  <c r="O206" i="4"/>
  <c r="O185" i="4"/>
  <c r="O171" i="4"/>
  <c r="O172" i="4"/>
  <c r="O131" i="4"/>
  <c r="O9" i="4"/>
  <c r="O100" i="4"/>
  <c r="O209" i="4"/>
  <c r="O154" i="4"/>
  <c r="O143" i="4"/>
  <c r="O110" i="4"/>
  <c r="O35" i="4"/>
  <c r="O196" i="4"/>
  <c r="O2" i="4"/>
  <c r="K28" i="4"/>
  <c r="K180" i="4"/>
  <c r="K136" i="4"/>
  <c r="K139" i="4"/>
  <c r="K39" i="4"/>
  <c r="K33" i="4"/>
  <c r="K188" i="4"/>
  <c r="K17" i="4"/>
  <c r="K126" i="4"/>
  <c r="K140" i="4"/>
  <c r="K120" i="4"/>
  <c r="K78" i="4"/>
  <c r="K197" i="4"/>
  <c r="K109" i="4"/>
  <c r="K190" i="4"/>
  <c r="K129" i="4"/>
  <c r="K169" i="4"/>
  <c r="K79" i="4"/>
  <c r="K4" i="4"/>
  <c r="K18" i="4"/>
  <c r="K155" i="4"/>
  <c r="K60" i="4"/>
  <c r="K142" i="4"/>
  <c r="K10" i="4"/>
  <c r="K13" i="4"/>
  <c r="K107" i="4"/>
  <c r="K163" i="4"/>
  <c r="K73" i="4"/>
  <c r="K82" i="4"/>
  <c r="K153" i="4"/>
  <c r="K145" i="4"/>
  <c r="K162" i="4"/>
  <c r="K137" i="4"/>
  <c r="K22" i="4"/>
  <c r="K42" i="4"/>
  <c r="K94" i="4"/>
  <c r="K193" i="4"/>
  <c r="K86" i="4"/>
  <c r="K165" i="4"/>
  <c r="K121" i="4"/>
  <c r="K72" i="4"/>
  <c r="K192" i="4"/>
  <c r="K99" i="4"/>
  <c r="K48" i="4"/>
  <c r="K87" i="4"/>
  <c r="K45" i="4"/>
  <c r="K160" i="4"/>
  <c r="K115" i="4"/>
  <c r="K164" i="4"/>
  <c r="K62" i="4"/>
  <c r="K168" i="4"/>
  <c r="K91" i="4"/>
  <c r="K52" i="4"/>
  <c r="K53" i="4"/>
  <c r="K101" i="4"/>
  <c r="K20" i="4"/>
  <c r="K167" i="4"/>
  <c r="K134" i="4"/>
  <c r="K106" i="4"/>
  <c r="K151" i="4"/>
  <c r="K161" i="4"/>
  <c r="K204" i="4"/>
  <c r="K7" i="4"/>
  <c r="K211" i="4"/>
  <c r="K186" i="4"/>
  <c r="K75" i="4"/>
  <c r="K6" i="4"/>
  <c r="K114" i="4"/>
  <c r="K14" i="4"/>
  <c r="K133" i="4"/>
  <c r="K189" i="4"/>
  <c r="K178" i="4"/>
  <c r="K41" i="4"/>
  <c r="K8" i="4"/>
  <c r="K36" i="4"/>
  <c r="K202" i="4"/>
  <c r="K61" i="4"/>
  <c r="K21" i="4"/>
  <c r="K71" i="4"/>
  <c r="K156" i="4"/>
  <c r="K212" i="4"/>
  <c r="K58" i="4"/>
  <c r="K76" i="4"/>
  <c r="K38" i="4"/>
  <c r="K51" i="4"/>
  <c r="K98" i="4"/>
  <c r="K12" i="4"/>
  <c r="K103" i="4"/>
  <c r="K11" i="4"/>
  <c r="K88" i="4"/>
  <c r="K181" i="4"/>
  <c r="K65" i="4"/>
  <c r="K127" i="4"/>
  <c r="K166" i="4"/>
  <c r="K80" i="4"/>
  <c r="K112" i="4"/>
  <c r="K210" i="4"/>
  <c r="K132" i="4"/>
  <c r="K49" i="4"/>
  <c r="K200" i="4"/>
  <c r="K27" i="4"/>
  <c r="K24" i="4"/>
  <c r="K43" i="4"/>
  <c r="K23" i="4"/>
  <c r="K182" i="4"/>
  <c r="K40" i="4"/>
  <c r="K64" i="4"/>
  <c r="K69" i="4"/>
  <c r="K119" i="4"/>
  <c r="K130" i="4"/>
  <c r="K152" i="4"/>
  <c r="K77" i="4"/>
  <c r="K66" i="4"/>
  <c r="K184" i="4"/>
  <c r="K15" i="4"/>
  <c r="K83" i="4"/>
  <c r="K54" i="4"/>
  <c r="K29" i="4"/>
  <c r="K63" i="4"/>
  <c r="K148" i="4"/>
  <c r="K67" i="4"/>
  <c r="K207" i="4"/>
  <c r="K118" i="4"/>
  <c r="K30" i="4"/>
  <c r="K85" i="4"/>
  <c r="K116" i="4"/>
  <c r="K138" i="4"/>
  <c r="K16" i="4"/>
  <c r="K90" i="4"/>
  <c r="K74" i="4"/>
  <c r="K124" i="4"/>
  <c r="K93" i="4"/>
  <c r="K159" i="4"/>
  <c r="K128" i="4"/>
  <c r="K150" i="4"/>
  <c r="K149" i="4"/>
  <c r="K174" i="4"/>
  <c r="K157" i="4"/>
  <c r="K194" i="4"/>
  <c r="K104" i="4"/>
  <c r="K57" i="4"/>
  <c r="K147" i="4"/>
  <c r="K84" i="4"/>
  <c r="K123" i="4"/>
  <c r="K56" i="4"/>
  <c r="K34" i="4"/>
  <c r="K177" i="4"/>
  <c r="K44" i="4"/>
  <c r="K47" i="4"/>
  <c r="K158" i="4"/>
  <c r="K198" i="4"/>
  <c r="K208" i="4"/>
  <c r="K125" i="4"/>
  <c r="K5" i="4"/>
  <c r="K55" i="4"/>
  <c r="K70" i="4"/>
  <c r="K176" i="4"/>
  <c r="K102" i="4"/>
  <c r="K117" i="4"/>
  <c r="K201" i="4"/>
  <c r="K195" i="4"/>
  <c r="K113" i="4"/>
  <c r="K26" i="4"/>
  <c r="K179" i="4"/>
  <c r="K96" i="4"/>
  <c r="K31" i="4"/>
  <c r="K95" i="4"/>
  <c r="K108" i="4"/>
  <c r="K32" i="4"/>
  <c r="K173" i="4"/>
  <c r="K59" i="4"/>
  <c r="K187" i="4"/>
  <c r="K68" i="4"/>
  <c r="K37" i="4"/>
  <c r="K19" i="4"/>
  <c r="K97" i="4"/>
  <c r="K50" i="4"/>
  <c r="K81" i="4"/>
  <c r="K92" i="4"/>
  <c r="K105" i="4"/>
  <c r="K3" i="4"/>
  <c r="K89" i="4"/>
  <c r="K111" i="4"/>
  <c r="K25" i="4"/>
  <c r="K122" i="4"/>
  <c r="K141" i="4"/>
  <c r="K175" i="4"/>
  <c r="K146" i="4"/>
  <c r="K199" i="4"/>
  <c r="K183" i="4"/>
  <c r="K135" i="4"/>
  <c r="K170" i="4"/>
  <c r="K205" i="4"/>
  <c r="K144" i="4"/>
  <c r="K191" i="4"/>
  <c r="K203" i="4"/>
  <c r="K46" i="4"/>
  <c r="K206" i="4"/>
  <c r="K185" i="4"/>
  <c r="K171" i="4"/>
  <c r="K172" i="4"/>
  <c r="K131" i="4"/>
  <c r="K9" i="4"/>
  <c r="K100" i="4"/>
  <c r="K209" i="4"/>
  <c r="K154" i="4"/>
  <c r="K143" i="4"/>
  <c r="K110" i="4"/>
  <c r="K35" i="4"/>
  <c r="K196" i="4"/>
  <c r="K2" i="4"/>
  <c r="M186" i="4"/>
  <c r="M90" i="4"/>
  <c r="M75" i="4"/>
  <c r="M28" i="4"/>
  <c r="M74" i="4"/>
  <c r="M180" i="4"/>
  <c r="M6" i="4"/>
  <c r="M124" i="4"/>
  <c r="M93" i="4"/>
  <c r="M159" i="4"/>
  <c r="M114" i="4"/>
  <c r="M14" i="4"/>
  <c r="M133" i="4"/>
  <c r="M189" i="4"/>
  <c r="M178" i="4"/>
  <c r="M41" i="4"/>
  <c r="M136" i="4"/>
  <c r="M8" i="4"/>
  <c r="M36" i="4"/>
  <c r="M202" i="4"/>
  <c r="M128" i="4"/>
  <c r="M61" i="4"/>
  <c r="M139" i="4"/>
  <c r="M39" i="4"/>
  <c r="M150" i="4"/>
  <c r="M33" i="4"/>
  <c r="M149" i="4"/>
  <c r="M188" i="4"/>
  <c r="M17" i="4"/>
  <c r="M126" i="4"/>
  <c r="M140" i="4"/>
  <c r="M120" i="4"/>
  <c r="M174" i="4"/>
  <c r="M157" i="4"/>
  <c r="M194" i="4"/>
  <c r="M104" i="4"/>
  <c r="M78" i="4"/>
  <c r="M57" i="4"/>
  <c r="M21" i="4"/>
  <c r="M71" i="4"/>
  <c r="M147" i="4"/>
  <c r="M197" i="4"/>
  <c r="M109" i="4"/>
  <c r="M156" i="4"/>
  <c r="M190" i="4"/>
  <c r="M84" i="4"/>
  <c r="M129" i="4"/>
  <c r="M123" i="4"/>
  <c r="M56" i="4"/>
  <c r="M169" i="4"/>
  <c r="M34" i="4"/>
  <c r="M79" i="4"/>
  <c r="M212" i="4"/>
  <c r="M58" i="4"/>
  <c r="M4" i="4"/>
  <c r="M76" i="4"/>
  <c r="M38" i="4"/>
  <c r="M177" i="4"/>
  <c r="M51" i="4"/>
  <c r="M98" i="4"/>
  <c r="M18" i="4"/>
  <c r="M155" i="4"/>
  <c r="M44" i="4"/>
  <c r="M12" i="4"/>
  <c r="M47" i="4"/>
  <c r="M60" i="4"/>
  <c r="M103" i="4"/>
  <c r="M158" i="4"/>
  <c r="M142" i="4"/>
  <c r="M11" i="4"/>
  <c r="M10" i="4"/>
  <c r="M198" i="4"/>
  <c r="M13" i="4"/>
  <c r="M107" i="4"/>
  <c r="M88" i="4"/>
  <c r="M163" i="4"/>
  <c r="M73" i="4"/>
  <c r="M181" i="4"/>
  <c r="M65" i="4"/>
  <c r="M127" i="4"/>
  <c r="M166" i="4"/>
  <c r="M80" i="4"/>
  <c r="M112" i="4"/>
  <c r="M82" i="4"/>
  <c r="M210" i="4"/>
  <c r="M153" i="4"/>
  <c r="M132" i="4"/>
  <c r="M145" i="4"/>
  <c r="M49" i="4"/>
  <c r="M162" i="4"/>
  <c r="M200" i="4"/>
  <c r="M27" i="4"/>
  <c r="M137" i="4"/>
  <c r="M24" i="4"/>
  <c r="M43" i="4"/>
  <c r="M23" i="4"/>
  <c r="M182" i="4"/>
  <c r="M22" i="4"/>
  <c r="M40" i="4"/>
  <c r="M42" i="4"/>
  <c r="M94" i="4"/>
  <c r="M64" i="4"/>
  <c r="M193" i="4"/>
  <c r="M86" i="4"/>
  <c r="M165" i="4"/>
  <c r="M121" i="4"/>
  <c r="M72" i="4"/>
  <c r="M192" i="4"/>
  <c r="M99" i="4"/>
  <c r="M48" i="4"/>
  <c r="M87" i="4"/>
  <c r="M45" i="4"/>
  <c r="M160" i="4"/>
  <c r="M115" i="4"/>
  <c r="M164" i="4"/>
  <c r="M62" i="4"/>
  <c r="M168" i="4"/>
  <c r="M91" i="4"/>
  <c r="M52" i="4"/>
  <c r="M53" i="4"/>
  <c r="M101" i="4"/>
  <c r="M20" i="4"/>
  <c r="M167" i="4"/>
  <c r="M134" i="4"/>
  <c r="M106" i="4"/>
  <c r="M151" i="4"/>
  <c r="M161" i="4"/>
  <c r="M204" i="4"/>
  <c r="M7" i="4"/>
  <c r="M211" i="4"/>
  <c r="M69" i="4"/>
  <c r="M119" i="4"/>
  <c r="M130" i="4"/>
  <c r="M152" i="4"/>
  <c r="M77" i="4"/>
  <c r="M66" i="4"/>
  <c r="M184" i="4"/>
  <c r="M15" i="4"/>
  <c r="M83" i="4"/>
  <c r="M54" i="4"/>
  <c r="M29" i="4"/>
  <c r="M63" i="4"/>
  <c r="M148" i="4"/>
  <c r="M67" i="4"/>
  <c r="M207" i="4"/>
  <c r="M118" i="4"/>
  <c r="M30" i="4"/>
  <c r="M85" i="4"/>
  <c r="M116" i="4"/>
  <c r="M138" i="4"/>
  <c r="M16" i="4"/>
  <c r="M208" i="4"/>
  <c r="M125" i="4"/>
  <c r="M5" i="4"/>
  <c r="M55" i="4"/>
  <c r="M70" i="4"/>
  <c r="M176" i="4"/>
  <c r="M102" i="4"/>
  <c r="M117" i="4"/>
  <c r="M201" i="4"/>
  <c r="M195" i="4"/>
  <c r="M113" i="4"/>
  <c r="M26" i="4"/>
  <c r="M179" i="4"/>
  <c r="M96" i="4"/>
  <c r="M31" i="4"/>
  <c r="M95" i="4"/>
  <c r="M108" i="4"/>
  <c r="M32" i="4"/>
  <c r="M173" i="4"/>
  <c r="M59" i="4"/>
  <c r="M187" i="4"/>
  <c r="M68" i="4"/>
  <c r="M37" i="4"/>
  <c r="M19" i="4"/>
  <c r="M97" i="4"/>
  <c r="M50" i="4"/>
  <c r="M81" i="4"/>
  <c r="M92" i="4"/>
  <c r="M105" i="4"/>
  <c r="M3" i="4"/>
  <c r="M89" i="4"/>
  <c r="M111" i="4"/>
  <c r="M25" i="4"/>
  <c r="M122" i="4"/>
  <c r="M141" i="4"/>
  <c r="M175" i="4"/>
  <c r="M146" i="4"/>
  <c r="M199" i="4"/>
  <c r="M183" i="4"/>
  <c r="M135" i="4"/>
  <c r="M170" i="4"/>
  <c r="M205" i="4"/>
  <c r="M144" i="4"/>
  <c r="M191" i="4"/>
  <c r="M203" i="4"/>
  <c r="M46" i="4"/>
  <c r="M206" i="4"/>
  <c r="M185" i="4"/>
  <c r="M171" i="4"/>
  <c r="M172" i="4"/>
  <c r="M131" i="4"/>
  <c r="M9" i="4"/>
  <c r="M100" i="4"/>
  <c r="M209" i="4"/>
  <c r="M154" i="4"/>
  <c r="M143" i="4"/>
  <c r="M110" i="4"/>
  <c r="M35" i="4"/>
  <c r="M196" i="4"/>
  <c r="M2" i="4"/>
  <c r="F74" i="4"/>
  <c r="F143" i="4"/>
  <c r="F191" i="4"/>
  <c r="F14" i="4"/>
  <c r="F182" i="4"/>
  <c r="F197" i="4"/>
  <c r="F76" i="4"/>
  <c r="F170" i="4"/>
  <c r="F209" i="4"/>
  <c r="F164" i="4"/>
  <c r="F144" i="4"/>
  <c r="F122" i="4"/>
  <c r="F185" i="4"/>
  <c r="F113" i="4"/>
  <c r="F91" i="4"/>
  <c r="F190" i="4"/>
  <c r="F149" i="4"/>
  <c r="F21" i="4"/>
  <c r="F158" i="4"/>
  <c r="F132" i="4"/>
  <c r="F129" i="4"/>
  <c r="F120" i="4"/>
  <c r="F128" i="4"/>
  <c r="F11" i="4"/>
  <c r="F46" i="4"/>
  <c r="F147" i="4"/>
  <c r="F206" i="4"/>
  <c r="F109" i="4"/>
  <c r="F20" i="4"/>
  <c r="F163" i="4"/>
  <c r="F174" i="4"/>
  <c r="F15" i="4"/>
  <c r="F55" i="4"/>
  <c r="F101" i="4"/>
  <c r="F156" i="4"/>
  <c r="F64" i="4"/>
  <c r="F8" i="4"/>
  <c r="F103" i="4"/>
  <c r="F86" i="4"/>
  <c r="F9" i="4"/>
  <c r="F27" i="4"/>
  <c r="F72" i="4"/>
  <c r="F192" i="4"/>
  <c r="F141" i="4"/>
  <c r="F114" i="4"/>
  <c r="F175" i="4"/>
  <c r="F212" i="4"/>
  <c r="F87" i="4"/>
  <c r="F150" i="4"/>
  <c r="F136" i="4"/>
  <c r="F67" i="4"/>
  <c r="F183" i="4"/>
  <c r="F161" i="4"/>
  <c r="F73" i="4"/>
  <c r="F93" i="4"/>
  <c r="F97" i="4"/>
  <c r="F82" i="4"/>
  <c r="F44" i="4"/>
  <c r="F52" i="4"/>
  <c r="F39" i="4"/>
  <c r="F33" i="4"/>
  <c r="F49" i="4"/>
  <c r="F6" i="4"/>
  <c r="F19" i="4"/>
  <c r="F16" i="4"/>
  <c r="F99" i="4"/>
  <c r="F94" i="4"/>
  <c r="F104" i="4"/>
  <c r="F171" i="4"/>
  <c r="F96" i="4"/>
  <c r="F210" i="4"/>
  <c r="F30" i="4"/>
  <c r="F85" i="4"/>
  <c r="F160" i="4"/>
  <c r="F184" i="4"/>
  <c r="F181" i="4"/>
  <c r="F83" i="4"/>
  <c r="F34" i="4"/>
  <c r="F189" i="4"/>
  <c r="F201" i="4"/>
  <c r="F81" i="4"/>
  <c r="F41" i="4"/>
  <c r="F123" i="4"/>
  <c r="F173" i="4"/>
  <c r="F155" i="4"/>
  <c r="F211" i="4"/>
  <c r="F23" i="4"/>
  <c r="F133" i="4"/>
  <c r="F13" i="4"/>
  <c r="F195" i="4"/>
  <c r="F38" i="4"/>
  <c r="F167" i="4"/>
  <c r="F148" i="4"/>
  <c r="F45" i="4"/>
  <c r="F31" i="4"/>
  <c r="F154" i="4"/>
  <c r="F89" i="4"/>
  <c r="F200" i="4"/>
  <c r="F187" i="4"/>
  <c r="F25" i="4"/>
  <c r="F112" i="4"/>
  <c r="F79" i="4"/>
  <c r="F208" i="4"/>
  <c r="F43" i="4"/>
  <c r="F119" i="4"/>
  <c r="F130" i="4"/>
  <c r="F60" i="4"/>
  <c r="F88" i="4"/>
  <c r="F145" i="4"/>
  <c r="F36" i="4"/>
  <c r="F100" i="4"/>
  <c r="F165" i="4"/>
  <c r="F37" i="4"/>
  <c r="F131" i="4"/>
  <c r="F106" i="4"/>
  <c r="F108" i="4"/>
  <c r="F115" i="4"/>
  <c r="F111" i="4"/>
  <c r="F10" i="4"/>
  <c r="F18" i="4"/>
  <c r="F202" i="4"/>
  <c r="F139" i="4"/>
  <c r="F102" i="4"/>
  <c r="F78" i="4"/>
  <c r="F90" i="4"/>
  <c r="F188" i="4"/>
  <c r="F193" i="4"/>
  <c r="F166" i="4"/>
  <c r="F199" i="4"/>
  <c r="F17" i="4"/>
  <c r="F135" i="4"/>
  <c r="F152" i="4"/>
  <c r="F77" i="4"/>
  <c r="F157" i="4"/>
  <c r="F2" i="4"/>
  <c r="F69" i="4"/>
  <c r="F194" i="4"/>
  <c r="F63" i="4"/>
  <c r="F47" i="4"/>
  <c r="F117" i="4"/>
  <c r="F179" i="4"/>
  <c r="F153" i="4"/>
  <c r="F75" i="4"/>
  <c r="F116" i="4"/>
  <c r="F138" i="4"/>
  <c r="F35" i="4"/>
  <c r="F196" i="4"/>
  <c r="F159" i="4"/>
  <c r="F70" i="4"/>
  <c r="F176" i="4"/>
  <c r="F178" i="4"/>
  <c r="F4" i="4"/>
  <c r="F51" i="4"/>
  <c r="F207" i="4"/>
  <c r="F3" i="4"/>
  <c r="F140" i="4"/>
  <c r="F56" i="4"/>
  <c r="F32" i="4"/>
  <c r="F205" i="4"/>
  <c r="F59" i="4"/>
  <c r="F68" i="4"/>
  <c r="F127" i="4"/>
  <c r="F124" i="4"/>
  <c r="F203" i="4"/>
  <c r="F105" i="4"/>
  <c r="F186" i="4"/>
  <c r="F50" i="4"/>
  <c r="F22" i="4"/>
  <c r="F107" i="4"/>
  <c r="F26" i="4"/>
  <c r="F98" i="4"/>
  <c r="F28" i="4"/>
  <c r="F66" i="4"/>
  <c r="F121" i="4"/>
  <c r="F61" i="4"/>
  <c r="F24" i="4"/>
  <c r="F29" i="4"/>
  <c r="F48" i="4"/>
  <c r="F172" i="4"/>
  <c r="F95" i="4"/>
  <c r="F125" i="4"/>
  <c r="F58" i="4"/>
  <c r="F92" i="4"/>
  <c r="F134" i="4"/>
  <c r="F57" i="4"/>
  <c r="F151" i="4"/>
  <c r="F71" i="4"/>
  <c r="F169" i="4"/>
  <c r="F65" i="4"/>
  <c r="F142" i="4"/>
  <c r="F54" i="4"/>
  <c r="F162" i="4"/>
  <c r="F137" i="4"/>
  <c r="F5" i="4"/>
  <c r="F146" i="4"/>
  <c r="F118" i="4"/>
  <c r="F84" i="4"/>
  <c r="F180" i="4"/>
  <c r="F110" i="4"/>
  <c r="F62" i="4"/>
  <c r="F7" i="4"/>
  <c r="F168" i="4"/>
  <c r="F198" i="4"/>
  <c r="F12" i="4"/>
  <c r="F40" i="4"/>
  <c r="F42" i="4"/>
  <c r="F53" i="4"/>
  <c r="F177" i="4"/>
  <c r="F126" i="4"/>
  <c r="F204" i="4"/>
  <c r="F80" i="4"/>
  <c r="A1" i="5" l="1" a="1"/>
  <c r="A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440C50-CA0E-4DBB-A44E-5E73A22CB1D8}" keepAlive="1" name="Query - Dashboard" description="Connection to the 'Dashboard' query in the workbook." type="5" refreshedVersion="8" background="1" saveData="1">
    <dbPr connection="Provider=Microsoft.Mashup.OleDb.1;Data Source=$Workbook$;Location=Dashboard;Extended Properties=&quot;&quot;" command="SELECT * FROM [Dashboard]"/>
  </connection>
  <connection id="2" xr16:uid="{87B9162A-527F-4BC3-9DA9-45CB1CA7E7D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3" xr16:uid="{E0107E69-A773-43E1-839A-1F414A8DBF88}" keepAlive="1" name="Query - TickersQuery" description="Connection to the 'TickersQuery' query in the workbook." type="5" refreshedVersion="8" background="1" saveData="1">
    <dbPr connection="Provider=Microsoft.Mashup.OleDb.1;Data Source=$Workbook$;Location=TickersQuery;Extended Properties=&quot;&quot;" command="SELECT * FROM [Tickers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<sst xmlns="http://schemas.openxmlformats.org/spreadsheetml/2006/main" count="2041" uniqueCount="825">
  <si>
    <t>Ticker</t>
  </si>
  <si>
    <t>DYGIX</t>
  </si>
  <si>
    <t>FLMIX</t>
  </si>
  <si>
    <t>VIGAX</t>
  </si>
  <si>
    <t>VVIAX</t>
  </si>
  <si>
    <t>JEPIX</t>
  </si>
  <si>
    <t>BLNIX</t>
  </si>
  <si>
    <t>FSPSX</t>
  </si>
  <si>
    <t>EIPCX</t>
  </si>
  <si>
    <t>BSIIX</t>
  </si>
  <si>
    <t>NSIOX</t>
  </si>
  <si>
    <t>PTIAX</t>
  </si>
  <si>
    <t>VWIUX</t>
  </si>
  <si>
    <t>BIDIX</t>
  </si>
  <si>
    <t>VSGAX</t>
  </si>
  <si>
    <t>FPADX</t>
  </si>
  <si>
    <t>VSIAX</t>
  </si>
  <si>
    <t>OTCIX</t>
  </si>
  <si>
    <t>MCVIX</t>
  </si>
  <si>
    <t>QUAYX</t>
  </si>
  <si>
    <t>CRRRX</t>
  </si>
  <si>
    <t>GSIMX</t>
  </si>
  <si>
    <t>COSSX</t>
  </si>
  <si>
    <t>GQGIX</t>
  </si>
  <si>
    <t>JEPI</t>
  </si>
  <si>
    <t>BND</t>
  </si>
  <si>
    <t>BIV</t>
  </si>
  <si>
    <t>JMSIX</t>
  </si>
  <si>
    <t>BGHIX</t>
  </si>
  <si>
    <t>VOT</t>
  </si>
  <si>
    <t>VBK</t>
  </si>
  <si>
    <t>VBR</t>
  </si>
  <si>
    <t>VTEB</t>
  </si>
  <si>
    <t>TFI</t>
  </si>
  <si>
    <t>VWO</t>
  </si>
  <si>
    <t>GSINX</t>
  </si>
  <si>
    <t>QQQ</t>
  </si>
  <si>
    <t>NFFFX</t>
  </si>
  <si>
    <t>PAVE</t>
  </si>
  <si>
    <t>XLP</t>
  </si>
  <si>
    <t>PPA</t>
  </si>
  <si>
    <t>ABNFX</t>
  </si>
  <si>
    <t>GIBIX</t>
  </si>
  <si>
    <t>ICOW</t>
  </si>
  <si>
    <t>FEGIX</t>
  </si>
  <si>
    <t>CADUX</t>
  </si>
  <si>
    <t>CRDIX</t>
  </si>
  <si>
    <t>VO</t>
  </si>
  <si>
    <t>XLK</t>
  </si>
  <si>
    <t>CADLX</t>
  </si>
  <si>
    <t>AGG</t>
  </si>
  <si>
    <t>MUB</t>
  </si>
  <si>
    <t>DSFIX</t>
  </si>
  <si>
    <t>IVE</t>
  </si>
  <si>
    <t>ESGE</t>
  </si>
  <si>
    <t>OTCAX</t>
  </si>
  <si>
    <t>QUASX</t>
  </si>
  <si>
    <t>COVAX</t>
  </si>
  <si>
    <t>NMVLX</t>
  </si>
  <si>
    <t>VBTLX</t>
  </si>
  <si>
    <t>VTEAX</t>
  </si>
  <si>
    <t>VBILX</t>
  </si>
  <si>
    <t>VEMAX</t>
  </si>
  <si>
    <t>MNHAX</t>
  </si>
  <si>
    <t>JHEQX</t>
  </si>
  <si>
    <t>IEMG</t>
  </si>
  <si>
    <t>MMHIX</t>
  </si>
  <si>
    <t>IWF</t>
  </si>
  <si>
    <t>HYMB</t>
  </si>
  <si>
    <t>AFMFX</t>
  </si>
  <si>
    <t>FLMFX</t>
  </si>
  <si>
    <t>FLDGX</t>
  </si>
  <si>
    <t>FLDFX</t>
  </si>
  <si>
    <t>NSVAX</t>
  </si>
  <si>
    <t>IWP</t>
  </si>
  <si>
    <t>FEMKX</t>
  </si>
  <si>
    <t>IJS</t>
  </si>
  <si>
    <t>SMCFX</t>
  </si>
  <si>
    <t>IJR</t>
  </si>
  <si>
    <t>ISTB</t>
  </si>
  <si>
    <t>VB</t>
  </si>
  <si>
    <t>FIDGX</t>
  </si>
  <si>
    <t>FSPGX</t>
  </si>
  <si>
    <t>FISVX</t>
  </si>
  <si>
    <t>FIJEX</t>
  </si>
  <si>
    <t>HOBIX</t>
  </si>
  <si>
    <t>GLSOX</t>
  </si>
  <si>
    <t>ODIYX</t>
  </si>
  <si>
    <t>ILCV</t>
  </si>
  <si>
    <t>ISCG</t>
  </si>
  <si>
    <t>ISCV</t>
  </si>
  <si>
    <t>MVCAX</t>
  </si>
  <si>
    <t>APGYX</t>
  </si>
  <si>
    <t>BGSIX</t>
  </si>
  <si>
    <t>HYG</t>
  </si>
  <si>
    <t>XLU</t>
  </si>
  <si>
    <t>QNTIX</t>
  </si>
  <si>
    <t>SRUIX</t>
  </si>
  <si>
    <t>STBJX</t>
  </si>
  <si>
    <t>Name</t>
  </si>
  <si>
    <t>Category</t>
  </si>
  <si>
    <t>Benchmark</t>
  </si>
  <si>
    <t>Prospectus Benchmark</t>
  </si>
  <si>
    <t>Quarterly Return</t>
  </si>
  <si>
    <t>Benchmark Ticker</t>
  </si>
  <si>
    <t>YTD</t>
  </si>
  <si>
    <t>1 YR</t>
  </si>
  <si>
    <t>3 YR</t>
  </si>
  <si>
    <t>5 YR</t>
  </si>
  <si>
    <t>etf check</t>
  </si>
  <si>
    <t>Target Allocation</t>
  </si>
  <si>
    <t>^STRB</t>
  </si>
  <si>
    <t>Russell 3000 TR USD</t>
  </si>
  <si>
    <t>US Large Cap Growth</t>
  </si>
  <si>
    <t>^RLGTR</t>
  </si>
  <si>
    <t>CRSP US Large Cap Growth TR USD</t>
  </si>
  <si>
    <t>Equity US</t>
  </si>
  <si>
    <t>^SPXTR</t>
  </si>
  <si>
    <t>CRSP US Large Cap Value TR USD</t>
  </si>
  <si>
    <t>Alts</t>
  </si>
  <si>
    <t>^PEATR</t>
  </si>
  <si>
    <t>S&amp;P 500 TR USD</t>
  </si>
  <si>
    <t>Other</t>
  </si>
  <si>
    <t>MSCI World NR USD</t>
  </si>
  <si>
    <t>MSCI EAFE NR USD</t>
  </si>
  <si>
    <t>^RUTTR</t>
  </si>
  <si>
    <t>CRSP US Mid Cap Growth TR USD</t>
  </si>
  <si>
    <t>Commodities</t>
  </si>
  <si>
    <t>^BCTR</t>
  </si>
  <si>
    <t>Bloomberg US Universal TR USD</t>
  </si>
  <si>
    <t>Credit</t>
  </si>
  <si>
    <t>^BBUSCRTR</t>
  </si>
  <si>
    <t>ICE BofA US 3M Trsy Bill TR USD</t>
  </si>
  <si>
    <t>^BBMBTR</t>
  </si>
  <si>
    <t>S&amp;P Municipal Bond TR</t>
  </si>
  <si>
    <t>^BBUSATR</t>
  </si>
  <si>
    <t>Bloomberg US Agg Bond TR USD</t>
  </si>
  <si>
    <t>Bloomberg Municipal TR USD</t>
  </si>
  <si>
    <t>Bloomberg Municipal 1-15 Yr TR USD</t>
  </si>
  <si>
    <t>ICE BofA US Muni TR USD</t>
  </si>
  <si>
    <t>ERR: INVALID MUTUAL FUND</t>
  </si>
  <si>
    <t>CRSP US Small Cap Growth TR USD</t>
  </si>
  <si>
    <t>Emerging Markets Equity</t>
  </si>
  <si>
    <t>^MSEMTR</t>
  </si>
  <si>
    <t>MSCI EM NR USD</t>
  </si>
  <si>
    <t>CRSP US Small Cap Value TR USD</t>
  </si>
  <si>
    <t>Russell Mid Cap Growth TR USD</t>
  </si>
  <si>
    <t>Russell Mid Cap Value TR USD</t>
  </si>
  <si>
    <t>Russell 2000 Value TR USD</t>
  </si>
  <si>
    <t>MSCI ACWI Ex USA NR USD</t>
  </si>
  <si>
    <t>MSCI EAFE Value NR USD</t>
  </si>
  <si>
    <t>JPMorgan Equity Premium Income ETF</t>
  </si>
  <si>
    <t>ERR: NO DATA</t>
  </si>
  <si>
    <t>Bloomberg US Agg Float Adj TR USD</t>
  </si>
  <si>
    <t>Bloomberg US 5-10 GovCredit FlAdj TR USD</t>
  </si>
  <si>
    <t>Global Fixed Income</t>
  </si>
  <si>
    <t>^BBGATR</t>
  </si>
  <si>
    <t>ICE BofA US High Yield TR USD</t>
  </si>
  <si>
    <t>S&amp;P National AMT Free Muni TR USD</t>
  </si>
  <si>
    <t>Bloomberg US Muni Mng Mny 1-25Y TR USD</t>
  </si>
  <si>
    <t>FTSE EMs AC China A Incl (US RIC) NR USD</t>
  </si>
  <si>
    <t>NASDAQ 100 TR USD</t>
  </si>
  <si>
    <t>MSCI ACWI NR USD</t>
  </si>
  <si>
    <t>Industrials Equity</t>
  </si>
  <si>
    <t>^SP15INSTR</t>
  </si>
  <si>
    <t>Indxx U.S. Infrastructure Dev TR USD</t>
  </si>
  <si>
    <t>Consumer Services Equity</t>
  </si>
  <si>
    <t>^SP15CNSSTR</t>
  </si>
  <si>
    <t>S&amp;P Cons Staples Select Sector TR USD</t>
  </si>
  <si>
    <t>Invesco Aerospace &amp; Defense ETF</t>
  </si>
  <si>
    <t>SPADE Defense TR USD</t>
  </si>
  <si>
    <t>Pacer DM Internationl CashCows100 TR USD</t>
  </si>
  <si>
    <t>Metals Equity</t>
  </si>
  <si>
    <t>^MSWMMTR</t>
  </si>
  <si>
    <t>N/A</t>
  </si>
  <si>
    <t>CRSP US Mid Cap TR USD</t>
  </si>
  <si>
    <t>Financials Equity</t>
  </si>
  <si>
    <t>^SP15FINSTR</t>
  </si>
  <si>
    <t>S&amp;P Technology Select Sector TR USD</t>
  </si>
  <si>
    <t>Bloomberg Commodity TR USD</t>
  </si>
  <si>
    <t>iShares Core US Aggregate Bond ETF</t>
  </si>
  <si>
    <t>iShares National Muni Bond ETF</t>
  </si>
  <si>
    <t>ICE AMT-Free US National Muni TR USD</t>
  </si>
  <si>
    <t>iShares S&amp;P 500 Value ETF</t>
  </si>
  <si>
    <t>S&amp;P 500 Value TR USD</t>
  </si>
  <si>
    <t>iShares ESG Aware MSCI EM ETF</t>
  </si>
  <si>
    <t>MSCI EM EXTENDED ESG FOCUS NR USD</t>
  </si>
  <si>
    <t>Russell 1000 Growth TR USD</t>
  </si>
  <si>
    <t>ICE BofA US Cash Pay HY TR USD</t>
  </si>
  <si>
    <t>iShares Core MSCI Emerging Markets ETF</t>
  </si>
  <si>
    <t>MSCI EM IMI NR USD</t>
  </si>
  <si>
    <t>Real Estate Equity</t>
  </si>
  <si>
    <t>^SP15RESTR</t>
  </si>
  <si>
    <t>Bloomberg Municipal Yield TR USDU</t>
  </si>
  <si>
    <t>iShares Russell Mid-Cap Growth ETF</t>
  </si>
  <si>
    <t>Fidelity Emerging Markets Fund</t>
  </si>
  <si>
    <t>iShares S&amp;P Small-Cap 600 Value ETF</t>
  </si>
  <si>
    <t>S&amp;P SmallCap 600 Value TR USD</t>
  </si>
  <si>
    <t>MSCI ACWI Small NR USD</t>
  </si>
  <si>
    <t>iShares Core S&amp;P Small-Cap ETF</t>
  </si>
  <si>
    <t>S&amp;P SmallCap 600 TR USD</t>
  </si>
  <si>
    <t>iShares Core 1-5 Year USD Bond ETF</t>
  </si>
  <si>
    <t>Bloomberg US Universal 1-5 Years TR USD</t>
  </si>
  <si>
    <t>CRSP US Small Cap TR USD</t>
  </si>
  <si>
    <t>Russell 2000 Growth TR USD</t>
  </si>
  <si>
    <t>iShares Morningstar Value ETF</t>
  </si>
  <si>
    <t>Morningstar US LM Brd Value TR USD</t>
  </si>
  <si>
    <t>iShares Morningstar Small-Cap Growth ETF</t>
  </si>
  <si>
    <t>Morningstar US Small Brd Grt Ext TR USD</t>
  </si>
  <si>
    <t>iShares Morningstar Small-Cap Value ETF</t>
  </si>
  <si>
    <t>Morningstar US Small Brd Val Ext TR USD</t>
  </si>
  <si>
    <t>Markit iBoxx Liquid High Yield TR USD</t>
  </si>
  <si>
    <t>Utilities Equity</t>
  </si>
  <si>
    <t>^SPXUSTR</t>
  </si>
  <si>
    <t>S&amp;P Utilities Select Sector TR USD</t>
  </si>
  <si>
    <t>NYSE Arca Gold Miners TR USD</t>
  </si>
  <si>
    <t>S&amp;P Target Risk Moderate Index</t>
  </si>
  <si>
    <t>Russell 1000 Growth Total Return</t>
  </si>
  <si>
    <t>S&amp;P 500 Total Return</t>
  </si>
  <si>
    <t>Private Equity Index Total Return</t>
  </si>
  <si>
    <t>Russell 2000 Total Return</t>
  </si>
  <si>
    <t>Bloomberg Commodity Index Total Return</t>
  </si>
  <si>
    <t>Bloomberg US Credit</t>
  </si>
  <si>
    <t>Bloomberg Municipal Bond</t>
  </si>
  <si>
    <t>Bloomberg US Aggregate</t>
  </si>
  <si>
    <t>ERR: INVALID ASSET</t>
  </si>
  <si>
    <t>MSCI Emerging Markets Total Return</t>
  </si>
  <si>
    <t>Bloomberg Global Aggregate</t>
  </si>
  <si>
    <t>S&amp;P 1500 Industrials (Sector) Total Return</t>
  </si>
  <si>
    <t>S&amp;P 1500 Consumer Staples (Sector) Total Return</t>
  </si>
  <si>
    <t>MSCI World Metals &amp; Mining Total Return</t>
  </si>
  <si>
    <t>S&amp;P 1500 Financials (Sector) Total Return</t>
  </si>
  <si>
    <t>S&amp;P 1500 Real Estate (Sector) Total Return</t>
  </si>
  <si>
    <t>S&amp;P 500 Utilities (Sector) Total Return</t>
  </si>
  <si>
    <t>Meeder Dynamic Allocation Fund Institutional</t>
  </si>
  <si>
    <t>Meeder Muirfield Fund Retail</t>
  </si>
  <si>
    <t>Meeder Dynamic Allocation Fund Retail</t>
  </si>
  <si>
    <t>Meeder Balanced Fund Retail</t>
  </si>
  <si>
    <t>Meeder Balanced Fund Institutional</t>
  </si>
  <si>
    <t>Holbrook Income Fund I</t>
  </si>
  <si>
    <t>Meeder Muirfield Fund Institutional</t>
  </si>
  <si>
    <t>Utilities Select Sector SPDR Fund</t>
  </si>
  <si>
    <t>American Funds American Mutual Fund F3</t>
  </si>
  <si>
    <t>Vanguard Value Index Fund Admiral</t>
  </si>
  <si>
    <t>Meeder Sector Rotation Fund Institutional</t>
  </si>
  <si>
    <t>Global X US Infrastructure Development ETF</t>
  </si>
  <si>
    <t>Technology Select Sector SPDR Fund</t>
  </si>
  <si>
    <t>BlackRock Technology Opportunities Fund Inst</t>
  </si>
  <si>
    <t>Consumer Staples Select Sector SPDR Fund</t>
  </si>
  <si>
    <t>Nuance Mid Cap Value Fund Institutional</t>
  </si>
  <si>
    <t>Vanguard Mid-Cap Index Fund ETF</t>
  </si>
  <si>
    <t>Columbia Small Cap Value Fund II Ins</t>
  </si>
  <si>
    <t>Vanguard Small-Cap Value Index Fund Admiral</t>
  </si>
  <si>
    <t>Vanguard Small-Cap Growth Index Fund Adm</t>
  </si>
  <si>
    <t>MFS Mid Cap Growth Fund A</t>
  </si>
  <si>
    <t>MFS Mid Cap Value Fund A</t>
  </si>
  <si>
    <t>AB Small Cap Growth Portfolio A</t>
  </si>
  <si>
    <t>Columbia Small Cap Value Fund II A</t>
  </si>
  <si>
    <t>Vanguard Small-Cap Value Index Fund ETF</t>
  </si>
  <si>
    <t>Columbia Small Cap Value Fund II I2</t>
  </si>
  <si>
    <t>Fidelity Advisor Small Cap Growth Fund Z</t>
  </si>
  <si>
    <t>Vanguard Mid-Cap Growth Index Fund ETF</t>
  </si>
  <si>
    <t>AB Small Cap Growth Portfolio Advisor</t>
  </si>
  <si>
    <t>Vanguard Small-Cap Index Fund ETF</t>
  </si>
  <si>
    <t>Invesco Discovery Fund Y</t>
  </si>
  <si>
    <t>Vanguard Small-Cap Growth Index Fund ETF</t>
  </si>
  <si>
    <t>MFS Mid Cap Value Fund I</t>
  </si>
  <si>
    <t>MFS Mid Cap Growth Fund I</t>
  </si>
  <si>
    <t>Fidelity Small Cap Value Index Fund</t>
  </si>
  <si>
    <t>US Multi-Cap Value</t>
  </si>
  <si>
    <t>^RLVTR</t>
  </si>
  <si>
    <t>Russell 1000 Value Total Return</t>
  </si>
  <si>
    <t>Vanguard Growth Index Fund Admiral</t>
  </si>
  <si>
    <t>iShares Russell 1000 Growth</t>
  </si>
  <si>
    <t>AB Large Cap Growth Fund Advisor</t>
  </si>
  <si>
    <t>Fidelity Large Cap Growth Index Fund</t>
  </si>
  <si>
    <t>Invesco QQQ Trust, Series 1</t>
  </si>
  <si>
    <t>JPMorgan Hedged Equity Fund I</t>
  </si>
  <si>
    <t>JPMorgan Equity Premium Income Fund I</t>
  </si>
  <si>
    <t>Glenmede Secured Options Portfolio Institutional</t>
  </si>
  <si>
    <t>Meeder Spectrum Fund Institutional</t>
  </si>
  <si>
    <t>Fidelity International Index Fund</t>
  </si>
  <si>
    <t>Pacer Developed Markets International Cash Cws 100</t>
  </si>
  <si>
    <t>American Funds SMALLCAP World Fund F2</t>
  </si>
  <si>
    <t>Goldman Sachs GQG Partners International Oppt Inv</t>
  </si>
  <si>
    <t>Goldman Sachs GQG Partners International Oppt Inst</t>
  </si>
  <si>
    <t>Columbia Overseas Value Fund I2</t>
  </si>
  <si>
    <t>First Eagle Gold Fund I</t>
  </si>
  <si>
    <t>Vanguard Emerging Markets Stock Index Fund ETF</t>
  </si>
  <si>
    <t>American Funds New World Fund F2</t>
  </si>
  <si>
    <t>Vanguard Emerging Markets Stock Index Fund Admiral</t>
  </si>
  <si>
    <t>GQG Partners Emerging Markets Equity Fund Inst</t>
  </si>
  <si>
    <t>Fidelity Emerging Markets Index Fund</t>
  </si>
  <si>
    <t>BlackRock Strategic Income Opps Port Inst</t>
  </si>
  <si>
    <t>iShares iBoxx $ High Yield Corporate Bond ETF</t>
  </si>
  <si>
    <t>Vanguard Total Bond Market Index Fund Admiral</t>
  </si>
  <si>
    <t>Performance Trust Total Return Bond Fund Insti</t>
  </si>
  <si>
    <t>Vanguard Total Bond Market Index Fund ETF</t>
  </si>
  <si>
    <t>Vanguard Intermediate-Term Bond Index Fund ETF</t>
  </si>
  <si>
    <t>BrandywineGLOBAL - High Yield Fund I</t>
  </si>
  <si>
    <t>American Funds Bond Fund of America F2</t>
  </si>
  <si>
    <t>Guggenheim Total Return Bond Fund Institutional</t>
  </si>
  <si>
    <t>Frost Total Return Bond Fund Institutional</t>
  </si>
  <si>
    <t>DFA Social Fixed Income Portfolio Institutional</t>
  </si>
  <si>
    <t>Ocean Park Tactical Bond Fund Inst</t>
  </si>
  <si>
    <t>Vanguard Intermediate-Term Bond Index Fund Admiral</t>
  </si>
  <si>
    <t>Manning &amp; Napier High Yield Bond Series I</t>
  </si>
  <si>
    <t>Nuveen Strategic Municipal Opportunities Fund I</t>
  </si>
  <si>
    <t>Vanguard Intermediate-Term Tax-Exempt Fund Admiral</t>
  </si>
  <si>
    <t>iShares Municipal Bond Index Fund Institutional</t>
  </si>
  <si>
    <t>Vanguard Tax-Exempt Bond Index Fund ETF</t>
  </si>
  <si>
    <t>SPDR Nuveen Bloomberg Municipal Bond ETF</t>
  </si>
  <si>
    <t>SPDR Nuveen Bloomberg High Yield Municipal Bd ETF</t>
  </si>
  <si>
    <t>NYLI MacKay High Yield Municipal Bond Fund I</t>
  </si>
  <si>
    <t>Vanguard Tax-Exempt Bond Index Fund Admiral</t>
  </si>
  <si>
    <t>JPMorgan Income Fund I</t>
  </si>
  <si>
    <t>Columbia Commodity Strategy Fund I2</t>
  </si>
  <si>
    <t>Parametric Commodity Strategy Fund I</t>
  </si>
  <si>
    <t>+/- Benchmark Return Quarterly</t>
  </si>
  <si>
    <t>+/- Benchmark Return YTD</t>
  </si>
  <si>
    <t>+/- Benchmark Return 1 YR</t>
  </si>
  <si>
    <t>+/- Benchmark Return 3 YR</t>
  </si>
  <si>
    <t>+/- Benchmark Return 5 YR</t>
  </si>
  <si>
    <t>Steps to use this Dashboard</t>
  </si>
  <si>
    <t>AAANX</t>
  </si>
  <si>
    <t>AASRX</t>
  </si>
  <si>
    <t>ABRYX</t>
  </si>
  <si>
    <t>ACVVX</t>
  </si>
  <si>
    <t>ADSIX</t>
  </si>
  <si>
    <t>AGAZX</t>
  </si>
  <si>
    <t>AGVHX</t>
  </si>
  <si>
    <t>AIMNX</t>
  </si>
  <si>
    <t>ANBFX</t>
  </si>
  <si>
    <t>AQMIX</t>
  </si>
  <si>
    <t>AQMNX</t>
  </si>
  <si>
    <t>AVFIX</t>
  </si>
  <si>
    <t>AZIIX</t>
  </si>
  <si>
    <t>BBBIX</t>
  </si>
  <si>
    <t>BGHAX</t>
  </si>
  <si>
    <t>BIL</t>
  </si>
  <si>
    <t>BIMSX</t>
  </si>
  <si>
    <t>BMOIX</t>
  </si>
  <si>
    <t>BNDIX</t>
  </si>
  <si>
    <t>BPLEX</t>
  </si>
  <si>
    <t>BTIFX</t>
  </si>
  <si>
    <t>BXDYX</t>
  </si>
  <si>
    <t>CASH</t>
  </si>
  <si>
    <t>CCSZX</t>
  </si>
  <si>
    <t>CINCX</t>
  </si>
  <si>
    <t>CLMFX</t>
  </si>
  <si>
    <t>CLMVX</t>
  </si>
  <si>
    <t>CRRYX</t>
  </si>
  <si>
    <t>CYBAX</t>
  </si>
  <si>
    <t>DFGBX</t>
  </si>
  <si>
    <t>DFGEX</t>
  </si>
  <si>
    <t>DFSMX</t>
  </si>
  <si>
    <t>DFWIX</t>
  </si>
  <si>
    <t>DGCIX</t>
  </si>
  <si>
    <t>DHLSX</t>
  </si>
  <si>
    <t>DIHRX</t>
  </si>
  <si>
    <t>DLTNX</t>
  </si>
  <si>
    <t>DVOIX</t>
  </si>
  <si>
    <t>EEM</t>
  </si>
  <si>
    <t>EFA</t>
  </si>
  <si>
    <t>EIFAX</t>
  </si>
  <si>
    <t>EIGMX</t>
  </si>
  <si>
    <t>EIISX</t>
  </si>
  <si>
    <t>EMB</t>
  </si>
  <si>
    <t>ESIIX</t>
  </si>
  <si>
    <t>FBND</t>
  </si>
  <si>
    <t>FCNTX</t>
  </si>
  <si>
    <t>FGUMX</t>
  </si>
  <si>
    <t>FIADX</t>
  </si>
  <si>
    <t>FIKQX</t>
  </si>
  <si>
    <t>FISPX</t>
  </si>
  <si>
    <t>FITLX</t>
  </si>
  <si>
    <t>FKEMX</t>
  </si>
  <si>
    <t>FLBDX</t>
  </si>
  <si>
    <t>FLCGX</t>
  </si>
  <si>
    <t>FLDOX</t>
  </si>
  <si>
    <t>FLFGX</t>
  </si>
  <si>
    <t>FLRUX</t>
  </si>
  <si>
    <t>FLSPX</t>
  </si>
  <si>
    <t>FMCSX</t>
  </si>
  <si>
    <t>FNDSX</t>
  </si>
  <si>
    <t>FNWFX</t>
  </si>
  <si>
    <t>FPACX</t>
  </si>
  <si>
    <t>FSMAX</t>
  </si>
  <si>
    <t>GDX</t>
  </si>
  <si>
    <t>GERAX</t>
  </si>
  <si>
    <t>GERIX</t>
  </si>
  <si>
    <t>GERUX</t>
  </si>
  <si>
    <t>GIOAX</t>
  </si>
  <si>
    <t>GIRPX</t>
  </si>
  <si>
    <t>GRIFX</t>
  </si>
  <si>
    <t>GSZIX</t>
  </si>
  <si>
    <t>GTSOX</t>
  </si>
  <si>
    <t>HGIYX</t>
  </si>
  <si>
    <t>HIEMX</t>
  </si>
  <si>
    <t>HLIPX</t>
  </si>
  <si>
    <t>HRSMX</t>
  </si>
  <si>
    <t>HYLB</t>
  </si>
  <si>
    <t>ICEIX</t>
  </si>
  <si>
    <t>IEF</t>
  </si>
  <si>
    <t>IEI</t>
  </si>
  <si>
    <t>IFAIX</t>
  </si>
  <si>
    <t>IGE</t>
  </si>
  <si>
    <t>IVHIX</t>
  </si>
  <si>
    <t>IWN</t>
  </si>
  <si>
    <t>IWO</t>
  </si>
  <si>
    <t>JABNX</t>
  </si>
  <si>
    <t>JGASX</t>
  </si>
  <si>
    <t>JGSMX</t>
  </si>
  <si>
    <t>JHAIX</t>
  </si>
  <si>
    <t>JMGRX</t>
  </si>
  <si>
    <t>JSCOX</t>
  </si>
  <si>
    <t>JSCP</t>
  </si>
  <si>
    <t>JSMGX</t>
  </si>
  <si>
    <t>JVASX</t>
  </si>
  <si>
    <t>LASYX</t>
  </si>
  <si>
    <t>LCRIX</t>
  </si>
  <si>
    <t>LFRFX</t>
  </si>
  <si>
    <t>LFRIX</t>
  </si>
  <si>
    <t>LIT</t>
  </si>
  <si>
    <t>LQD</t>
  </si>
  <si>
    <t>LSVQX</t>
  </si>
  <si>
    <t>MALMX</t>
  </si>
  <si>
    <t>MASFX</t>
  </si>
  <si>
    <t>MBB</t>
  </si>
  <si>
    <t>MBXIX</t>
  </si>
  <si>
    <t>MERFX</t>
  </si>
  <si>
    <t>MMHAX</t>
  </si>
  <si>
    <t>MTCIX</t>
  </si>
  <si>
    <t>MWTIX</t>
  </si>
  <si>
    <t>MWTRX</t>
  </si>
  <si>
    <t>NCLEX</t>
  </si>
  <si>
    <t>NELIX</t>
  </si>
  <si>
    <t>NOSGX</t>
  </si>
  <si>
    <t>ODVYX</t>
  </si>
  <si>
    <t>OIGIX</t>
  </si>
  <si>
    <t>OIGYX</t>
  </si>
  <si>
    <t>ORIAX</t>
  </si>
  <si>
    <t>OSTIX</t>
  </si>
  <si>
    <t>PCLIX</t>
  </si>
  <si>
    <t>PDBZX</t>
  </si>
  <si>
    <t>PICYX</t>
  </si>
  <si>
    <t>PIGIX</t>
  </si>
  <si>
    <t>PIMIX</t>
  </si>
  <si>
    <t>PJSQX</t>
  </si>
  <si>
    <t>PNCYX</t>
  </si>
  <si>
    <t>PRHSX</t>
  </si>
  <si>
    <t>PSCT</t>
  </si>
  <si>
    <t>PXNIX</t>
  </si>
  <si>
    <t>QMNIX</t>
  </si>
  <si>
    <t>QUAIX</t>
  </si>
  <si>
    <t>RSYEX</t>
  </si>
  <si>
    <t>RYMFX</t>
  </si>
  <si>
    <t>RYMSX</t>
  </si>
  <si>
    <t>RZG</t>
  </si>
  <si>
    <t>SATRX</t>
  </si>
  <si>
    <t>SAWMX</t>
  </si>
  <si>
    <t>SGENX</t>
  </si>
  <si>
    <t>SGOV</t>
  </si>
  <si>
    <t>SHOIX</t>
  </si>
  <si>
    <t>SHV</t>
  </si>
  <si>
    <t>SHY</t>
  </si>
  <si>
    <t>SJNK</t>
  </si>
  <si>
    <t>SPHIX</t>
  </si>
  <si>
    <t>SPY</t>
  </si>
  <si>
    <t>SRLN</t>
  </si>
  <si>
    <t>SSIIX</t>
  </si>
  <si>
    <t>SUB</t>
  </si>
  <si>
    <t>SUSA</t>
  </si>
  <si>
    <t>SUSB</t>
  </si>
  <si>
    <t>SUSC</t>
  </si>
  <si>
    <t>SWGXX</t>
  </si>
  <si>
    <t>TBCIX</t>
  </si>
  <si>
    <t>TFHVX</t>
  </si>
  <si>
    <t>TGEIX</t>
  </si>
  <si>
    <t>TLT</t>
  </si>
  <si>
    <t>TSCXX</t>
  </si>
  <si>
    <t>TSONX</t>
  </si>
  <si>
    <t>USD</t>
  </si>
  <si>
    <t>VARBX</t>
  </si>
  <si>
    <t>VASVX</t>
  </si>
  <si>
    <t>VCIT</t>
  </si>
  <si>
    <t>VENAX</t>
  </si>
  <si>
    <t>VESGX</t>
  </si>
  <si>
    <t>VFIAX</t>
  </si>
  <si>
    <t>VFIIX</t>
  </si>
  <si>
    <t>VFSTX</t>
  </si>
  <si>
    <t>VFSUX</t>
  </si>
  <si>
    <t>VFTAX</t>
  </si>
  <si>
    <t>VHGEX</t>
  </si>
  <si>
    <t>VICSX</t>
  </si>
  <si>
    <t>VIISX</t>
  </si>
  <si>
    <t>VIVAX</t>
  </si>
  <si>
    <t>VIVIX</t>
  </si>
  <si>
    <t>VMBS</t>
  </si>
  <si>
    <t>VMNFX</t>
  </si>
  <si>
    <t>WSTYX</t>
  </si>
  <si>
    <t>XLB</t>
  </si>
  <si>
    <t>XLF</t>
  </si>
  <si>
    <t>XLI</t>
  </si>
  <si>
    <t>XLRE</t>
  </si>
  <si>
    <t>XLY</t>
  </si>
  <si>
    <t>Leuthold Core Investment Fund Institutional</t>
  </si>
  <si>
    <t>Meeder Global Allocation Fund Retail</t>
  </si>
  <si>
    <t>Meeder Moderate Allocation Fund Institutional</t>
  </si>
  <si>
    <t>Meeder Conservative Allocation Fund Institutional</t>
  </si>
  <si>
    <t>Meeder Conservative Allocation Fund Retail</t>
  </si>
  <si>
    <t>Horizon Active Asset Allocation Fund Investor</t>
  </si>
  <si>
    <t>Meeder Moderate Allocation Fund Retail</t>
  </si>
  <si>
    <t>Janus Henderson Balanced Fund N</t>
  </si>
  <si>
    <t>FPA Crescent Fund Inst</t>
  </si>
  <si>
    <t>Federated Hermes Max-Cap Index Fund Institutional</t>
  </si>
  <si>
    <t>Meeder Sector Rotation Fund Retail</t>
  </si>
  <si>
    <t>Hartford Core Equity Fund Y</t>
  </si>
  <si>
    <t>Fidelity US Sustainability Index Fund</t>
  </si>
  <si>
    <t>MSCI USA ESG Leaders GR USD</t>
  </si>
  <si>
    <t>Fidelity Contrafund</t>
  </si>
  <si>
    <t>iShares North American Natural Resources ETF</t>
  </si>
  <si>
    <t>S&amp;P North American Natural Resources TR</t>
  </si>
  <si>
    <t>DFA Global Real Estate Securities Portfolio</t>
  </si>
  <si>
    <t>S&amp;P Global REIT NR USD</t>
  </si>
  <si>
    <t>T Rowe Price Health Sciences Fund</t>
  </si>
  <si>
    <t>Healthcare Equity</t>
  </si>
  <si>
    <t>^SP15HCSTR</t>
  </si>
  <si>
    <t>S&amp;P 1500 Health Care (Sector) Total Return</t>
  </si>
  <si>
    <t>Global X Lithium &amp; Battery Tech ETF</t>
  </si>
  <si>
    <t>Solactive Global Lithium TR USD</t>
  </si>
  <si>
    <t>Invesco S&amp;P SmallCap Information Tech ETF</t>
  </si>
  <si>
    <t>S&amp;P Small 600Cap Info Tech TR USD</t>
  </si>
  <si>
    <t>MFS Technology Fund I</t>
  </si>
  <si>
    <t>Hood River Small-Cap Growth Fund Institutional</t>
  </si>
  <si>
    <t>AB Small Cap Growth Portfolio I</t>
  </si>
  <si>
    <t>Fidelity Mid-Cap Stock Fund</t>
  </si>
  <si>
    <t>S&amp;P MidCap 400 TR</t>
  </si>
  <si>
    <t>iShares Russell 2000 Value ETF</t>
  </si>
  <si>
    <t>Janus Henderson Enterprise Fund I</t>
  </si>
  <si>
    <t>Northern Small Cap Value Fund</t>
  </si>
  <si>
    <t>Columbia Small Cap Value Fund II I3</t>
  </si>
  <si>
    <t>PGIM Jennison Small Company Fund R6</t>
  </si>
  <si>
    <t>Russell 2500 TR USD</t>
  </si>
  <si>
    <t>iShares Russell 2000 Growth ETF</t>
  </si>
  <si>
    <t>Janus Henderson Triton Fund I</t>
  </si>
  <si>
    <t>Russell 2500 Growth TR USD</t>
  </si>
  <si>
    <t>Fidelity Extended Market Index Fund</t>
  </si>
  <si>
    <t>DJ US Completion Total Stock Mkt TR USD</t>
  </si>
  <si>
    <t>American Beacon Small Cap Value Fund R6</t>
  </si>
  <si>
    <t>American Beacon Small Cap Value Fund R5</t>
  </si>
  <si>
    <t>Nicholas Limited Edition I</t>
  </si>
  <si>
    <t>LSV Small Cap Value Fund Institutional</t>
  </si>
  <si>
    <t>Victory RS Small Cap Growth Fund Y</t>
  </si>
  <si>
    <t>Janus Henderson Small Cap Value Fund I</t>
  </si>
  <si>
    <t>JPMorgan Small Cap Growth Fund R6</t>
  </si>
  <si>
    <t>JPMorgan Value Advantage Fund I</t>
  </si>
  <si>
    <t>American Century Disciplined Growth Fund Inv</t>
  </si>
  <si>
    <t>Russell 1000 TR USD</t>
  </si>
  <si>
    <t>JPMorgan Growth Advantage Fund I</t>
  </si>
  <si>
    <t>Boston Partners Long/Short Equity Fund Inv</t>
  </si>
  <si>
    <t>John Hancock Multi-Asset Absolute Return Fund I</t>
  </si>
  <si>
    <t>ICE BofA 0-3 M US Trsy Bill TR USD</t>
  </si>
  <si>
    <t>Meeder Spectrum Fund Retail</t>
  </si>
  <si>
    <t>Allspring Global Long/Short Equity Fund Inst</t>
  </si>
  <si>
    <t>Invesco Balanced-Risk Allocation Fund Y</t>
  </si>
  <si>
    <t>Natixis Loomis Sayles Strat Alpha Y</t>
  </si>
  <si>
    <t>Glenmede Secured Options Portfolio Advisor</t>
  </si>
  <si>
    <t>Belmont Theta Income Fund Institutional</t>
  </si>
  <si>
    <t>Nuveen Equity Long/Short Fund I</t>
  </si>
  <si>
    <t>Merger Fund A</t>
  </si>
  <si>
    <t>iMGP Alternative Strategies Fund Inst</t>
  </si>
  <si>
    <t>Diamond Hill Long-Short Fund I</t>
  </si>
  <si>
    <t>Eaton Vance Global Macro Absolute Return Fund I</t>
  </si>
  <si>
    <t>Bloomberg Global Aggregate TR Hdg USD</t>
  </si>
  <si>
    <t>Lord Abbett Floating Rate Fund I</t>
  </si>
  <si>
    <t>Lord Abbett Floating Rate Fund F</t>
  </si>
  <si>
    <t>Eaton Vance Floating-Rate Advantage Fund I</t>
  </si>
  <si>
    <t>AQR Equity Market Neutral Fund I</t>
  </si>
  <si>
    <t>AQR Managed Futures Strategy Fund I</t>
  </si>
  <si>
    <t>AQR Managed Futures Strategy Fund N</t>
  </si>
  <si>
    <t>Catalyst/Millburn Hedge Strategy Fund I</t>
  </si>
  <si>
    <t>Rydex Guggenheim Managed Futures Strat Fund P</t>
  </si>
  <si>
    <t>Parametric International Equity Fund I</t>
  </si>
  <si>
    <t>Impax International Sustainable Economy Fund Inst</t>
  </si>
  <si>
    <t>iShares MSCI EAFE ETF</t>
  </si>
  <si>
    <t>Invesco Oppenheimer International Growth Fund R6</t>
  </si>
  <si>
    <t>Invesco Oppenheimer International Growth Fund Y</t>
  </si>
  <si>
    <t>DFA World ex US Core Equity Port Inst</t>
  </si>
  <si>
    <t>American Funds Global Insight Fund F-3</t>
  </si>
  <si>
    <t>DFA Internatnl Hi Relative Profitability Ptfl Inst</t>
  </si>
  <si>
    <t>MSCI World ex USA NR USD</t>
  </si>
  <si>
    <t>Fidelity Advisor International Discovery Fund I</t>
  </si>
  <si>
    <t>Delaware Ivy International Core Equity Fund I</t>
  </si>
  <si>
    <t>VanEck Gold Miners ETF</t>
  </si>
  <si>
    <t>Virtus SGA Emerging Markets Equity Fund I</t>
  </si>
  <si>
    <t>iShares MSCI Emerging Markets ETF</t>
  </si>
  <si>
    <t>American Funds New World Fund F3</t>
  </si>
  <si>
    <t>Invesco Developing Markets Fund Y</t>
  </si>
  <si>
    <t>Goldman Sachs Emerging Mkts Eqty Insights Fd R6</t>
  </si>
  <si>
    <t>Goldman Sachs Emerging Mkts Eqty Insights Fd Inst</t>
  </si>
  <si>
    <t>Goldman Sachs Emerging Mkts Eqty Insights Fd Inv</t>
  </si>
  <si>
    <t>Goldman Sachs Emerging Mkts Eqty Insights Fd A</t>
  </si>
  <si>
    <t>Fidelity Emerging Markets Fund K</t>
  </si>
  <si>
    <t>Columbia Mortgage Opportunities Fund I2</t>
  </si>
  <si>
    <t>Goldman Sachs Dynamic Bond Fund Inst</t>
  </si>
  <si>
    <t>Guggenheim Macro Opportunities Fund A</t>
  </si>
  <si>
    <t>iShares iBoxx $ Inv Grade Corporate Bond ETF</t>
  </si>
  <si>
    <t>Markit iBoxx Liquid IG TR USD</t>
  </si>
  <si>
    <t>American Funds Strategic Bond Fund F2</t>
  </si>
  <si>
    <t>Pioneer Bond Fund Y</t>
  </si>
  <si>
    <t>iShares 7-10 Year Treasury Bond ETF</t>
  </si>
  <si>
    <t>ICE U.S. Treasury 7-10 Year Bond TR USD</t>
  </si>
  <si>
    <t>TCW MetWest Total Return Bd Fd M</t>
  </si>
  <si>
    <t>PIMCO Investment Grade Credit Bond Fund Inst</t>
  </si>
  <si>
    <t>TCW MetWest Total Return Bd Fd I</t>
  </si>
  <si>
    <t>Delaware Corporate Bond Fund Institutional</t>
  </si>
  <si>
    <t>DoubleLine Total Return Bond Fund N</t>
  </si>
  <si>
    <t>JPMorgan Core Plus Bond Fund I</t>
  </si>
  <si>
    <t>iShares MBS ETF</t>
  </si>
  <si>
    <t>Bloomberg US MBS TR USD</t>
  </si>
  <si>
    <t>Fidelity Sustainability Bond Index Fund</t>
  </si>
  <si>
    <t>Bloomberg MSCI US Agg ESG Chc Bd TR USD</t>
  </si>
  <si>
    <t>iShares US Aggregate Bond Idx Fund Institutional</t>
  </si>
  <si>
    <t>Xtrackers USD High Yld Corporate Bd ETF</t>
  </si>
  <si>
    <t>Solactive USD HY Corp Total Mkt TR USD</t>
  </si>
  <si>
    <t>Calvert Income Fund I</t>
  </si>
  <si>
    <t>Fidelity Total Bond ETF</t>
  </si>
  <si>
    <t>Fidelity Advisor Investment Grade Bond Fund Z</t>
  </si>
  <si>
    <t>PGIM Total Return Bond Fund Z</t>
  </si>
  <si>
    <t>Putnam Income Fund Y</t>
  </si>
  <si>
    <t>Fidelity Advisor High Income Fund Z</t>
  </si>
  <si>
    <t>ICE BofA US HY Constnd TR USD</t>
  </si>
  <si>
    <t>Meeder Tactical Income Fund Retail</t>
  </si>
  <si>
    <t>iShares 3-7 Year Treasury Bond ETF</t>
  </si>
  <si>
    <t>ICE U.S. Treasury 3-7 Year Bond TR USD</t>
  </si>
  <si>
    <t>Meeder Tactical Income Fund Institutional</t>
  </si>
  <si>
    <t>Delaware Ivy High Income Fund I</t>
  </si>
  <si>
    <t>Bloomberg Global Aggregate TR USD</t>
  </si>
  <si>
    <t>Baird Intermediate Bond Fund Investor</t>
  </si>
  <si>
    <t>Bloomberg US Govt/Credit Interm TR USD</t>
  </si>
  <si>
    <t>PIMCO Income Fund Institutional</t>
  </si>
  <si>
    <t>JPMorgan Short Duration Core Plus ETF</t>
  </si>
  <si>
    <t>Bloomberg US Govt/Credit 1-5 Yr TR USD</t>
  </si>
  <si>
    <t>MassMutual Short-Duration Bond Fund Y</t>
  </si>
  <si>
    <t>Bloomberg US Aggregate 1-3 Yr TR USD</t>
  </si>
  <si>
    <t>Eaton Vance Strategic Income Fund I</t>
  </si>
  <si>
    <t>Calvert High Yield Bond Fund A</t>
  </si>
  <si>
    <t>BrandywineGLOBAL - High Yield Fund A</t>
  </si>
  <si>
    <t>Osterweis Strategic Income Fund</t>
  </si>
  <si>
    <t>BBH Limited Duration Fund I</t>
  </si>
  <si>
    <t>Bloomberg US Treasury 1-3 Yr TR USD</t>
  </si>
  <si>
    <t>SPDR Bloomberg 1-3 Month T-Bill ETF</t>
  </si>
  <si>
    <t>Bloomberg US Treasury Bill 1-3 M TR USD</t>
  </si>
  <si>
    <t>NYLI MacKay High Yield Municipal Bond Fund A</t>
  </si>
  <si>
    <t>BlackRock Short-Term Municipal Fund Institutional</t>
  </si>
  <si>
    <t>Bloomberg Municipal 1-5 Yr TR USD</t>
  </si>
  <si>
    <t>DFA Short-Term Municipal Bond Portfolio Inst</t>
  </si>
  <si>
    <t>ICE BofA 1-3Y US Muni TR USD</t>
  </si>
  <si>
    <t>Horizon Active Income Fund Investor</t>
  </si>
  <si>
    <t>DFA Five-Year Global Fixed Income Portfolio Inst</t>
  </si>
  <si>
    <t>FTSE WGBI 1-5 Yr Hdg USD</t>
  </si>
  <si>
    <t>iShares JPMorgan USD Emerging Markets Bond ETF</t>
  </si>
  <si>
    <t>Emerging Markets Bond</t>
  </si>
  <si>
    <t>^BBEMUSDATR</t>
  </si>
  <si>
    <t>Bloomberg EM USD Aggregate</t>
  </si>
  <si>
    <t>JPM EMBI Global Core TR USD</t>
  </si>
  <si>
    <t>Columbia Commodity Strategy Fund I</t>
  </si>
  <si>
    <t>PIMCO CommoditiesPLUS Strategy Fund Inst</t>
  </si>
  <si>
    <t>First Eagle Global Fund A</t>
  </si>
  <si>
    <t>SA Worldwide Moderate Growth Fund</t>
  </si>
  <si>
    <t>Morningstar Global Markets NR USD</t>
  </si>
  <si>
    <t>Vanguard Value Index Fund Institutional</t>
  </si>
  <si>
    <t>Vanguard Value Index Fund Investor</t>
  </si>
  <si>
    <t>Vanguard 500 Index Fund Admiral</t>
  </si>
  <si>
    <t>Vanguard FTSE Social Index Fund Admiral</t>
  </si>
  <si>
    <t>FTSE US Choice TR USD</t>
  </si>
  <si>
    <t>Vanguard Energy Index Fund Admiral</t>
  </si>
  <si>
    <t>MSCI US IMI/Energy 25-50 GR USD</t>
  </si>
  <si>
    <t>Delaware Ivy Science &amp; Technology Fund Y</t>
  </si>
  <si>
    <t>Vanguard Selected Value Fund Investor</t>
  </si>
  <si>
    <t>T Rowe Price Blue Chip Growth Fund I</t>
  </si>
  <si>
    <t>Vanguard Market Neutral Fund Investor</t>
  </si>
  <si>
    <t>FTSE Treasury Bill 3 Mon USD</t>
  </si>
  <si>
    <t>First Trust Merger Arbitrage Fund I</t>
  </si>
  <si>
    <t>Rydex Guggenheim  Multi-Hedge Strategies Fund P</t>
  </si>
  <si>
    <t>Virtus KAR International Small-Mid Cap Fund I</t>
  </si>
  <si>
    <t>MSCI ACWI Ex USA SMID NR USD</t>
  </si>
  <si>
    <t>Vanguard Global ESG Select Stock Fund Admiral</t>
  </si>
  <si>
    <t>FTSE All World TR USD</t>
  </si>
  <si>
    <t>Nuveen International Responsible Equity Fund R6</t>
  </si>
  <si>
    <t>Vanguard Global Equity Fund Investor</t>
  </si>
  <si>
    <t>T Rowe Price Cash Reserves Fund</t>
  </si>
  <si>
    <t>Money Market</t>
  </si>
  <si>
    <t>^BBUTB13MTR</t>
  </si>
  <si>
    <t>Bloomberg US Treasury Bills 1-3 Month</t>
  </si>
  <si>
    <t>Lipper MM Fund</t>
  </si>
  <si>
    <t>Schwab Government Money Fund Sweep</t>
  </si>
  <si>
    <t>American Beacon SiM High Yield Opportunities R5</t>
  </si>
  <si>
    <t>High Yield Bond</t>
  </si>
  <si>
    <t>^BBUSCOHYTR</t>
  </si>
  <si>
    <t>Bloomberg US Corporate High Yield</t>
  </si>
  <si>
    <t>Vanguard Intermediate-Term Corp Bond Idx Fund Adm</t>
  </si>
  <si>
    <t>Bloomberg US Credit Corp 5-10 Yr TR USD</t>
  </si>
  <si>
    <t>Vanguard GNMA Fund Investor</t>
  </si>
  <si>
    <t>Bloomberg GNMA TR USD</t>
  </si>
  <si>
    <t>Fidelity High Income Fund</t>
  </si>
  <si>
    <t>Vanguard Short-Term Investment-Grade Fund Investor</t>
  </si>
  <si>
    <t>Bloomberg Credit 1-5 Yr TR USD</t>
  </si>
  <si>
    <t>Vanguard Short-Term Investment-Grade Fund Admiral</t>
  </si>
  <si>
    <t>Ocean Park Tactical Core Income Fund Inv</t>
  </si>
  <si>
    <t>TCW Emerging Markets Income Fund I</t>
  </si>
  <si>
    <t>JPM EMBI Global Diversified TR USD</t>
  </si>
  <si>
    <t>iShares MSCI USA ESG Select ETF</t>
  </si>
  <si>
    <t>MSCI USA EXTENDED ESG SELECT GR USD</t>
  </si>
  <si>
    <t>SPDR S&amp;P 500 ETF Trust</t>
  </si>
  <si>
    <t>Real Estate Select Sector SPDR Fund</t>
  </si>
  <si>
    <t>S&amp;P Real Estate Select Sector TR USD</t>
  </si>
  <si>
    <t>Industrial Select Sector SPDR Fund</t>
  </si>
  <si>
    <t>S&amp;P Industrial Select Sector TR USD</t>
  </si>
  <si>
    <t>Financial Select Sector SPDR Fund</t>
  </si>
  <si>
    <t>S&amp;P Financial Select Sector TR USD</t>
  </si>
  <si>
    <t>Materials Select Sector SPDR Fund</t>
  </si>
  <si>
    <t>S&amp;P Materials Select Sector TR USD</t>
  </si>
  <si>
    <t>Consumer Discretionary Select Sector SPDR Fund</t>
  </si>
  <si>
    <t>S&amp;P Consumer Disc Select Sector TR USD</t>
  </si>
  <si>
    <t>Invesco S&amp;P SmallCap 600 Pure Growth ETF</t>
  </si>
  <si>
    <t>S&amp;P SmallCap 600 Pure Growth TR USD</t>
  </si>
  <si>
    <t>SPDR Blackstone Senior Loan ETF</t>
  </si>
  <si>
    <t>ProShares Ultra Semiconductors</t>
  </si>
  <si>
    <t>DJ US Semiconductors TR USD</t>
  </si>
  <si>
    <t>iShares 20+ Year Treasury Bond ETF</t>
  </si>
  <si>
    <t>ICE U.S. Treasury 20+ Year Bond TR USD</t>
  </si>
  <si>
    <t>Vanguard Intermediate-Term Corp Bond Idx Fund ETF</t>
  </si>
  <si>
    <t>iShares ESG Aware USD Corporate Bond ETF</t>
  </si>
  <si>
    <t>Bloomberg MSCI US Corp ESG Focus TR USD</t>
  </si>
  <si>
    <t>Vanguard Mortgage-Backed Secs Idx Fund ETF</t>
  </si>
  <si>
    <t>Bloomberg US MBS Float Adjusted TR USD</t>
  </si>
  <si>
    <t>SPDR Bloomberg Short Term High Yield Bond ETF</t>
  </si>
  <si>
    <t>Bloomberg US HY 350mn CP 0-5Y 2% TR USD</t>
  </si>
  <si>
    <t>iShares ESG Aware 1-5 Year USD Corporate Bond ETF</t>
  </si>
  <si>
    <t>Bloomberg MSCI US Corp 1-5 Yr ESG TR USD</t>
  </si>
  <si>
    <t>iShares 1-3 Year Treasury Bond ETF</t>
  </si>
  <si>
    <t>ICE U.S. Treasury 1-3 Year Bond TR USD</t>
  </si>
  <si>
    <t>iShares Short Treasury Bond ETF</t>
  </si>
  <si>
    <t>ICE Short US Treasury Sec 4PM TR USD</t>
  </si>
  <si>
    <t>iShares 0-3 Month Treasury Bond ETF</t>
  </si>
  <si>
    <t>iShares Short-Term National Muni Bond ETF</t>
  </si>
  <si>
    <t>ICE Shrt Mat AMT-Free US Ntl Muni TR USD</t>
  </si>
  <si>
    <t>1) Ensure Macros are enabled in Excel and on your device</t>
  </si>
  <si>
    <t>2) Ensure connection to the MeederInvest database and access to the InvestmentDB database</t>
  </si>
  <si>
    <t>3) Retrieve all holdings from SQL. Click into cell A1, navigate to the "Query" Tab on the Ribbon above, and select "Refresh"</t>
  </si>
  <si>
    <t>4) Refresh the Fund Info sheet, may also require dragging formulas from columns B to Q down if the number of holdings has increased</t>
  </si>
  <si>
    <t>5) Refresh the Fund Info Table sheet</t>
  </si>
  <si>
    <t>6) On the Dashboard sheet, Click into Cell A1, navigate to the "Query" Tab on the Ribbon above, and select "Refresh"</t>
  </si>
  <si>
    <t>7) Hit Alt+F8 to pull up the available Macros</t>
  </si>
  <si>
    <t>8) Run the Dashboard Macro: "ApplyBordersByBenchmark"</t>
  </si>
  <si>
    <t>US Multi-Cap Core</t>
  </si>
  <si>
    <t>US Large Cap Blend</t>
  </si>
  <si>
    <t>US Mid-Cap Value</t>
  </si>
  <si>
    <t>^RMVTR</t>
  </si>
  <si>
    <t>Russell Midcap Value Total Return</t>
  </si>
  <si>
    <t>US Mid-Cap Core</t>
  </si>
  <si>
    <t>^RMCTR</t>
  </si>
  <si>
    <t>Russell Midcap Total Return</t>
  </si>
  <si>
    <t>US Mid-Cap Growth</t>
  </si>
  <si>
    <t>^RDGTR</t>
  </si>
  <si>
    <t>Russell Midcap Growth Total Return</t>
  </si>
  <si>
    <t>US Small-Cap Value</t>
  </si>
  <si>
    <t>^RUJTR</t>
  </si>
  <si>
    <t>Russell 2000 Value Total Return</t>
  </si>
  <si>
    <t>US Small-Cap Core</t>
  </si>
  <si>
    <t>US Small-Cap Growth</t>
  </si>
  <si>
    <t>^RUOTR</t>
  </si>
  <si>
    <t>Russell 2000 Growth Total Return</t>
  </si>
  <si>
    <t>US Large Cap Value</t>
  </si>
  <si>
    <t>Global Small-/Mid-Cap Funds</t>
  </si>
  <si>
    <t>^MSACSMCNTR</t>
  </si>
  <si>
    <t>MSCI ACWI SMID Cap Net Total Return</t>
  </si>
  <si>
    <t>Global Large-Cap Value</t>
  </si>
  <si>
    <t>^MSACWINTR</t>
  </si>
  <si>
    <t>MSCI ACWI Net Total Return</t>
  </si>
  <si>
    <t>Global Multi-Cap Core</t>
  </si>
  <si>
    <t>Global Large-Cap Core</t>
  </si>
  <si>
    <t>International Small/Mid-Cap Growth</t>
  </si>
  <si>
    <t>^MSACXUSSCN</t>
  </si>
  <si>
    <t>MSCI ACWI Ex USA Small Cap Net Total Return</t>
  </si>
  <si>
    <t>International Multi-Cap Core</t>
  </si>
  <si>
    <t>^MSACXUSNTR</t>
  </si>
  <si>
    <t>MSCI ACWI Ex USA Net Total Return</t>
  </si>
  <si>
    <t>International Multi-Cap Value</t>
  </si>
  <si>
    <t>International Large-Cap Core</t>
  </si>
  <si>
    <t>International Multi-Cap Growth</t>
  </si>
  <si>
    <t>International Large-Cap Growth</t>
  </si>
  <si>
    <t>US Long/Short Equity</t>
  </si>
  <si>
    <t>^LGALSEUS</t>
  </si>
  <si>
    <t>Lipper Global Alternative Long/Short Equity US</t>
  </si>
  <si>
    <t>US Government Bond</t>
  </si>
  <si>
    <t>^BBUSTTR</t>
  </si>
  <si>
    <t>Bloomberg US Treasury</t>
  </si>
  <si>
    <t>US Mortgage Backed Bond</t>
  </si>
  <si>
    <t>^BBUSMBSTR</t>
  </si>
  <si>
    <t>Bloomberg US Mortgage Backed Securities</t>
  </si>
  <si>
    <t>US Short Term Bond</t>
  </si>
  <si>
    <t>^BBUGCR13YT</t>
  </si>
  <si>
    <t>Bloomberg US Government/Credit 1-3 Year</t>
  </si>
  <si>
    <t>US Short Term Government Bond</t>
  </si>
  <si>
    <t>US High Yield Bond</t>
  </si>
  <si>
    <t>US Corporate Bond</t>
  </si>
  <si>
    <t>^BBUSCOTR</t>
  </si>
  <si>
    <t>Bloomberg US Corporate</t>
  </si>
  <si>
    <t>US Aggregate Bond</t>
  </si>
  <si>
    <t>US Short Term Municipal Bond</t>
  </si>
  <si>
    <t>^BBMB15YTR</t>
  </si>
  <si>
    <t>Bloomberg Municipal Bond Short 1-5 Year</t>
  </si>
  <si>
    <t>US High Yield Municipal Bond</t>
  </si>
  <si>
    <t>^BMBHYTR</t>
  </si>
  <si>
    <t>Bloomberg Municipal Bond High Yield</t>
  </si>
  <si>
    <t>US Aggregate Municipal Bond</t>
  </si>
  <si>
    <t>Apollo Diversified Real Estt I</t>
  </si>
  <si>
    <t>Markit iBoxx USD Liquid Levged Loan TR</t>
  </si>
  <si>
    <t>Apollo Diversified Credit I</t>
  </si>
  <si>
    <t>CION Ares Diversified Credit I</t>
  </si>
  <si>
    <t>As of Date:</t>
  </si>
  <si>
    <t>Morningstar LSTA US LL TR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</si>
</sst>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quotePrefix="1"/>
    <xf numFmtId="10" fontId="0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14" fontId="0" fillId="0" borderId="11" xfId="0" applyNumberFormat="1" applyBorder="1"/>
    <xf numFmtId="0" fontId="0" fillId="0" borderId="0" xfId="0" applyBorder="1"/>
  </cellXfs>
  <cellStyles count="2">
    <cellStyle name="Normal" xfId="0" builtinId="0"/>
    <cellStyle name="Percent" xfId="1" builtinId="5"/>
  </cellStyles>
  <dxfs count="1561"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fill>
        <patternFill>
          <bgColor rgb="FFFF6347"/>
        </patternFill>
      </fill>
    </dxf>
    <dxf>
      <fill>
        <patternFill>
          <bgColor rgb="FF90EE9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EEE6566-E8EB-45E6-BA6F-1C22E23032F9}" autoFormatId="16" applyNumberFormats="0" applyBorderFormats="0" applyFontFormats="0" applyPatternFormats="0" applyAlignmentFormats="0" applyWidthHeightFormats="0">
  <queryTableRefresh nextId="2">
    <queryTableFields count="1">
      <queryTableField id="1" name="Ticker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C2C611A-4D7D-4F55-8747-8891C9344BBE}" autoFormatId="16" applyNumberFormats="0" applyBorderFormats="0" applyFontFormats="0" applyPatternFormats="0" applyAlignmentFormats="0" applyWidthHeightFormats="0">
  <queryTableRefresh nextId="26">
    <queryTableFields count="16">
      <queryTableField id="1" name="Ticker" tableColumnId="1"/>
      <queryTableField id="2" name="Name" tableColumnId="2"/>
      <queryTableField id="3" name="Category" tableColumnId="3"/>
      <queryTableField id="4" name="Benchmark Ticker" tableColumnId="4"/>
      <queryTableField id="5" name="Benchmark" tableColumnId="5"/>
      <queryTableField id="6" name="Prospectus Benchmark" tableColumnId="6"/>
      <queryTableField id="7" name="Quarterly Return" tableColumnId="7"/>
      <queryTableField id="17" name="+/- Benchmark Return Quarterly" tableColumnId="8"/>
      <queryTableField id="9" name="YTD" tableColumnId="9"/>
      <queryTableField id="18" name="+/- Benchmark Return YTD" tableColumnId="10"/>
      <queryTableField id="11" name="1 YR" tableColumnId="11"/>
      <queryTableField id="19" name="+/- Benchmark Return 1 YR" tableColumnId="12"/>
      <queryTableField id="13" name="3 YR" tableColumnId="13"/>
      <queryTableField id="20" name="+/- Benchmark Return 3 YR" tableColumnId="14"/>
      <queryTableField id="15" name="5 YR" tableColumnId="15"/>
      <queryTableField id="21" name="+/- Benchmark Return 5 YR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6709C2-C897-4752-9F23-3F6CBB69E13A}" name="Query1" displayName="Query1" ref="A1:A281" tableType="queryTable" totalsRowShown="0">
  <autoFilter ref="A1:A281" xr:uid="{736709C2-C897-4752-9F23-3F6CBB69E13A}"/>
  <tableColumns count="1">
    <tableColumn id="1" xr3:uid="{101C9463-5CF4-48A5-9E84-314A58755C09}" uniqueName="1" name="Ticker" queryTableFieldId="1" dataDxfId="156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F7E459-43FF-40ED-97E3-30AE6D6B77BC}" name="Dashboard" displayName="Dashboard" ref="A1:P281" tableType="queryTable" totalsRowShown="0">
  <autoFilter ref="A1:P281" xr:uid="{DDF7E459-43FF-40ED-97E3-30AE6D6B77BC}"/>
  <tableColumns count="16">
    <tableColumn id="1" xr3:uid="{6266B45B-BC2B-4C53-8EED-5D3B4C758E33}" uniqueName="1" name="Ticker" queryTableFieldId="1"/>
    <tableColumn id="2" xr3:uid="{98CDB9A1-45A0-48FC-9D1A-614EA4E171F0}" uniqueName="2" name="Name" queryTableFieldId="2"/>
    <tableColumn id="3" xr3:uid="{BADAB1AA-2BBF-4233-A93F-BD1415C7F278}" uniqueName="3" name="Category" queryTableFieldId="3"/>
    <tableColumn id="4" xr3:uid="{6F7955EF-3B98-4A29-87C1-B8CD05214ACF}" uniqueName="4" name="Benchmark Ticker" queryTableFieldId="4"/>
    <tableColumn id="5" xr3:uid="{433984F8-6D88-4F65-A553-59145A3CC476}" uniqueName="5" name="Benchmark" queryTableFieldId="5"/>
    <tableColumn id="6" xr3:uid="{79A39AEA-3DA1-4555-8C15-364D15643768}" uniqueName="6" name="Prospectus Benchmark" queryTableFieldId="6"/>
    <tableColumn id="7" xr3:uid="{25DF3191-9210-4F5D-8FB1-252A7BCCCA7D}" uniqueName="7" name="Quarterly Return" queryTableFieldId="7"/>
    <tableColumn id="8" xr3:uid="{FF7D333F-9C73-493F-AA32-5B91C5C1EBC2}" uniqueName="8" name="+/- Benchmark Return Quarterly" queryTableFieldId="17"/>
    <tableColumn id="9" xr3:uid="{535B7E89-90CB-47D8-AFCC-CC92473C39B2}" uniqueName="9" name="YTD" queryTableFieldId="9"/>
    <tableColumn id="10" xr3:uid="{B48BBDA5-75FC-49CE-AB97-63C2B2A2BA97}" uniqueName="10" name="+/- Benchmark Return YTD" queryTableFieldId="18"/>
    <tableColumn id="11" xr3:uid="{ED1818DD-2879-4190-B3F0-3DD867779C7D}" uniqueName="11" name="1 YR" queryTableFieldId="11"/>
    <tableColumn id="12" xr3:uid="{4EF47C67-0E10-4B7B-A5DF-9E81B05FD927}" uniqueName="12" name="+/- Benchmark Return 1 YR" queryTableFieldId="19"/>
    <tableColumn id="13" xr3:uid="{E25EAEAC-06B8-46DE-9570-E67EC635C4C7}" uniqueName="13" name="3 YR" queryTableFieldId="13"/>
    <tableColumn id="14" xr3:uid="{FF976728-4D78-42D5-85AC-765FA6D048C1}" uniqueName="14" name="+/- Benchmark Return 3 YR" queryTableFieldId="20"/>
    <tableColumn id="15" xr3:uid="{17BEDFC3-B163-43E7-8FC9-96EAA331B527}" uniqueName="15" name="5 YR" queryTableFieldId="15"/>
    <tableColumn id="16" xr3:uid="{6F12B53A-DFDD-4843-846F-CA38FE7C1BBB}" uniqueName="16" name="+/- Benchmark Return 5 YR" queryTableField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A918C-BD61-442C-9C6D-9690D5BDB21E}">
  <dimension ref="A1:P281"/>
  <sheetViews>
    <sheetView tabSelected="1" workbookViewId="0"/>
  </sheetViews>
  <sheetFormatPr defaultRowHeight="15" x14ac:dyDescent="0.25"/>
  <cols>
    <col min="1" max="1" width="8.7109375" bestFit="1" customWidth="1"/>
    <col min="4" max="4" width="10.42578125" customWidth="1"/>
    <col min="5" max="5" width="10.42578125" bestFit="1" customWidth="1"/>
  </cols>
  <sheetData>
    <row r="1" spans="1:16" x14ac:dyDescent="0.25">
      <c r="A1" t="s">
        <v>0</v>
      </c>
    </row>
    <row r="2" spans="1:16" x14ac:dyDescent="0.25">
      <c r="A2" t="s">
        <v>324</v>
      </c>
      <c r="D2" s="13" t="s">
        <v>323</v>
      </c>
      <c r="E2" s="11"/>
      <c r="F2" s="12"/>
      <c r="G2" s="3"/>
      <c r="H2" s="3"/>
      <c r="I2" s="3"/>
      <c r="J2" s="3"/>
      <c r="K2" s="3"/>
      <c r="L2" s="3"/>
      <c r="M2" s="3"/>
      <c r="N2" s="3"/>
      <c r="O2" s="3"/>
      <c r="P2" s="8"/>
    </row>
    <row r="3" spans="1:16" x14ac:dyDescent="0.25">
      <c r="A3" t="s">
        <v>325</v>
      </c>
      <c r="D3" s="6" t="s">
        <v>749</v>
      </c>
      <c r="P3" s="9"/>
    </row>
    <row r="4" spans="1:16" x14ac:dyDescent="0.25">
      <c r="A4" t="s">
        <v>41</v>
      </c>
      <c r="D4" s="6" t="s">
        <v>750</v>
      </c>
      <c r="P4" s="9"/>
    </row>
    <row r="5" spans="1:16" x14ac:dyDescent="0.25">
      <c r="A5" t="s">
        <v>326</v>
      </c>
      <c r="D5" s="6" t="s">
        <v>751</v>
      </c>
      <c r="P5" s="9"/>
    </row>
    <row r="6" spans="1:16" x14ac:dyDescent="0.25">
      <c r="A6" t="s">
        <v>327</v>
      </c>
      <c r="D6" s="6" t="s">
        <v>752</v>
      </c>
      <c r="P6" s="9"/>
    </row>
    <row r="7" spans="1:16" x14ac:dyDescent="0.25">
      <c r="A7" t="s">
        <v>328</v>
      </c>
      <c r="D7" s="6" t="s">
        <v>753</v>
      </c>
      <c r="P7" s="9"/>
    </row>
    <row r="8" spans="1:16" x14ac:dyDescent="0.25">
      <c r="A8" t="s">
        <v>69</v>
      </c>
      <c r="D8" s="6" t="s">
        <v>754</v>
      </c>
      <c r="P8" s="9"/>
    </row>
    <row r="9" spans="1:16" x14ac:dyDescent="0.25">
      <c r="A9" t="s">
        <v>329</v>
      </c>
      <c r="D9" s="6" t="s">
        <v>755</v>
      </c>
      <c r="P9" s="9"/>
    </row>
    <row r="10" spans="1:16" x14ac:dyDescent="0.25">
      <c r="A10" t="s">
        <v>50</v>
      </c>
      <c r="D10" s="7" t="s">
        <v>756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10"/>
    </row>
    <row r="11" spans="1:16" x14ac:dyDescent="0.25">
      <c r="A11" t="s">
        <v>330</v>
      </c>
    </row>
    <row r="12" spans="1:16" x14ac:dyDescent="0.25">
      <c r="A12" t="s">
        <v>331</v>
      </c>
    </row>
    <row r="13" spans="1:16" x14ac:dyDescent="0.25">
      <c r="A13" t="s">
        <v>332</v>
      </c>
    </row>
    <row r="14" spans="1:16" x14ac:dyDescent="0.25">
      <c r="A14" t="s">
        <v>92</v>
      </c>
      <c r="D14" s="14" t="s">
        <v>823</v>
      </c>
      <c r="E14" s="15">
        <v>45657</v>
      </c>
    </row>
    <row r="15" spans="1:16" x14ac:dyDescent="0.25">
      <c r="A15" t="s">
        <v>333</v>
      </c>
    </row>
    <row r="16" spans="1:16" x14ac:dyDescent="0.25">
      <c r="A16" t="s">
        <v>334</v>
      </c>
    </row>
    <row r="17" spans="1:1" x14ac:dyDescent="0.25">
      <c r="A17" t="s">
        <v>335</v>
      </c>
    </row>
    <row r="18" spans="1:1" x14ac:dyDescent="0.25">
      <c r="A18" t="s">
        <v>336</v>
      </c>
    </row>
    <row r="19" spans="1:1" x14ac:dyDescent="0.25">
      <c r="A19" t="s">
        <v>337</v>
      </c>
    </row>
    <row r="20" spans="1:1" x14ac:dyDescent="0.25">
      <c r="A20" t="s">
        <v>338</v>
      </c>
    </row>
    <row r="21" spans="1:1" x14ac:dyDescent="0.25">
      <c r="A21" t="s">
        <v>28</v>
      </c>
    </row>
    <row r="22" spans="1:1" x14ac:dyDescent="0.25">
      <c r="A22" t="s">
        <v>93</v>
      </c>
    </row>
    <row r="23" spans="1:1" x14ac:dyDescent="0.25">
      <c r="A23" t="s">
        <v>13</v>
      </c>
    </row>
    <row r="24" spans="1:1" x14ac:dyDescent="0.25">
      <c r="A24" t="s">
        <v>339</v>
      </c>
    </row>
    <row r="25" spans="1:1" x14ac:dyDescent="0.25">
      <c r="A25" t="s">
        <v>340</v>
      </c>
    </row>
    <row r="26" spans="1:1" x14ac:dyDescent="0.25">
      <c r="A26" t="s">
        <v>26</v>
      </c>
    </row>
    <row r="27" spans="1:1" x14ac:dyDescent="0.25">
      <c r="A27" t="s">
        <v>6</v>
      </c>
    </row>
    <row r="28" spans="1:1" x14ac:dyDescent="0.25">
      <c r="A28" t="s">
        <v>341</v>
      </c>
    </row>
    <row r="29" spans="1:1" x14ac:dyDescent="0.25">
      <c r="A29" t="s">
        <v>25</v>
      </c>
    </row>
    <row r="30" spans="1:1" x14ac:dyDescent="0.25">
      <c r="A30" t="s">
        <v>342</v>
      </c>
    </row>
    <row r="31" spans="1:1" x14ac:dyDescent="0.25">
      <c r="A31" t="s">
        <v>343</v>
      </c>
    </row>
    <row r="32" spans="1:1" x14ac:dyDescent="0.25">
      <c r="A32" t="s">
        <v>9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49</v>
      </c>
    </row>
    <row r="36" spans="1:1" x14ac:dyDescent="0.25">
      <c r="A36" t="s">
        <v>45</v>
      </c>
    </row>
    <row r="37" spans="1:1" x14ac:dyDescent="0.25">
      <c r="A37" t="s">
        <v>346</v>
      </c>
    </row>
    <row r="38" spans="1:1" x14ac:dyDescent="0.25">
      <c r="A38" t="s">
        <v>347</v>
      </c>
    </row>
    <row r="39" spans="1:1" x14ac:dyDescent="0.25">
      <c r="A39" t="s">
        <v>348</v>
      </c>
    </row>
    <row r="40" spans="1:1" x14ac:dyDescent="0.25">
      <c r="A40" t="s">
        <v>349</v>
      </c>
    </row>
    <row r="41" spans="1:1" x14ac:dyDescent="0.25">
      <c r="A41" t="s">
        <v>350</v>
      </c>
    </row>
    <row r="42" spans="1:1" x14ac:dyDescent="0.25">
      <c r="A42" t="s">
        <v>22</v>
      </c>
    </row>
    <row r="43" spans="1:1" x14ac:dyDescent="0.25">
      <c r="A43" t="s">
        <v>57</v>
      </c>
    </row>
    <row r="44" spans="1:1" x14ac:dyDescent="0.25">
      <c r="A44" t="s">
        <v>46</v>
      </c>
    </row>
    <row r="45" spans="1:1" x14ac:dyDescent="0.25">
      <c r="A45" t="s">
        <v>20</v>
      </c>
    </row>
    <row r="46" spans="1:1" x14ac:dyDescent="0.25">
      <c r="A46" t="s">
        <v>351</v>
      </c>
    </row>
    <row r="47" spans="1:1" x14ac:dyDescent="0.25">
      <c r="A47" t="s">
        <v>352</v>
      </c>
    </row>
    <row r="48" spans="1:1" x14ac:dyDescent="0.25">
      <c r="A48" t="s">
        <v>353</v>
      </c>
    </row>
    <row r="49" spans="1:1" x14ac:dyDescent="0.25">
      <c r="A49" t="s">
        <v>354</v>
      </c>
    </row>
    <row r="50" spans="1:1" x14ac:dyDescent="0.25">
      <c r="A50" t="s">
        <v>355</v>
      </c>
    </row>
    <row r="51" spans="1:1" x14ac:dyDescent="0.25">
      <c r="A51" t="s">
        <v>356</v>
      </c>
    </row>
    <row r="52" spans="1:1" x14ac:dyDescent="0.25">
      <c r="A52" t="s">
        <v>357</v>
      </c>
    </row>
    <row r="53" spans="1:1" x14ac:dyDescent="0.25">
      <c r="A53" t="s">
        <v>358</v>
      </c>
    </row>
    <row r="54" spans="1:1" x14ac:dyDescent="0.25">
      <c r="A54" t="s">
        <v>359</v>
      </c>
    </row>
    <row r="55" spans="1:1" x14ac:dyDescent="0.25">
      <c r="A55" t="s">
        <v>360</v>
      </c>
    </row>
    <row r="56" spans="1:1" x14ac:dyDescent="0.25">
      <c r="A56" t="s">
        <v>52</v>
      </c>
    </row>
    <row r="57" spans="1:1" x14ac:dyDescent="0.25">
      <c r="A57" t="s">
        <v>361</v>
      </c>
    </row>
    <row r="58" spans="1:1" x14ac:dyDescent="0.25">
      <c r="A58" t="s">
        <v>1</v>
      </c>
    </row>
    <row r="59" spans="1:1" x14ac:dyDescent="0.25">
      <c r="A59" t="s">
        <v>362</v>
      </c>
    </row>
    <row r="60" spans="1:1" x14ac:dyDescent="0.25">
      <c r="A60" t="s">
        <v>363</v>
      </c>
    </row>
    <row r="61" spans="1:1" x14ac:dyDescent="0.25">
      <c r="A61" t="s">
        <v>364</v>
      </c>
    </row>
    <row r="62" spans="1:1" x14ac:dyDescent="0.25">
      <c r="A62" t="s">
        <v>365</v>
      </c>
    </row>
    <row r="63" spans="1:1" x14ac:dyDescent="0.25">
      <c r="A63" t="s">
        <v>366</v>
      </c>
    </row>
    <row r="64" spans="1:1" x14ac:dyDescent="0.25">
      <c r="A64" t="s">
        <v>8</v>
      </c>
    </row>
    <row r="65" spans="1:1" x14ac:dyDescent="0.25">
      <c r="A65" t="s">
        <v>367</v>
      </c>
    </row>
    <row r="66" spans="1:1" x14ac:dyDescent="0.25">
      <c r="A66" t="s">
        <v>54</v>
      </c>
    </row>
    <row r="67" spans="1:1" x14ac:dyDescent="0.25">
      <c r="A67" t="s">
        <v>368</v>
      </c>
    </row>
    <row r="68" spans="1:1" x14ac:dyDescent="0.25">
      <c r="A68" t="s">
        <v>369</v>
      </c>
    </row>
    <row r="69" spans="1:1" x14ac:dyDescent="0.25">
      <c r="A69" t="s">
        <v>370</v>
      </c>
    </row>
    <row r="70" spans="1:1" x14ac:dyDescent="0.25">
      <c r="A70" t="s">
        <v>44</v>
      </c>
    </row>
    <row r="71" spans="1:1" x14ac:dyDescent="0.25">
      <c r="A71" t="s">
        <v>75</v>
      </c>
    </row>
    <row r="72" spans="1:1" x14ac:dyDescent="0.25">
      <c r="A72" t="s">
        <v>371</v>
      </c>
    </row>
    <row r="73" spans="1:1" x14ac:dyDescent="0.25">
      <c r="A73" t="s">
        <v>372</v>
      </c>
    </row>
    <row r="74" spans="1:1" x14ac:dyDescent="0.25">
      <c r="A74" t="s">
        <v>81</v>
      </c>
    </row>
    <row r="75" spans="1:1" x14ac:dyDescent="0.25">
      <c r="A75" t="s">
        <v>84</v>
      </c>
    </row>
    <row r="76" spans="1:1" x14ac:dyDescent="0.25">
      <c r="A76" t="s">
        <v>373</v>
      </c>
    </row>
    <row r="77" spans="1:1" x14ac:dyDescent="0.25">
      <c r="A77" t="s">
        <v>374</v>
      </c>
    </row>
    <row r="78" spans="1:1" x14ac:dyDescent="0.25">
      <c r="A78" t="s">
        <v>83</v>
      </c>
    </row>
    <row r="79" spans="1:1" x14ac:dyDescent="0.25">
      <c r="A79" t="s">
        <v>375</v>
      </c>
    </row>
    <row r="80" spans="1:1" x14ac:dyDescent="0.25">
      <c r="A80" t="s">
        <v>376</v>
      </c>
    </row>
    <row r="81" spans="1:1" x14ac:dyDescent="0.25">
      <c r="A81" t="s">
        <v>377</v>
      </c>
    </row>
    <row r="82" spans="1:1" x14ac:dyDescent="0.25">
      <c r="A82" t="s">
        <v>378</v>
      </c>
    </row>
    <row r="83" spans="1:1" x14ac:dyDescent="0.25">
      <c r="A83" t="s">
        <v>72</v>
      </c>
    </row>
    <row r="84" spans="1:1" x14ac:dyDescent="0.25">
      <c r="A84" t="s">
        <v>71</v>
      </c>
    </row>
    <row r="85" spans="1:1" x14ac:dyDescent="0.25">
      <c r="A85" t="s">
        <v>379</v>
      </c>
    </row>
    <row r="86" spans="1:1" x14ac:dyDescent="0.25">
      <c r="A86" t="s">
        <v>380</v>
      </c>
    </row>
    <row r="87" spans="1:1" x14ac:dyDescent="0.25">
      <c r="A87" t="s">
        <v>70</v>
      </c>
    </row>
    <row r="88" spans="1:1" x14ac:dyDescent="0.25">
      <c r="A88" t="s">
        <v>2</v>
      </c>
    </row>
    <row r="89" spans="1:1" x14ac:dyDescent="0.25">
      <c r="A89" t="s">
        <v>381</v>
      </c>
    </row>
    <row r="90" spans="1:1" x14ac:dyDescent="0.25">
      <c r="A90" t="s">
        <v>382</v>
      </c>
    </row>
    <row r="91" spans="1:1" x14ac:dyDescent="0.25">
      <c r="A91" t="s">
        <v>383</v>
      </c>
    </row>
    <row r="92" spans="1:1" x14ac:dyDescent="0.25">
      <c r="A92" t="s">
        <v>384</v>
      </c>
    </row>
    <row r="93" spans="1:1" x14ac:dyDescent="0.25">
      <c r="A93" t="s">
        <v>385</v>
      </c>
    </row>
    <row r="94" spans="1:1" x14ac:dyDescent="0.25">
      <c r="A94" t="s">
        <v>386</v>
      </c>
    </row>
    <row r="95" spans="1:1" x14ac:dyDescent="0.25">
      <c r="A95" t="s">
        <v>15</v>
      </c>
    </row>
    <row r="96" spans="1:1" x14ac:dyDescent="0.25">
      <c r="A96" t="s">
        <v>387</v>
      </c>
    </row>
    <row r="97" spans="1:1" x14ac:dyDescent="0.25">
      <c r="A97" t="s">
        <v>82</v>
      </c>
    </row>
    <row r="98" spans="1:1" x14ac:dyDescent="0.25">
      <c r="A98" t="s">
        <v>7</v>
      </c>
    </row>
    <row r="99" spans="1:1" x14ac:dyDescent="0.25">
      <c r="A99" t="s">
        <v>388</v>
      </c>
    </row>
    <row r="100" spans="1:1" x14ac:dyDescent="0.25">
      <c r="A100" t="s">
        <v>389</v>
      </c>
    </row>
    <row r="101" spans="1:1" x14ac:dyDescent="0.25">
      <c r="A101" t="s">
        <v>390</v>
      </c>
    </row>
    <row r="102" spans="1:1" x14ac:dyDescent="0.25">
      <c r="A102" t="s">
        <v>391</v>
      </c>
    </row>
    <row r="103" spans="1:1" x14ac:dyDescent="0.25">
      <c r="A103" t="s">
        <v>42</v>
      </c>
    </row>
    <row r="104" spans="1:1" x14ac:dyDescent="0.25">
      <c r="A104" t="s">
        <v>392</v>
      </c>
    </row>
    <row r="105" spans="1:1" x14ac:dyDescent="0.25">
      <c r="A105" t="s">
        <v>393</v>
      </c>
    </row>
    <row r="106" spans="1:1" x14ac:dyDescent="0.25">
      <c r="A106" t="s">
        <v>86</v>
      </c>
    </row>
    <row r="107" spans="1:1" x14ac:dyDescent="0.25">
      <c r="A107" t="s">
        <v>23</v>
      </c>
    </row>
    <row r="108" spans="1:1" x14ac:dyDescent="0.25">
      <c r="A108" t="s">
        <v>394</v>
      </c>
    </row>
    <row r="109" spans="1:1" x14ac:dyDescent="0.25">
      <c r="A109" t="s">
        <v>21</v>
      </c>
    </row>
    <row r="110" spans="1:1" x14ac:dyDescent="0.25">
      <c r="A110" t="s">
        <v>35</v>
      </c>
    </row>
    <row r="111" spans="1:1" x14ac:dyDescent="0.25">
      <c r="A111" t="s">
        <v>395</v>
      </c>
    </row>
    <row r="112" spans="1:1" x14ac:dyDescent="0.25">
      <c r="A112" t="s">
        <v>396</v>
      </c>
    </row>
    <row r="113" spans="1:1" x14ac:dyDescent="0.25">
      <c r="A113" t="s">
        <v>397</v>
      </c>
    </row>
    <row r="114" spans="1:1" x14ac:dyDescent="0.25">
      <c r="A114" t="s">
        <v>398</v>
      </c>
    </row>
    <row r="115" spans="1:1" x14ac:dyDescent="0.25">
      <c r="A115" t="s">
        <v>399</v>
      </c>
    </row>
    <row r="116" spans="1:1" x14ac:dyDescent="0.25">
      <c r="A116" t="s">
        <v>85</v>
      </c>
    </row>
    <row r="117" spans="1:1" x14ac:dyDescent="0.25">
      <c r="A117" t="s">
        <v>400</v>
      </c>
    </row>
    <row r="118" spans="1:1" x14ac:dyDescent="0.25">
      <c r="A118" t="s">
        <v>94</v>
      </c>
    </row>
    <row r="119" spans="1:1" x14ac:dyDescent="0.25">
      <c r="A119" t="s">
        <v>401</v>
      </c>
    </row>
    <row r="120" spans="1:1" x14ac:dyDescent="0.25">
      <c r="A120" t="s">
        <v>68</v>
      </c>
    </row>
    <row r="121" spans="1:1" x14ac:dyDescent="0.25">
      <c r="A121" t="s">
        <v>402</v>
      </c>
    </row>
    <row r="122" spans="1:1" x14ac:dyDescent="0.25">
      <c r="A122" t="s">
        <v>43</v>
      </c>
    </row>
    <row r="123" spans="1:1" x14ac:dyDescent="0.25">
      <c r="A123" t="s">
        <v>403</v>
      </c>
    </row>
    <row r="124" spans="1:1" x14ac:dyDescent="0.25">
      <c r="A124" t="s">
        <v>404</v>
      </c>
    </row>
    <row r="125" spans="1:1" x14ac:dyDescent="0.25">
      <c r="A125" t="s">
        <v>65</v>
      </c>
    </row>
    <row r="126" spans="1:1" x14ac:dyDescent="0.25">
      <c r="A126" t="s">
        <v>405</v>
      </c>
    </row>
    <row r="127" spans="1:1" x14ac:dyDescent="0.25">
      <c r="A127" t="s">
        <v>406</v>
      </c>
    </row>
    <row r="128" spans="1:1" x14ac:dyDescent="0.25">
      <c r="A128" t="s">
        <v>78</v>
      </c>
    </row>
    <row r="129" spans="1:1" x14ac:dyDescent="0.25">
      <c r="A129" t="s">
        <v>76</v>
      </c>
    </row>
    <row r="130" spans="1:1" x14ac:dyDescent="0.25">
      <c r="A130" t="s">
        <v>88</v>
      </c>
    </row>
    <row r="131" spans="1:1" x14ac:dyDescent="0.25">
      <c r="A131" t="s">
        <v>89</v>
      </c>
    </row>
    <row r="132" spans="1:1" x14ac:dyDescent="0.25">
      <c r="A132" t="s">
        <v>90</v>
      </c>
    </row>
    <row r="133" spans="1:1" x14ac:dyDescent="0.25">
      <c r="A133" t="s">
        <v>79</v>
      </c>
    </row>
    <row r="134" spans="1:1" x14ac:dyDescent="0.25">
      <c r="A134" t="s">
        <v>53</v>
      </c>
    </row>
    <row r="135" spans="1:1" x14ac:dyDescent="0.25">
      <c r="A135" t="s">
        <v>407</v>
      </c>
    </row>
    <row r="136" spans="1:1" x14ac:dyDescent="0.25">
      <c r="A136" t="s">
        <v>67</v>
      </c>
    </row>
    <row r="137" spans="1:1" x14ac:dyDescent="0.25">
      <c r="A137" t="s">
        <v>408</v>
      </c>
    </row>
    <row r="138" spans="1:1" x14ac:dyDescent="0.25">
      <c r="A138" t="s">
        <v>409</v>
      </c>
    </row>
    <row r="139" spans="1:1" x14ac:dyDescent="0.25">
      <c r="A139" t="s">
        <v>74</v>
      </c>
    </row>
    <row r="140" spans="1:1" x14ac:dyDescent="0.25">
      <c r="A140" t="s">
        <v>410</v>
      </c>
    </row>
    <row r="141" spans="1:1" x14ac:dyDescent="0.25">
      <c r="A141" t="s">
        <v>24</v>
      </c>
    </row>
    <row r="142" spans="1:1" x14ac:dyDescent="0.25">
      <c r="A142" t="s">
        <v>5</v>
      </c>
    </row>
    <row r="143" spans="1:1" x14ac:dyDescent="0.25">
      <c r="A143" t="s">
        <v>411</v>
      </c>
    </row>
    <row r="144" spans="1:1" x14ac:dyDescent="0.25">
      <c r="A144" t="s">
        <v>412</v>
      </c>
    </row>
    <row r="145" spans="1:1" x14ac:dyDescent="0.25">
      <c r="A145" t="s">
        <v>413</v>
      </c>
    </row>
    <row r="146" spans="1:1" x14ac:dyDescent="0.25">
      <c r="A146" t="s">
        <v>64</v>
      </c>
    </row>
    <row r="147" spans="1:1" x14ac:dyDescent="0.25">
      <c r="A147" t="s">
        <v>414</v>
      </c>
    </row>
    <row r="148" spans="1:1" x14ac:dyDescent="0.25">
      <c r="A148" t="s">
        <v>27</v>
      </c>
    </row>
    <row r="149" spans="1:1" x14ac:dyDescent="0.25">
      <c r="A149" t="s">
        <v>415</v>
      </c>
    </row>
    <row r="150" spans="1:1" x14ac:dyDescent="0.25">
      <c r="A150" t="s">
        <v>416</v>
      </c>
    </row>
    <row r="151" spans="1:1" x14ac:dyDescent="0.25">
      <c r="A151" t="s">
        <v>417</v>
      </c>
    </row>
    <row r="152" spans="1:1" x14ac:dyDescent="0.25">
      <c r="A152" t="s">
        <v>418</v>
      </c>
    </row>
    <row r="153" spans="1:1" x14ac:dyDescent="0.25">
      <c r="A153" t="s">
        <v>419</v>
      </c>
    </row>
    <row r="154" spans="1:1" x14ac:dyDescent="0.25">
      <c r="A154" t="s">
        <v>420</v>
      </c>
    </row>
    <row r="155" spans="1:1" x14ac:dyDescent="0.25">
      <c r="A155" t="s">
        <v>421</v>
      </c>
    </row>
    <row r="156" spans="1:1" x14ac:dyDescent="0.25">
      <c r="A156" t="s">
        <v>422</v>
      </c>
    </row>
    <row r="157" spans="1:1" x14ac:dyDescent="0.25">
      <c r="A157" t="s">
        <v>423</v>
      </c>
    </row>
    <row r="158" spans="1:1" x14ac:dyDescent="0.25">
      <c r="A158" t="s">
        <v>424</v>
      </c>
    </row>
    <row r="159" spans="1:1" x14ac:dyDescent="0.25">
      <c r="A159" t="s">
        <v>425</v>
      </c>
    </row>
    <row r="160" spans="1:1" x14ac:dyDescent="0.25">
      <c r="A160" t="s">
        <v>426</v>
      </c>
    </row>
    <row r="161" spans="1:1" x14ac:dyDescent="0.25">
      <c r="A161" t="s">
        <v>427</v>
      </c>
    </row>
    <row r="162" spans="1:1" x14ac:dyDescent="0.25">
      <c r="A162" t="s">
        <v>428</v>
      </c>
    </row>
    <row r="163" spans="1:1" x14ac:dyDescent="0.25">
      <c r="A163" t="s">
        <v>429</v>
      </c>
    </row>
    <row r="164" spans="1:1" x14ac:dyDescent="0.25">
      <c r="A164" t="s">
        <v>18</v>
      </c>
    </row>
    <row r="165" spans="1:1" x14ac:dyDescent="0.25">
      <c r="A165" t="s">
        <v>430</v>
      </c>
    </row>
    <row r="166" spans="1:1" x14ac:dyDescent="0.25">
      <c r="A166" t="s">
        <v>431</v>
      </c>
    </row>
    <row r="167" spans="1:1" x14ac:dyDescent="0.25">
      <c r="A167" t="s">
        <v>66</v>
      </c>
    </row>
    <row r="168" spans="1:1" x14ac:dyDescent="0.25">
      <c r="A168" t="s">
        <v>63</v>
      </c>
    </row>
    <row r="169" spans="1:1" x14ac:dyDescent="0.25">
      <c r="A169" t="s">
        <v>432</v>
      </c>
    </row>
    <row r="170" spans="1:1" x14ac:dyDescent="0.25">
      <c r="A170" t="s">
        <v>51</v>
      </c>
    </row>
    <row r="171" spans="1:1" x14ac:dyDescent="0.25">
      <c r="A171" t="s">
        <v>91</v>
      </c>
    </row>
    <row r="172" spans="1:1" x14ac:dyDescent="0.25">
      <c r="A172" t="s">
        <v>433</v>
      </c>
    </row>
    <row r="173" spans="1:1" x14ac:dyDescent="0.25">
      <c r="A173" t="s">
        <v>434</v>
      </c>
    </row>
    <row r="174" spans="1:1" x14ac:dyDescent="0.25">
      <c r="A174" t="s">
        <v>435</v>
      </c>
    </row>
    <row r="175" spans="1:1" x14ac:dyDescent="0.25">
      <c r="A175" t="s">
        <v>436</v>
      </c>
    </row>
    <row r="176" spans="1:1" x14ac:dyDescent="0.25">
      <c r="A176" t="s">
        <v>37</v>
      </c>
    </row>
    <row r="177" spans="1:1" x14ac:dyDescent="0.25">
      <c r="A177" t="s">
        <v>58</v>
      </c>
    </row>
    <row r="178" spans="1:1" x14ac:dyDescent="0.25">
      <c r="A178" t="s">
        <v>437</v>
      </c>
    </row>
    <row r="179" spans="1:1" x14ac:dyDescent="0.25">
      <c r="A179" t="s">
        <v>10</v>
      </c>
    </row>
    <row r="180" spans="1:1" x14ac:dyDescent="0.25">
      <c r="A180" t="s">
        <v>73</v>
      </c>
    </row>
    <row r="181" spans="1:1" x14ac:dyDescent="0.25">
      <c r="A181" t="s">
        <v>87</v>
      </c>
    </row>
    <row r="182" spans="1:1" x14ac:dyDescent="0.25">
      <c r="A182" t="s">
        <v>438</v>
      </c>
    </row>
    <row r="183" spans="1:1" x14ac:dyDescent="0.25">
      <c r="A183" t="s">
        <v>439</v>
      </c>
    </row>
    <row r="184" spans="1:1" x14ac:dyDescent="0.25">
      <c r="A184" t="s">
        <v>440</v>
      </c>
    </row>
    <row r="185" spans="1:1" x14ac:dyDescent="0.25">
      <c r="A185" t="s">
        <v>441</v>
      </c>
    </row>
    <row r="186" spans="1:1" x14ac:dyDescent="0.25">
      <c r="A186" t="s">
        <v>442</v>
      </c>
    </row>
    <row r="187" spans="1:1" x14ac:dyDescent="0.25">
      <c r="A187" t="s">
        <v>55</v>
      </c>
    </row>
    <row r="188" spans="1:1" x14ac:dyDescent="0.25">
      <c r="A188" t="s">
        <v>17</v>
      </c>
    </row>
    <row r="189" spans="1:1" x14ac:dyDescent="0.25">
      <c r="A189" t="s">
        <v>38</v>
      </c>
    </row>
    <row r="190" spans="1:1" x14ac:dyDescent="0.25">
      <c r="A190" t="s">
        <v>443</v>
      </c>
    </row>
    <row r="191" spans="1:1" x14ac:dyDescent="0.25">
      <c r="A191" t="s">
        <v>444</v>
      </c>
    </row>
    <row r="192" spans="1:1" x14ac:dyDescent="0.25">
      <c r="A192" t="s">
        <v>445</v>
      </c>
    </row>
    <row r="193" spans="1:1" x14ac:dyDescent="0.25">
      <c r="A193" t="s">
        <v>446</v>
      </c>
    </row>
    <row r="194" spans="1:1" x14ac:dyDescent="0.25">
      <c r="A194" t="s">
        <v>447</v>
      </c>
    </row>
    <row r="195" spans="1:1" x14ac:dyDescent="0.25">
      <c r="A195" t="s">
        <v>448</v>
      </c>
    </row>
    <row r="196" spans="1:1" x14ac:dyDescent="0.25">
      <c r="A196" t="s">
        <v>449</v>
      </c>
    </row>
    <row r="197" spans="1:1" x14ac:dyDescent="0.25">
      <c r="A197" t="s">
        <v>40</v>
      </c>
    </row>
    <row r="198" spans="1:1" x14ac:dyDescent="0.25">
      <c r="A198" t="s">
        <v>450</v>
      </c>
    </row>
    <row r="199" spans="1:1" x14ac:dyDescent="0.25">
      <c r="A199" t="s">
        <v>451</v>
      </c>
    </row>
    <row r="200" spans="1:1" x14ac:dyDescent="0.25">
      <c r="A200" t="s">
        <v>11</v>
      </c>
    </row>
    <row r="201" spans="1:1" x14ac:dyDescent="0.25">
      <c r="A201" t="s">
        <v>452</v>
      </c>
    </row>
    <row r="202" spans="1:1" x14ac:dyDescent="0.25">
      <c r="A202" t="s">
        <v>453</v>
      </c>
    </row>
    <row r="203" spans="1:1" x14ac:dyDescent="0.25">
      <c r="A203" t="s">
        <v>96</v>
      </c>
    </row>
    <row r="204" spans="1:1" x14ac:dyDescent="0.25">
      <c r="A204" t="s">
        <v>36</v>
      </c>
    </row>
    <row r="205" spans="1:1" x14ac:dyDescent="0.25">
      <c r="A205" t="s">
        <v>454</v>
      </c>
    </row>
    <row r="206" spans="1:1" x14ac:dyDescent="0.25">
      <c r="A206" t="s">
        <v>56</v>
      </c>
    </row>
    <row r="207" spans="1:1" x14ac:dyDescent="0.25">
      <c r="A207" t="s">
        <v>19</v>
      </c>
    </row>
    <row r="208" spans="1:1" x14ac:dyDescent="0.25">
      <c r="A208" t="s">
        <v>455</v>
      </c>
    </row>
    <row r="209" spans="1:1" x14ac:dyDescent="0.25">
      <c r="A209" t="s">
        <v>456</v>
      </c>
    </row>
    <row r="210" spans="1:1" x14ac:dyDescent="0.25">
      <c r="A210" t="s">
        <v>457</v>
      </c>
    </row>
    <row r="211" spans="1:1" x14ac:dyDescent="0.25">
      <c r="A211" t="s">
        <v>458</v>
      </c>
    </row>
    <row r="212" spans="1:1" x14ac:dyDescent="0.25">
      <c r="A212" t="s">
        <v>459</v>
      </c>
    </row>
    <row r="213" spans="1:1" x14ac:dyDescent="0.25">
      <c r="A213" t="s">
        <v>460</v>
      </c>
    </row>
    <row r="214" spans="1:1" x14ac:dyDescent="0.25">
      <c r="A214" t="s">
        <v>461</v>
      </c>
    </row>
    <row r="215" spans="1:1" x14ac:dyDescent="0.25">
      <c r="A215" t="s">
        <v>462</v>
      </c>
    </row>
    <row r="216" spans="1:1" x14ac:dyDescent="0.25">
      <c r="A216" t="s">
        <v>463</v>
      </c>
    </row>
    <row r="217" spans="1:1" x14ac:dyDescent="0.25">
      <c r="A217" t="s">
        <v>464</v>
      </c>
    </row>
    <row r="218" spans="1:1" x14ac:dyDescent="0.25">
      <c r="A218" t="s">
        <v>465</v>
      </c>
    </row>
    <row r="219" spans="1:1" x14ac:dyDescent="0.25">
      <c r="A219" t="s">
        <v>466</v>
      </c>
    </row>
    <row r="220" spans="1:1" x14ac:dyDescent="0.25">
      <c r="A220" t="s">
        <v>77</v>
      </c>
    </row>
    <row r="221" spans="1:1" x14ac:dyDescent="0.25">
      <c r="A221" t="s">
        <v>467</v>
      </c>
    </row>
    <row r="222" spans="1:1" x14ac:dyDescent="0.25">
      <c r="A222" t="s">
        <v>468</v>
      </c>
    </row>
    <row r="223" spans="1:1" x14ac:dyDescent="0.25">
      <c r="A223" t="s">
        <v>469</v>
      </c>
    </row>
    <row r="224" spans="1:1" x14ac:dyDescent="0.25">
      <c r="A224" t="s">
        <v>97</v>
      </c>
    </row>
    <row r="225" spans="1:1" x14ac:dyDescent="0.25">
      <c r="A225" t="s">
        <v>470</v>
      </c>
    </row>
    <row r="226" spans="1:1" x14ac:dyDescent="0.25">
      <c r="A226" t="s">
        <v>98</v>
      </c>
    </row>
    <row r="227" spans="1:1" x14ac:dyDescent="0.25">
      <c r="A227" t="s">
        <v>471</v>
      </c>
    </row>
    <row r="228" spans="1:1" x14ac:dyDescent="0.25">
      <c r="A228" t="s">
        <v>472</v>
      </c>
    </row>
    <row r="229" spans="1:1" x14ac:dyDescent="0.25">
      <c r="A229" t="s">
        <v>473</v>
      </c>
    </row>
    <row r="230" spans="1:1" x14ac:dyDescent="0.25">
      <c r="A230" t="s">
        <v>474</v>
      </c>
    </row>
    <row r="231" spans="1:1" x14ac:dyDescent="0.25">
      <c r="A231" t="s">
        <v>475</v>
      </c>
    </row>
    <row r="232" spans="1:1" x14ac:dyDescent="0.25">
      <c r="A232" t="s">
        <v>476</v>
      </c>
    </row>
    <row r="233" spans="1:1" x14ac:dyDescent="0.25">
      <c r="A233" t="s">
        <v>477</v>
      </c>
    </row>
    <row r="234" spans="1:1" x14ac:dyDescent="0.25">
      <c r="A234" t="s">
        <v>33</v>
      </c>
    </row>
    <row r="235" spans="1:1" x14ac:dyDescent="0.25">
      <c r="A235" t="s">
        <v>478</v>
      </c>
    </row>
    <row r="236" spans="1:1" x14ac:dyDescent="0.25">
      <c r="A236" t="s">
        <v>479</v>
      </c>
    </row>
    <row r="237" spans="1:1" x14ac:dyDescent="0.25">
      <c r="A237" t="s">
        <v>480</v>
      </c>
    </row>
    <row r="238" spans="1:1" x14ac:dyDescent="0.25">
      <c r="A238" t="s">
        <v>481</v>
      </c>
    </row>
    <row r="239" spans="1:1" x14ac:dyDescent="0.25">
      <c r="A239" t="s">
        <v>482</v>
      </c>
    </row>
    <row r="240" spans="1:1" x14ac:dyDescent="0.25">
      <c r="A240" t="s">
        <v>483</v>
      </c>
    </row>
    <row r="241" spans="1:1" x14ac:dyDescent="0.25">
      <c r="A241" t="s">
        <v>484</v>
      </c>
    </row>
    <row r="242" spans="1:1" x14ac:dyDescent="0.25">
      <c r="A242" t="s">
        <v>80</v>
      </c>
    </row>
    <row r="243" spans="1:1" x14ac:dyDescent="0.25">
      <c r="A243" t="s">
        <v>61</v>
      </c>
    </row>
    <row r="244" spans="1:1" x14ac:dyDescent="0.25">
      <c r="A244" t="s">
        <v>30</v>
      </c>
    </row>
    <row r="245" spans="1:1" x14ac:dyDescent="0.25">
      <c r="A245" t="s">
        <v>31</v>
      </c>
    </row>
    <row r="246" spans="1:1" x14ac:dyDescent="0.25">
      <c r="A246" t="s">
        <v>59</v>
      </c>
    </row>
    <row r="247" spans="1:1" x14ac:dyDescent="0.25">
      <c r="A247" t="s">
        <v>485</v>
      </c>
    </row>
    <row r="248" spans="1:1" x14ac:dyDescent="0.25">
      <c r="A248" t="s">
        <v>62</v>
      </c>
    </row>
    <row r="249" spans="1:1" x14ac:dyDescent="0.25">
      <c r="A249" t="s">
        <v>486</v>
      </c>
    </row>
    <row r="250" spans="1:1" x14ac:dyDescent="0.25">
      <c r="A250" t="s">
        <v>487</v>
      </c>
    </row>
    <row r="251" spans="1:1" x14ac:dyDescent="0.25">
      <c r="A251" t="s">
        <v>488</v>
      </c>
    </row>
    <row r="252" spans="1:1" x14ac:dyDescent="0.25">
      <c r="A252" t="s">
        <v>489</v>
      </c>
    </row>
    <row r="253" spans="1:1" x14ac:dyDescent="0.25">
      <c r="A253" t="s">
        <v>490</v>
      </c>
    </row>
    <row r="254" spans="1:1" x14ac:dyDescent="0.25">
      <c r="A254" t="s">
        <v>491</v>
      </c>
    </row>
    <row r="255" spans="1:1" x14ac:dyDescent="0.25">
      <c r="A255" t="s">
        <v>492</v>
      </c>
    </row>
    <row r="256" spans="1:1" x14ac:dyDescent="0.25">
      <c r="A256" t="s">
        <v>493</v>
      </c>
    </row>
    <row r="257" spans="1:1" x14ac:dyDescent="0.25">
      <c r="A257" t="s">
        <v>494</v>
      </c>
    </row>
    <row r="258" spans="1:1" x14ac:dyDescent="0.25">
      <c r="A258" t="s">
        <v>3</v>
      </c>
    </row>
    <row r="259" spans="1:1" x14ac:dyDescent="0.25">
      <c r="A259" t="s">
        <v>495</v>
      </c>
    </row>
    <row r="260" spans="1:1" x14ac:dyDescent="0.25">
      <c r="A260" t="s">
        <v>496</v>
      </c>
    </row>
    <row r="261" spans="1:1" x14ac:dyDescent="0.25">
      <c r="A261" t="s">
        <v>497</v>
      </c>
    </row>
    <row r="262" spans="1:1" x14ac:dyDescent="0.25">
      <c r="A262" t="s">
        <v>498</v>
      </c>
    </row>
    <row r="263" spans="1:1" x14ac:dyDescent="0.25">
      <c r="A263" t="s">
        <v>499</v>
      </c>
    </row>
    <row r="264" spans="1:1" x14ac:dyDescent="0.25">
      <c r="A264" t="s">
        <v>47</v>
      </c>
    </row>
    <row r="265" spans="1:1" x14ac:dyDescent="0.25">
      <c r="A265" t="s">
        <v>29</v>
      </c>
    </row>
    <row r="266" spans="1:1" x14ac:dyDescent="0.25">
      <c r="A266" t="s">
        <v>14</v>
      </c>
    </row>
    <row r="267" spans="1:1" x14ac:dyDescent="0.25">
      <c r="A267" t="s">
        <v>16</v>
      </c>
    </row>
    <row r="268" spans="1:1" x14ac:dyDescent="0.25">
      <c r="A268" t="s">
        <v>60</v>
      </c>
    </row>
    <row r="269" spans="1:1" x14ac:dyDescent="0.25">
      <c r="A269" t="s">
        <v>32</v>
      </c>
    </row>
    <row r="270" spans="1:1" x14ac:dyDescent="0.25">
      <c r="A270" t="s">
        <v>4</v>
      </c>
    </row>
    <row r="271" spans="1:1" x14ac:dyDescent="0.25">
      <c r="A271" t="s">
        <v>12</v>
      </c>
    </row>
    <row r="272" spans="1:1" x14ac:dyDescent="0.25">
      <c r="A272" t="s">
        <v>34</v>
      </c>
    </row>
    <row r="273" spans="1:1" x14ac:dyDescent="0.25">
      <c r="A273" t="s">
        <v>500</v>
      </c>
    </row>
    <row r="274" spans="1:1" x14ac:dyDescent="0.25">
      <c r="A274" t="s">
        <v>501</v>
      </c>
    </row>
    <row r="275" spans="1:1" x14ac:dyDescent="0.25">
      <c r="A275" t="s">
        <v>502</v>
      </c>
    </row>
    <row r="276" spans="1:1" x14ac:dyDescent="0.25">
      <c r="A276" t="s">
        <v>503</v>
      </c>
    </row>
    <row r="277" spans="1:1" x14ac:dyDescent="0.25">
      <c r="A277" t="s">
        <v>48</v>
      </c>
    </row>
    <row r="278" spans="1:1" x14ac:dyDescent="0.25">
      <c r="A278" t="s">
        <v>39</v>
      </c>
    </row>
    <row r="279" spans="1:1" x14ac:dyDescent="0.25">
      <c r="A279" t="s">
        <v>504</v>
      </c>
    </row>
    <row r="280" spans="1:1" x14ac:dyDescent="0.25">
      <c r="A280" t="s">
        <v>95</v>
      </c>
    </row>
    <row r="281" spans="1:1" x14ac:dyDescent="0.25">
      <c r="A281" t="s">
        <v>505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31E37-F12A-43C0-920A-AD5513828945}">
  <sheetPr codeName="Sheet3"/>
  <dimension ref="A1:Q500"/>
  <sheetViews>
    <sheetView topLeftCell="D1" workbookViewId="0">
      <selection activeCell="I2" sqref="I2:I500"/>
    </sheetView>
  </sheetViews>
  <sheetFormatPr defaultRowHeight="15" x14ac:dyDescent="0.25"/>
  <cols>
    <col min="2" max="2" width="9.140625" customWidth="1"/>
    <col min="3" max="3" width="37" bestFit="1" customWidth="1"/>
    <col min="4" max="4" width="25.85546875" bestFit="1" customWidth="1"/>
    <col min="5" max="5" width="25.85546875" customWidth="1"/>
    <col min="6" max="6" width="28.85546875" bestFit="1" customWidth="1"/>
    <col min="7" max="7" width="21.7109375" bestFit="1" customWidth="1"/>
    <col min="8" max="8" width="25.85546875" bestFit="1" customWidth="1"/>
    <col min="9" max="9" width="20.28515625" bestFit="1" customWidth="1"/>
    <col min="11" max="11" width="20.28515625" bestFit="1" customWidth="1"/>
    <col min="13" max="13" width="20.28515625" bestFit="1" customWidth="1"/>
    <col min="15" max="15" width="20.28515625" bestFit="1" customWidth="1"/>
    <col min="17" max="17" width="20.28515625" bestFit="1" customWidth="1"/>
  </cols>
  <sheetData>
    <row r="1" spans="1:17" x14ac:dyDescent="0.25">
      <c r="A1" t="str" cm="1">
        <f t="array" ref="A1:A281">IFERROR(INDEX('Database Query'!$A$1:$A$281, ROW()-1), "")</f>
        <v>Ticker</v>
      </c>
      <c r="B1" t="s">
        <v>109</v>
      </c>
      <c r="C1" t="s">
        <v>99</v>
      </c>
      <c r="D1" t="s">
        <v>100</v>
      </c>
      <c r="E1" t="s">
        <v>104</v>
      </c>
      <c r="F1" t="s">
        <v>101</v>
      </c>
      <c r="G1" t="s">
        <v>102</v>
      </c>
      <c r="H1" t="s">
        <v>103</v>
      </c>
      <c r="I1" s="1" t="s">
        <v>318</v>
      </c>
      <c r="J1" t="s">
        <v>105</v>
      </c>
      <c r="K1" s="1" t="s">
        <v>319</v>
      </c>
      <c r="L1" t="s">
        <v>106</v>
      </c>
      <c r="M1" s="1" t="s">
        <v>320</v>
      </c>
      <c r="N1" t="s">
        <v>107</v>
      </c>
      <c r="O1" s="1" t="s">
        <v>321</v>
      </c>
      <c r="P1" t="s">
        <v>108</v>
      </c>
      <c r="Q1" s="1" t="s">
        <v>322</v>
      </c>
    </row>
    <row r="2" spans="1:17" x14ac:dyDescent="0.25">
      <c r="A2" t="str">
        <v>AAANX</v>
      </c>
      <c r="B2" t="e" cm="1">
        <f t="array" aca="1" ref="B2" ca="1">_xll.YCI(A2,"detailed_security_type",TODAY())</f>
        <v>#VALUE!</v>
      </c>
      <c r="C2" t="e" cm="1">
        <f t="array" aca="1" ref="C2" ca="1">_xlfn.IFS($B2="etf", _xll.YCI($A2, "security_name",TODAY()),$B2&lt;&gt;"etf",_xll.YCI("M:" &amp; $A2, "security_name",TODAY()))</f>
        <v>#VALUE!</v>
      </c>
      <c r="D2" t="e" cm="1">
        <f t="array" aca="1" ref="D2" ca="1">_xlfn.IFS($B2="etf", _xll.YCI($A2, "ycharts_benchmark_category",TODAY()),$B2&lt;&gt;"etf",_xll.YCI("M:" &amp; $A2, "ycharts_benchmark_category",TODAY()))</f>
        <v>#VALUE!</v>
      </c>
      <c r="E2" t="e" cm="1">
        <f t="array" aca="1" ref="E2" ca="1">_xlfn.IFS($B2="etf", _xll.YCI($A2, "ycharts_benchmark_index_symbol",TODAY()),$B2&lt;&gt;"etf",_xll.YCI("M:" &amp; $A2, "ycharts_benchmark_index_symbol",TODAY()))</f>
        <v>#VALUE!</v>
      </c>
      <c r="F2" t="e" cm="1">
        <f t="array" aca="1" ref="F2" ca="1">_xlfn.IFS($B2="etf", _xll.YCI($E2, "security_name",TODAY()),$B2&lt;&gt;"etf",_xll.YCI( $E2, "security_name",TODAY()))</f>
        <v>#VALUE!</v>
      </c>
      <c r="G2" t="e" cm="1">
        <f t="array" aca="1" ref="G2" ca="1">_xlfn.IFS($B2="etf", _xll.YCI($A2, "prospectus_benchmark_index",TODAY()),$B2&lt;&gt;"etf",_xll.YCI("M:" &amp; $A2, "prospectus_benchmark_index",TODAY()))</f>
        <v>#VALUE!</v>
      </c>
      <c r="H2" s="2" t="e" cm="1">
        <f t="array" aca="1" ref="H2" ca="1">_xlfn.IFS($B2="etf", _xll.YCP($A2,"quarterly_total_return",'Database Query'!$E$14),$B2&lt;&gt;"etf",_xll.YCP("M:"&amp; $A2,"quarterly_total_return",'Database Query'!$E$14))</f>
        <v>#VALUE!</v>
      </c>
      <c r="I2" s="2" t="e" cm="1">
        <f t="array" aca="1" ref="I2" ca="1">-_xll.YCP($E2,"quarterly_return",'Database Query'!$E$14)+H2</f>
        <v>#VALUE!</v>
      </c>
      <c r="J2" s="2" t="e" cm="1">
        <f t="array" aca="1" ref="J2" ca="1">_xlfn.IFS($B2="etf", _xll.YCP($A2,"ytd_total_return",'Database Query'!$E$14),$B2&lt;&gt;"etf",_xll.YCP("M:"&amp; $A2,"ytd_total_return",'Database Query'!$E$14))</f>
        <v>#VALUE!</v>
      </c>
      <c r="K2" s="2" t="e" cm="1">
        <f t="array" aca="1" ref="K2" ca="1">-_xll.YCP($E2,"ytd_return",'Database Query'!$E$14)+J2</f>
        <v>#VALUE!</v>
      </c>
      <c r="L2" s="2" t="e" cm="1">
        <f t="array" aca="1" ref="L2" ca="1">_xlfn.IFS($B2="etf", _xll.YCP($A2,"one_year_total_return",'Database Query'!$E$14),$B2&lt;&gt;"etf",_xll.YCP("M:"&amp; $A2,"one_year_total_return",'Database Query'!$E$14))</f>
        <v>#VALUE!</v>
      </c>
      <c r="M2" s="2" t="e" cm="1">
        <f t="array" aca="1" ref="M2" ca="1">-_xll.YCP($E2,"one_year_return",'Database Query'!$E$14)+L2</f>
        <v>#VALUE!</v>
      </c>
      <c r="N2" s="2" t="e" cm="1">
        <f t="array" aca="1" ref="N2" ca="1">_xlfn.IFS($B2="etf", _xll.YCP($A2,"three_year_total_return",'Database Query'!$E$14),$B2&lt;&gt;"etf",_xll.YCP("M:"&amp; $A2,"three_year_total_return",'Database Query'!$E$14))</f>
        <v>#VALUE!</v>
      </c>
      <c r="O2" s="2" t="e" cm="1">
        <f t="array" aca="1" ref="O2" ca="1">-_xll.YCP($E2,"three_year_return",'Database Query'!$E$14)+N2</f>
        <v>#VALUE!</v>
      </c>
      <c r="P2" s="2" t="e" cm="1">
        <f t="array" aca="1" ref="P2" ca="1">_xlfn.IFS($B2="etf", _xll.YCP($A2,"five_year_total_return",'Database Query'!$E$14),$B2&lt;&gt;"etf",_xll.YCP("M:"&amp; $A2,"five_year_total_return",'Database Query'!$E$14))</f>
        <v>#VALUE!</v>
      </c>
      <c r="Q2" s="2" t="e" cm="1">
        <f t="array" aca="1" ref="Q2" ca="1">-_xll.YCP($E2,"five_year_return",'Database Query'!$E$14)+P2</f>
        <v>#VALUE!</v>
      </c>
    </row>
    <row r="3" spans="1:17" x14ac:dyDescent="0.25">
      <c r="A3" t="str">
        <v>AASRX</v>
      </c>
      <c r="B3" t="e" cm="1">
        <f t="array" aca="1" ref="B3" ca="1">_xll.YCI(A3,"detailed_security_type",TODAY())</f>
        <v>#VALUE!</v>
      </c>
      <c r="C3" t="e" cm="1">
        <f t="array" aca="1" ref="C3" ca="1">_xlfn.IFS(B3="etf", _xll.YCI(A3, "security_name",TODAY()),B3&lt;&gt;"etf",_xll.YCI("M:" &amp; A3, "security_name",TODAY()))</f>
        <v>#VALUE!</v>
      </c>
      <c r="D3" t="e" cm="1">
        <f t="array" aca="1" ref="D3" ca="1">_xlfn.IFS($B3="etf", _xll.YCI($A3, "ycharts_benchmark_category",TODAY()),$B3&lt;&gt;"etf",_xll.YCI("M:" &amp; $A3, "ycharts_benchmark_category",TODAY()))</f>
        <v>#VALUE!</v>
      </c>
      <c r="E3" t="e" cm="1">
        <f t="array" aca="1" ref="E3" ca="1">_xlfn.IFS($B3="etf", _xll.YCI($A3, "ycharts_benchmark_index_symbol",TODAY()),$B3&lt;&gt;"etf",_xll.YCI("M:" &amp; $A3, "ycharts_benchmark_index_symbol",TODAY()))</f>
        <v>#VALUE!</v>
      </c>
      <c r="F3" t="e" cm="1">
        <f t="array" aca="1" ref="F3" ca="1">_xlfn.IFS($B3="etf", _xll.YCI($E3, "security_name",TODAY()),$B3&lt;&gt;"etf",_xll.YCI( $E3, "security_name",TODAY()))</f>
        <v>#VALUE!</v>
      </c>
      <c r="G3" t="e" cm="1">
        <f t="array" aca="1" ref="G3" ca="1">_xlfn.IFS($B3="etf", _xll.YCI($A3, "prospectus_benchmark_index",TODAY()),$B3&lt;&gt;"etf",_xll.YCI("M:" &amp; $A3, "prospectus_benchmark_index",TODAY()))</f>
        <v>#VALUE!</v>
      </c>
      <c r="H3" s="2" t="e" cm="1">
        <f t="array" aca="1" ref="H3" ca="1">_xlfn.IFS($B3="etf", _xll.YCP($A3,"quarterly_total_return",'Database Query'!$E$14),$B3&lt;&gt;"etf",_xll.YCP("M:"&amp; $A3,"quarterly_total_return",'Database Query'!$E$14))</f>
        <v>#VALUE!</v>
      </c>
      <c r="I3" s="2" t="e" cm="1">
        <f t="array" aca="1" ref="I3" ca="1">-_xll.YCP($E3,"quarterly_return",'Database Query'!$E$14)+H3</f>
        <v>#VALUE!</v>
      </c>
      <c r="J3" s="2" t="e" cm="1">
        <f t="array" aca="1" ref="J3" ca="1">_xlfn.IFS($B3="etf", _xll.YCP($A3,"ytd_total_return",'Database Query'!$E$14),$B3&lt;&gt;"etf",_xll.YCP("M:"&amp; $A3,"ytd_total_return",'Database Query'!$E$14))</f>
        <v>#VALUE!</v>
      </c>
      <c r="K3" s="2" t="e" cm="1">
        <f t="array" aca="1" ref="K3" ca="1">-_xll.YCP($E3,"ytd_return",'Database Query'!$E$14)+J3</f>
        <v>#VALUE!</v>
      </c>
      <c r="L3" s="2" t="e" cm="1">
        <f t="array" aca="1" ref="L3" ca="1">_xlfn.IFS($B3="etf", _xll.YCP($A3,"one_year_total_return",'Database Query'!$E$14),$B3&lt;&gt;"etf",_xll.YCP("M:"&amp; $A3,"one_year_total_return",'Database Query'!$E$14))</f>
        <v>#VALUE!</v>
      </c>
      <c r="M3" s="2" t="e" cm="1">
        <f t="array" aca="1" ref="M3" ca="1">-_xll.YCP($E3,"one_year_return",'Database Query'!$E$14)+L3</f>
        <v>#VALUE!</v>
      </c>
      <c r="N3" s="2" t="e" cm="1">
        <f t="array" aca="1" ref="N3" ca="1">_xlfn.IFS($B3="etf", _xll.YCP($A3,"three_year_total_return",'Database Query'!$E$14),$B3&lt;&gt;"etf",_xll.YCP("M:"&amp; $A3,"three_year_total_return",'Database Query'!$E$14))</f>
        <v>#VALUE!</v>
      </c>
      <c r="O3" s="2" t="e" cm="1">
        <f t="array" aca="1" ref="O3" ca="1">-_xll.YCP($E3,"three_year_return",'Database Query'!$E$14)+N3</f>
        <v>#VALUE!</v>
      </c>
      <c r="P3" s="2" t="e" cm="1">
        <f t="array" aca="1" ref="P3" ca="1">_xlfn.IFS($B3="etf", _xll.YCP($A3,"five_year_total_return",'Database Query'!$E$14),$B3&lt;&gt;"etf",_xll.YCP("M:"&amp; $A3,"five_year_total_return",'Database Query'!$E$14))</f>
        <v>#VALUE!</v>
      </c>
      <c r="Q3" s="2" t="e" cm="1">
        <f t="array" aca="1" ref="Q3" ca="1">-_xll.YCP($E3,"five_year_return",'Database Query'!$E$14)+P3</f>
        <v>#VALUE!</v>
      </c>
    </row>
    <row r="4" spans="1:17" x14ac:dyDescent="0.25">
      <c r="A4" t="str">
        <v>ABNFX</v>
      </c>
      <c r="B4" t="e" cm="1">
        <f t="array" aca="1" ref="B4" ca="1">_xll.YCI(A4,"detailed_security_type",TODAY())</f>
        <v>#VALUE!</v>
      </c>
      <c r="C4" t="e" cm="1">
        <f t="array" aca="1" ref="C4" ca="1">_xlfn.IFS(B4="etf", _xll.YCI(A4, "security_name",TODAY()),B4&lt;&gt;"etf",_xll.YCI("M:" &amp; A4, "security_name",TODAY()))</f>
        <v>#VALUE!</v>
      </c>
      <c r="D4" t="e" cm="1">
        <f t="array" aca="1" ref="D4" ca="1">_xlfn.IFS($B4="etf", _xll.YCI($A4, "ycharts_benchmark_category",TODAY()),$B4&lt;&gt;"etf",_xll.YCI("M:" &amp; $A4, "ycharts_benchmark_category",TODAY()))</f>
        <v>#VALUE!</v>
      </c>
      <c r="E4" t="e" cm="1">
        <f t="array" aca="1" ref="E4" ca="1">_xlfn.IFS($B4="etf", _xll.YCI($A4, "ycharts_benchmark_index_symbol",TODAY()),$B4&lt;&gt;"etf",_xll.YCI("M:" &amp; $A4, "ycharts_benchmark_index_symbol",TODAY()))</f>
        <v>#VALUE!</v>
      </c>
      <c r="F4" t="e" cm="1">
        <f t="array" aca="1" ref="F4" ca="1">_xlfn.IFS($B4="etf", _xll.YCI($E4, "security_name",TODAY()),$B4&lt;&gt;"etf",_xll.YCI( $E4, "security_name",TODAY()))</f>
        <v>#VALUE!</v>
      </c>
      <c r="G4" t="e" cm="1">
        <f t="array" aca="1" ref="G4" ca="1">_xlfn.IFS($B4="etf", _xll.YCI($A4, "prospectus_benchmark_index",TODAY()),$B4&lt;&gt;"etf",_xll.YCI("M:" &amp; $A4, "prospectus_benchmark_index",TODAY()))</f>
        <v>#VALUE!</v>
      </c>
      <c r="H4" s="2" t="e" cm="1">
        <f t="array" aca="1" ref="H4" ca="1">_xlfn.IFS($B4="etf", _xll.YCP($A4,"quarterly_total_return",'Database Query'!$E$14),$B4&lt;&gt;"etf",_xll.YCP("M:"&amp; $A4,"quarterly_total_return",'Database Query'!$E$14))</f>
        <v>#VALUE!</v>
      </c>
      <c r="I4" s="2" t="e" cm="1">
        <f t="array" aca="1" ref="I4" ca="1">-_xll.YCP($E4,"quarterly_return",'Database Query'!$E$14)+H4</f>
        <v>#VALUE!</v>
      </c>
      <c r="J4" s="2" t="e" cm="1">
        <f t="array" aca="1" ref="J4" ca="1">_xlfn.IFS($B4="etf", _xll.YCP($A4,"ytd_total_return",'Database Query'!$E$14),$B4&lt;&gt;"etf",_xll.YCP("M:"&amp; $A4,"ytd_total_return",'Database Query'!$E$14))</f>
        <v>#VALUE!</v>
      </c>
      <c r="K4" s="2" t="e" cm="1">
        <f t="array" aca="1" ref="K4" ca="1">-_xll.YCP($E4,"ytd_return",'Database Query'!$E$14)+J4</f>
        <v>#VALUE!</v>
      </c>
      <c r="L4" s="2" t="e" cm="1">
        <f t="array" aca="1" ref="L4" ca="1">_xlfn.IFS($B4="etf", _xll.YCP($A4,"one_year_total_return",'Database Query'!$E$14),$B4&lt;&gt;"etf",_xll.YCP("M:"&amp; $A4,"one_year_total_return",'Database Query'!$E$14))</f>
        <v>#VALUE!</v>
      </c>
      <c r="M4" s="2" t="e" cm="1">
        <f t="array" aca="1" ref="M4" ca="1">-_xll.YCP($E4,"one_year_return",'Database Query'!$E$14)+L4</f>
        <v>#VALUE!</v>
      </c>
      <c r="N4" s="2" t="e" cm="1">
        <f t="array" aca="1" ref="N4" ca="1">_xlfn.IFS($B4="etf", _xll.YCP($A4,"three_year_total_return",'Database Query'!$E$14),$B4&lt;&gt;"etf",_xll.YCP("M:"&amp; $A4,"three_year_total_return",'Database Query'!$E$14))</f>
        <v>#VALUE!</v>
      </c>
      <c r="O4" s="2" t="e" cm="1">
        <f t="array" aca="1" ref="O4" ca="1">-_xll.YCP($E4,"three_year_return",'Database Query'!$E$14)+N4</f>
        <v>#VALUE!</v>
      </c>
      <c r="P4" s="2" t="e" cm="1">
        <f t="array" aca="1" ref="P4" ca="1">_xlfn.IFS($B4="etf", _xll.YCP($A4,"five_year_total_return",'Database Query'!$E$14),$B4&lt;&gt;"etf",_xll.YCP("M:"&amp; $A4,"five_year_total_return",'Database Query'!$E$14))</f>
        <v>#VALUE!</v>
      </c>
      <c r="Q4" s="2" t="e" cm="1">
        <f t="array" aca="1" ref="Q4" ca="1">-_xll.YCP($E4,"five_year_return",'Database Query'!$E$14)+P4</f>
        <v>#VALUE!</v>
      </c>
    </row>
    <row r="5" spans="1:17" x14ac:dyDescent="0.25">
      <c r="A5" t="str">
        <v>ABRYX</v>
      </c>
      <c r="B5" t="e" cm="1">
        <f t="array" aca="1" ref="B5" ca="1">_xll.YCI(A5,"detailed_security_type",TODAY())</f>
        <v>#VALUE!</v>
      </c>
      <c r="C5" t="e" cm="1">
        <f t="array" aca="1" ref="C5" ca="1">_xlfn.IFS(B5="etf", _xll.YCI(A5, "security_name",TODAY()),B5&lt;&gt;"etf",_xll.YCI("M:" &amp; A5, "security_name",TODAY()))</f>
        <v>#VALUE!</v>
      </c>
      <c r="D5" t="e" cm="1">
        <f t="array" aca="1" ref="D5" ca="1">_xlfn.IFS($B5="etf", _xll.YCI($A5, "ycharts_benchmark_category",TODAY()),$B5&lt;&gt;"etf",_xll.YCI("M:" &amp; $A5, "ycharts_benchmark_category",TODAY()))</f>
        <v>#VALUE!</v>
      </c>
      <c r="E5" t="e" cm="1">
        <f t="array" aca="1" ref="E5" ca="1">_xlfn.IFS($B5="etf", _xll.YCI($A5, "ycharts_benchmark_index_symbol",TODAY()),$B5&lt;&gt;"etf",_xll.YCI("M:" &amp; $A5, "ycharts_benchmark_index_symbol",TODAY()))</f>
        <v>#VALUE!</v>
      </c>
      <c r="F5" t="e" cm="1">
        <f t="array" aca="1" ref="F5" ca="1">_xlfn.IFS($B5="etf", _xll.YCI($E5, "security_name",TODAY()),$B5&lt;&gt;"etf",_xll.YCI( $E5, "security_name",TODAY()))</f>
        <v>#VALUE!</v>
      </c>
      <c r="G5" t="e" cm="1">
        <f t="array" aca="1" ref="G5" ca="1">_xlfn.IFS($B5="etf", _xll.YCI($A5, "prospectus_benchmark_index",TODAY()),$B5&lt;&gt;"etf",_xll.YCI("M:" &amp; $A5, "prospectus_benchmark_index",TODAY()))</f>
        <v>#VALUE!</v>
      </c>
      <c r="H5" s="2" t="e" cm="1">
        <f t="array" aca="1" ref="H5" ca="1">_xlfn.IFS($B5="etf", _xll.YCP($A5,"quarterly_total_return",'Database Query'!$E$14),$B5&lt;&gt;"etf",_xll.YCP("M:"&amp; $A5,"quarterly_total_return",'Database Query'!$E$14))</f>
        <v>#VALUE!</v>
      </c>
      <c r="I5" s="2" t="e" cm="1">
        <f t="array" aca="1" ref="I5" ca="1">-_xll.YCP($E5,"quarterly_return",'Database Query'!$E$14)+H5</f>
        <v>#VALUE!</v>
      </c>
      <c r="J5" s="2" t="e" cm="1">
        <f t="array" aca="1" ref="J5" ca="1">_xlfn.IFS($B5="etf", _xll.YCP($A5,"ytd_total_return",'Database Query'!$E$14),$B5&lt;&gt;"etf",_xll.YCP("M:"&amp; $A5,"ytd_total_return",'Database Query'!$E$14))</f>
        <v>#VALUE!</v>
      </c>
      <c r="K5" s="2" t="e" cm="1">
        <f t="array" aca="1" ref="K5" ca="1">-_xll.YCP($E5,"ytd_return",'Database Query'!$E$14)+J5</f>
        <v>#VALUE!</v>
      </c>
      <c r="L5" s="2" t="e" cm="1">
        <f t="array" aca="1" ref="L5" ca="1">_xlfn.IFS($B5="etf", _xll.YCP($A5,"one_year_total_return",'Database Query'!$E$14),$B5&lt;&gt;"etf",_xll.YCP("M:"&amp; $A5,"one_year_total_return",'Database Query'!$E$14))</f>
        <v>#VALUE!</v>
      </c>
      <c r="M5" s="2" t="e" cm="1">
        <f t="array" aca="1" ref="M5" ca="1">-_xll.YCP($E5,"one_year_return",'Database Query'!$E$14)+L5</f>
        <v>#VALUE!</v>
      </c>
      <c r="N5" s="2" t="e" cm="1">
        <f t="array" aca="1" ref="N5" ca="1">_xlfn.IFS($B5="etf", _xll.YCP($A5,"three_year_total_return",'Database Query'!$E$14),$B5&lt;&gt;"etf",_xll.YCP("M:"&amp; $A5,"three_year_total_return",'Database Query'!$E$14))</f>
        <v>#VALUE!</v>
      </c>
      <c r="O5" s="2" t="e" cm="1">
        <f t="array" aca="1" ref="O5" ca="1">-_xll.YCP($E5,"three_year_return",'Database Query'!$E$14)+N5</f>
        <v>#VALUE!</v>
      </c>
      <c r="P5" s="2" t="e" cm="1">
        <f t="array" aca="1" ref="P5" ca="1">_xlfn.IFS($B5="etf", _xll.YCP($A5,"five_year_total_return",'Database Query'!$E$14),$B5&lt;&gt;"etf",_xll.YCP("M:"&amp; $A5,"five_year_total_return",'Database Query'!$E$14))</f>
        <v>#VALUE!</v>
      </c>
      <c r="Q5" s="2" t="e" cm="1">
        <f t="array" aca="1" ref="Q5" ca="1">-_xll.YCP($E5,"five_year_return",'Database Query'!$E$14)+P5</f>
        <v>#VALUE!</v>
      </c>
    </row>
    <row r="6" spans="1:17" x14ac:dyDescent="0.25">
      <c r="A6" t="str">
        <v>ACVVX</v>
      </c>
      <c r="B6" t="e" cm="1">
        <f t="array" aca="1" ref="B6" ca="1">_xll.YCI(A6,"detailed_security_type",TODAY())</f>
        <v>#VALUE!</v>
      </c>
      <c r="C6" t="e" cm="1">
        <f t="array" aca="1" ref="C6" ca="1">_xlfn.IFS(B6="etf", _xll.YCI(A6, "security_name",TODAY()),B6&lt;&gt;"etf",_xll.YCI("M:" &amp; A6, "security_name",TODAY()))</f>
        <v>#VALUE!</v>
      </c>
      <c r="D6" t="e" cm="1">
        <f t="array" aca="1" ref="D6" ca="1">_xlfn.IFS($B6="etf", _xll.YCI($A6, "ycharts_benchmark_category",TODAY()),$B6&lt;&gt;"etf",_xll.YCI("M:" &amp; $A6, "ycharts_benchmark_category",TODAY()))</f>
        <v>#VALUE!</v>
      </c>
      <c r="E6" t="e" cm="1">
        <f t="array" aca="1" ref="E6" ca="1">_xlfn.IFS($B6="etf", _xll.YCI($A6, "ycharts_benchmark_index_symbol",TODAY()),$B6&lt;&gt;"etf",_xll.YCI("M:" &amp; $A6, "ycharts_benchmark_index_symbol",TODAY()))</f>
        <v>#VALUE!</v>
      </c>
      <c r="F6" t="e" cm="1">
        <f t="array" aca="1" ref="F6" ca="1">_xlfn.IFS($B6="etf", _xll.YCI($E6, "security_name",TODAY()),$B6&lt;&gt;"etf",_xll.YCI( $E6, "security_name",TODAY()))</f>
        <v>#VALUE!</v>
      </c>
      <c r="G6" t="e" cm="1">
        <f t="array" aca="1" ref="G6" ca="1">_xlfn.IFS($B6="etf", _xll.YCI($A6, "prospectus_benchmark_index",TODAY()),$B6&lt;&gt;"etf",_xll.YCI("M:" &amp; $A6, "prospectus_benchmark_index",TODAY()))</f>
        <v>#VALUE!</v>
      </c>
      <c r="H6" s="2" t="e" cm="1">
        <f t="array" aca="1" ref="H6" ca="1">_xlfn.IFS($B6="etf", _xll.YCP($A6,"quarterly_total_return",'Database Query'!$E$14),$B6&lt;&gt;"etf",_xll.YCP("M:"&amp; $A6,"quarterly_total_return",'Database Query'!$E$14))</f>
        <v>#VALUE!</v>
      </c>
      <c r="I6" s="2" t="e" cm="1">
        <f t="array" aca="1" ref="I6" ca="1">-_xll.YCP($E6,"quarterly_return",'Database Query'!$E$14)+H6</f>
        <v>#VALUE!</v>
      </c>
      <c r="J6" s="2" t="e" cm="1">
        <f t="array" aca="1" ref="J6" ca="1">_xlfn.IFS($B6="etf", _xll.YCP($A6,"ytd_total_return",'Database Query'!$E$14),$B6&lt;&gt;"etf",_xll.YCP("M:"&amp; $A6,"ytd_total_return",'Database Query'!$E$14))</f>
        <v>#VALUE!</v>
      </c>
      <c r="K6" s="2" t="e" cm="1">
        <f t="array" aca="1" ref="K6" ca="1">-_xll.YCP($E6,"ytd_return",'Database Query'!$E$14)+J6</f>
        <v>#VALUE!</v>
      </c>
      <c r="L6" s="2" t="e" cm="1">
        <f t="array" aca="1" ref="L6" ca="1">_xlfn.IFS($B6="etf", _xll.YCP($A6,"one_year_total_return",'Database Query'!$E$14),$B6&lt;&gt;"etf",_xll.YCP("M:"&amp; $A6,"one_year_total_return",'Database Query'!$E$14))</f>
        <v>#VALUE!</v>
      </c>
      <c r="M6" s="2" t="e" cm="1">
        <f t="array" aca="1" ref="M6" ca="1">-_xll.YCP($E6,"one_year_return",'Database Query'!$E$14)+L6</f>
        <v>#VALUE!</v>
      </c>
      <c r="N6" s="2" t="e" cm="1">
        <f t="array" aca="1" ref="N6" ca="1">_xlfn.IFS($B6="etf", _xll.YCP($A6,"three_year_total_return",'Database Query'!$E$14),$B6&lt;&gt;"etf",_xll.YCP("M:"&amp; $A6,"three_year_total_return",'Database Query'!$E$14))</f>
        <v>#VALUE!</v>
      </c>
      <c r="O6" s="2" t="e" cm="1">
        <f t="array" aca="1" ref="O6" ca="1">-_xll.YCP($E6,"three_year_return",'Database Query'!$E$14)+N6</f>
        <v>#VALUE!</v>
      </c>
      <c r="P6" s="2" t="e" cm="1">
        <f t="array" aca="1" ref="P6" ca="1">_xlfn.IFS($B6="etf", _xll.YCP($A6,"five_year_total_return",'Database Query'!$E$14),$B6&lt;&gt;"etf",_xll.YCP("M:"&amp; $A6,"five_year_total_return",'Database Query'!$E$14))</f>
        <v>#VALUE!</v>
      </c>
      <c r="Q6" s="2" t="e" cm="1">
        <f t="array" aca="1" ref="Q6" ca="1">-_xll.YCP($E6,"five_year_return",'Database Query'!$E$14)+P6</f>
        <v>#VALUE!</v>
      </c>
    </row>
    <row r="7" spans="1:17" x14ac:dyDescent="0.25">
      <c r="A7" t="str">
        <v>ADSIX</v>
      </c>
      <c r="B7" t="e" cm="1">
        <f t="array" aca="1" ref="B7" ca="1">_xll.YCI(A7,"detailed_security_type",TODAY())</f>
        <v>#VALUE!</v>
      </c>
      <c r="C7" t="e" cm="1">
        <f t="array" aca="1" ref="C7" ca="1">_xlfn.IFS(B7="etf", _xll.YCI(A7, "security_name",TODAY()),B7&lt;&gt;"etf",_xll.YCI("M:" &amp; A7, "security_name",TODAY()))</f>
        <v>#VALUE!</v>
      </c>
      <c r="D7" t="e" cm="1">
        <f t="array" aca="1" ref="D7" ca="1">_xlfn.IFS($B7="etf", _xll.YCI($A7, "ycharts_benchmark_category",TODAY()),$B7&lt;&gt;"etf",_xll.YCI("M:" &amp; $A7, "ycharts_benchmark_category",TODAY()))</f>
        <v>#VALUE!</v>
      </c>
      <c r="E7" t="e" cm="1">
        <f t="array" aca="1" ref="E7" ca="1">_xlfn.IFS($B7="etf", _xll.YCI($A7, "ycharts_benchmark_index_symbol",TODAY()),$B7&lt;&gt;"etf",_xll.YCI("M:" &amp; $A7, "ycharts_benchmark_index_symbol",TODAY()))</f>
        <v>#VALUE!</v>
      </c>
      <c r="F7" t="e" cm="1">
        <f t="array" aca="1" ref="F7" ca="1">_xlfn.IFS($B7="etf", _xll.YCI($E7, "security_name",TODAY()),$B7&lt;&gt;"etf",_xll.YCI( $E7, "security_name",TODAY()))</f>
        <v>#VALUE!</v>
      </c>
      <c r="G7" t="e" cm="1">
        <f t="array" aca="1" ref="G7" ca="1">_xlfn.IFS($B7="etf", _xll.YCI($A7, "prospectus_benchmark_index",TODAY()),$B7&lt;&gt;"etf",_xll.YCI("M:" &amp; $A7, "prospectus_benchmark_index",TODAY()))</f>
        <v>#VALUE!</v>
      </c>
      <c r="H7" s="2" t="e" cm="1">
        <f t="array" aca="1" ref="H7" ca="1">_xlfn.IFS($B7="etf", _xll.YCP($A7,"quarterly_total_return",'Database Query'!$E$14),$B7&lt;&gt;"etf",_xll.YCP("M:"&amp; $A7,"quarterly_total_return",'Database Query'!$E$14))</f>
        <v>#VALUE!</v>
      </c>
      <c r="I7" s="2" t="e" cm="1">
        <f t="array" aca="1" ref="I7" ca="1">-_xll.YCP($E7,"quarterly_return",'Database Query'!$E$14)+H7</f>
        <v>#VALUE!</v>
      </c>
      <c r="J7" s="2" t="e" cm="1">
        <f t="array" aca="1" ref="J7" ca="1">_xlfn.IFS($B7="etf", _xll.YCP($A7,"ytd_total_return",'Database Query'!$E$14),$B7&lt;&gt;"etf",_xll.YCP("M:"&amp; $A7,"ytd_total_return",'Database Query'!$E$14))</f>
        <v>#VALUE!</v>
      </c>
      <c r="K7" s="2" t="e" cm="1">
        <f t="array" aca="1" ref="K7" ca="1">-_xll.YCP($E7,"ytd_return",'Database Query'!$E$14)+J7</f>
        <v>#VALUE!</v>
      </c>
      <c r="L7" s="2" t="e" cm="1">
        <f t="array" aca="1" ref="L7" ca="1">_xlfn.IFS($B7="etf", _xll.YCP($A7,"one_year_total_return",'Database Query'!$E$14),$B7&lt;&gt;"etf",_xll.YCP("M:"&amp; $A7,"one_year_total_return",'Database Query'!$E$14))</f>
        <v>#VALUE!</v>
      </c>
      <c r="M7" s="2" t="e" cm="1">
        <f t="array" aca="1" ref="M7" ca="1">-_xll.YCP($E7,"one_year_return",'Database Query'!$E$14)+L7</f>
        <v>#VALUE!</v>
      </c>
      <c r="N7" s="2" t="e" cm="1">
        <f t="array" aca="1" ref="N7" ca="1">_xlfn.IFS($B7="etf", _xll.YCP($A7,"three_year_total_return",'Database Query'!$E$14),$B7&lt;&gt;"etf",_xll.YCP("M:"&amp; $A7,"three_year_total_return",'Database Query'!$E$14))</f>
        <v>#VALUE!</v>
      </c>
      <c r="O7" s="2" t="e" cm="1">
        <f t="array" aca="1" ref="O7" ca="1">-_xll.YCP($E7,"three_year_return",'Database Query'!$E$14)+N7</f>
        <v>#VALUE!</v>
      </c>
      <c r="P7" s="2" t="e" cm="1">
        <f t="array" aca="1" ref="P7" ca="1">_xlfn.IFS($B7="etf", _xll.YCP($A7,"five_year_total_return",'Database Query'!$E$14),$B7&lt;&gt;"etf",_xll.YCP("M:"&amp; $A7,"five_year_total_return",'Database Query'!$E$14))</f>
        <v>#VALUE!</v>
      </c>
      <c r="Q7" s="2" t="e" cm="1">
        <f t="array" aca="1" ref="Q7" ca="1">-_xll.YCP($E7,"five_year_return",'Database Query'!$E$14)+P7</f>
        <v>#VALUE!</v>
      </c>
    </row>
    <row r="8" spans="1:17" x14ac:dyDescent="0.25">
      <c r="A8" t="str">
        <v>AFMFX</v>
      </c>
      <c r="B8" t="e" cm="1">
        <f t="array" aca="1" ref="B8" ca="1">_xll.YCI(A8,"detailed_security_type",TODAY())</f>
        <v>#VALUE!</v>
      </c>
      <c r="C8" t="e" cm="1">
        <f t="array" aca="1" ref="C8" ca="1">_xlfn.IFS(B8="etf", _xll.YCI(A8, "security_name",TODAY()),B8&lt;&gt;"etf",_xll.YCI("M:" &amp; A8, "security_name",TODAY()))</f>
        <v>#VALUE!</v>
      </c>
      <c r="D8" t="e" cm="1">
        <f t="array" aca="1" ref="D8" ca="1">_xlfn.IFS($B8="etf", _xll.YCI($A8, "ycharts_benchmark_category",TODAY()),$B8&lt;&gt;"etf",_xll.YCI("M:" &amp; $A8, "ycharts_benchmark_category",TODAY()))</f>
        <v>#VALUE!</v>
      </c>
      <c r="E8" t="e" cm="1">
        <f t="array" aca="1" ref="E8" ca="1">_xlfn.IFS($B8="etf", _xll.YCI($A8, "ycharts_benchmark_index_symbol",TODAY()),$B8&lt;&gt;"etf",_xll.YCI("M:" &amp; $A8, "ycharts_benchmark_index_symbol",TODAY()))</f>
        <v>#VALUE!</v>
      </c>
      <c r="F8" t="e" cm="1">
        <f t="array" aca="1" ref="F8" ca="1">_xlfn.IFS($B8="etf", _xll.YCI($E8, "security_name",TODAY()),$B8&lt;&gt;"etf",_xll.YCI( $E8, "security_name",TODAY()))</f>
        <v>#VALUE!</v>
      </c>
      <c r="G8" t="e" cm="1">
        <f t="array" aca="1" ref="G8" ca="1">_xlfn.IFS($B8="etf", _xll.YCI($A8, "prospectus_benchmark_index",TODAY()),$B8&lt;&gt;"etf",_xll.YCI("M:" &amp; $A8, "prospectus_benchmark_index",TODAY()))</f>
        <v>#VALUE!</v>
      </c>
      <c r="H8" s="2" t="e" cm="1">
        <f t="array" aca="1" ref="H8" ca="1">_xlfn.IFS($B8="etf", _xll.YCP($A8,"quarterly_total_return",'Database Query'!$E$14),$B8&lt;&gt;"etf",_xll.YCP("M:"&amp; $A8,"quarterly_total_return",'Database Query'!$E$14))</f>
        <v>#VALUE!</v>
      </c>
      <c r="I8" s="2" t="e" cm="1">
        <f t="array" aca="1" ref="I8" ca="1">-_xll.YCP($E8,"quarterly_return",'Database Query'!$E$14)+H8</f>
        <v>#VALUE!</v>
      </c>
      <c r="J8" s="2" t="e" cm="1">
        <f t="array" aca="1" ref="J8" ca="1">_xlfn.IFS($B8="etf", _xll.YCP($A8,"ytd_total_return",'Database Query'!$E$14),$B8&lt;&gt;"etf",_xll.YCP("M:"&amp; $A8,"ytd_total_return",'Database Query'!$E$14))</f>
        <v>#VALUE!</v>
      </c>
      <c r="K8" s="2" t="e" cm="1">
        <f t="array" aca="1" ref="K8" ca="1">-_xll.YCP($E8,"ytd_return",'Database Query'!$E$14)+J8</f>
        <v>#VALUE!</v>
      </c>
      <c r="L8" s="2" t="e" cm="1">
        <f t="array" aca="1" ref="L8" ca="1">_xlfn.IFS($B8="etf", _xll.YCP($A8,"one_year_total_return",'Database Query'!$E$14),$B8&lt;&gt;"etf",_xll.YCP("M:"&amp; $A8,"one_year_total_return",'Database Query'!$E$14))</f>
        <v>#VALUE!</v>
      </c>
      <c r="M8" s="2" t="e" cm="1">
        <f t="array" aca="1" ref="M8" ca="1">-_xll.YCP($E8,"one_year_return",'Database Query'!$E$14)+L8</f>
        <v>#VALUE!</v>
      </c>
      <c r="N8" s="2" t="e" cm="1">
        <f t="array" aca="1" ref="N8" ca="1">_xlfn.IFS($B8="etf", _xll.YCP($A8,"three_year_total_return",'Database Query'!$E$14),$B8&lt;&gt;"etf",_xll.YCP("M:"&amp; $A8,"three_year_total_return",'Database Query'!$E$14))</f>
        <v>#VALUE!</v>
      </c>
      <c r="O8" s="2" t="e" cm="1">
        <f t="array" aca="1" ref="O8" ca="1">-_xll.YCP($E8,"three_year_return",'Database Query'!$E$14)+N8</f>
        <v>#VALUE!</v>
      </c>
      <c r="P8" s="2" t="e" cm="1">
        <f t="array" aca="1" ref="P8" ca="1">_xlfn.IFS($B8="etf", _xll.YCP($A8,"five_year_total_return",'Database Query'!$E$14),$B8&lt;&gt;"etf",_xll.YCP("M:"&amp; $A8,"five_year_total_return",'Database Query'!$E$14))</f>
        <v>#VALUE!</v>
      </c>
      <c r="Q8" s="2" t="e" cm="1">
        <f t="array" aca="1" ref="Q8" ca="1">-_xll.YCP($E8,"five_year_return",'Database Query'!$E$14)+P8</f>
        <v>#VALUE!</v>
      </c>
    </row>
    <row r="9" spans="1:17" x14ac:dyDescent="0.25">
      <c r="A9" t="str">
        <v>AGAZX</v>
      </c>
      <c r="B9" t="e" cm="1">
        <f t="array" aca="1" ref="B9" ca="1">_xll.YCI(A9,"detailed_security_type",TODAY())</f>
        <v>#VALUE!</v>
      </c>
      <c r="C9" t="e" cm="1">
        <f t="array" aca="1" ref="C9" ca="1">_xlfn.IFS(B9="etf", _xll.YCI(A9, "security_name",TODAY()),B9&lt;&gt;"etf",_xll.YCI("M:" &amp; A9, "security_name",TODAY()))</f>
        <v>#VALUE!</v>
      </c>
      <c r="D9" t="e" cm="1">
        <f t="array" aca="1" ref="D9" ca="1">_xlfn.IFS($B9="etf", _xll.YCI($A9, "ycharts_benchmark_category",TODAY()),$B9&lt;&gt;"etf",_xll.YCI("M:" &amp; $A9, "ycharts_benchmark_category",TODAY()))</f>
        <v>#VALUE!</v>
      </c>
      <c r="E9" t="e" cm="1">
        <f t="array" aca="1" ref="E9" ca="1">_xlfn.IFS($B9="etf", _xll.YCI($A9, "ycharts_benchmark_index_symbol",TODAY()),$B9&lt;&gt;"etf",_xll.YCI("M:" &amp; $A9, "ycharts_benchmark_index_symbol",TODAY()))</f>
        <v>#VALUE!</v>
      </c>
      <c r="F9" t="e" cm="1">
        <f t="array" aca="1" ref="F9" ca="1">_xlfn.IFS($B9="etf", _xll.YCI($E9, "security_name",TODAY()),$B9&lt;&gt;"etf",_xll.YCI( $E9, "security_name",TODAY()))</f>
        <v>#VALUE!</v>
      </c>
      <c r="G9" t="e" cm="1">
        <f t="array" aca="1" ref="G9" ca="1">_xlfn.IFS($B9="etf", _xll.YCI($A9, "prospectus_benchmark_index",TODAY()),$B9&lt;&gt;"etf",_xll.YCI("M:" &amp; $A9, "prospectus_benchmark_index",TODAY()))</f>
        <v>#VALUE!</v>
      </c>
      <c r="H9" s="2" t="e" cm="1">
        <f t="array" aca="1" ref="H9" ca="1">_xlfn.IFS($B9="etf", _xll.YCP($A9,"quarterly_total_return",'Database Query'!$E$14),$B9&lt;&gt;"etf",_xll.YCP("M:"&amp; $A9,"quarterly_total_return",'Database Query'!$E$14))</f>
        <v>#VALUE!</v>
      </c>
      <c r="I9" s="2" t="e" cm="1">
        <f t="array" aca="1" ref="I9" ca="1">-_xll.YCP($E9,"quarterly_return",'Database Query'!$E$14)+H9</f>
        <v>#VALUE!</v>
      </c>
      <c r="J9" s="2" t="e" cm="1">
        <f t="array" aca="1" ref="J9" ca="1">_xlfn.IFS($B9="etf", _xll.YCP($A9,"ytd_total_return",'Database Query'!$E$14),$B9&lt;&gt;"etf",_xll.YCP("M:"&amp; $A9,"ytd_total_return",'Database Query'!$E$14))</f>
        <v>#VALUE!</v>
      </c>
      <c r="K9" s="2" t="e" cm="1">
        <f t="array" aca="1" ref="K9" ca="1">-_xll.YCP($E9,"ytd_return",'Database Query'!$E$14)+J9</f>
        <v>#VALUE!</v>
      </c>
      <c r="L9" s="2" t="e" cm="1">
        <f t="array" aca="1" ref="L9" ca="1">_xlfn.IFS($B9="etf", _xll.YCP($A9,"one_year_total_return",'Database Query'!$E$14),$B9&lt;&gt;"etf",_xll.YCP("M:"&amp; $A9,"one_year_total_return",'Database Query'!$E$14))</f>
        <v>#VALUE!</v>
      </c>
      <c r="M9" s="2" t="e" cm="1">
        <f t="array" aca="1" ref="M9" ca="1">-_xll.YCP($E9,"one_year_return",'Database Query'!$E$14)+L9</f>
        <v>#VALUE!</v>
      </c>
      <c r="N9" s="2" t="e" cm="1">
        <f t="array" aca="1" ref="N9" ca="1">_xlfn.IFS($B9="etf", _xll.YCP($A9,"three_year_total_return",'Database Query'!$E$14),$B9&lt;&gt;"etf",_xll.YCP("M:"&amp; $A9,"three_year_total_return",'Database Query'!$E$14))</f>
        <v>#VALUE!</v>
      </c>
      <c r="O9" s="2" t="e" cm="1">
        <f t="array" aca="1" ref="O9" ca="1">-_xll.YCP($E9,"three_year_return",'Database Query'!$E$14)+N9</f>
        <v>#VALUE!</v>
      </c>
      <c r="P9" s="2" t="e" cm="1">
        <f t="array" aca="1" ref="P9" ca="1">_xlfn.IFS($B9="etf", _xll.YCP($A9,"five_year_total_return",'Database Query'!$E$14),$B9&lt;&gt;"etf",_xll.YCP("M:"&amp; $A9,"five_year_total_return",'Database Query'!$E$14))</f>
        <v>#VALUE!</v>
      </c>
      <c r="Q9" s="2" t="e" cm="1">
        <f t="array" aca="1" ref="Q9" ca="1">-_xll.YCP($E9,"five_year_return",'Database Query'!$E$14)+P9</f>
        <v>#VALUE!</v>
      </c>
    </row>
    <row r="10" spans="1:17" x14ac:dyDescent="0.25">
      <c r="A10" t="str">
        <v>AGG</v>
      </c>
      <c r="B10" t="str" cm="1">
        <f t="array" aca="1" ref="B10" ca="1">_xll.YCI(A10,"detailed_security_type",TODAY())</f>
        <v>etf</v>
      </c>
      <c r="C10" t="str" cm="1">
        <f t="array" aca="1" ref="C10" ca="1">_xlfn.IFS(B10="etf", _xll.YCI(A10, "security_name",TODAY()),B10&lt;&gt;"etf",_xll.YCI("M:" &amp; A10, "security_name",TODAY()))</f>
        <v>iShares Core US Aggregate Bond ETF</v>
      </c>
      <c r="D10" t="str" cm="1">
        <f t="array" aca="1" ref="D10" ca="1">_xlfn.IFS($B10="etf", _xll.YCI($A10, "ycharts_benchmark_category",TODAY()),$B10&lt;&gt;"etf",_xll.YCI("M:" &amp; $A10, "ycharts_benchmark_category",TODAY()))</f>
        <v>US Aggregate Bond</v>
      </c>
      <c r="E10" t="str" cm="1">
        <f t="array" aca="1" ref="E10" ca="1">_xlfn.IFS($B10="etf", _xll.YCI($A10, "ycharts_benchmark_index_symbol",TODAY()),$B10&lt;&gt;"etf",_xll.YCI("M:" &amp; $A10, "ycharts_benchmark_index_symbol",TODAY()))</f>
        <v>^BBUSATR</v>
      </c>
      <c r="F10" t="str" cm="1">
        <f t="array" aca="1" ref="F10" ca="1">_xlfn.IFS($B10="etf", _xll.YCI($E10, "security_name",TODAY()),$B10&lt;&gt;"etf",_xll.YCI( $E10, "security_name",TODAY()))</f>
        <v>Bloomberg US Aggregate</v>
      </c>
      <c r="G10" t="str" cm="1">
        <f t="array" aca="1" ref="G10" ca="1">_xlfn.IFS($B10="etf", _xll.YCI($A10, "prospectus_benchmark_index",TODAY()),$B10&lt;&gt;"etf",_xll.YCI("M:" &amp; $A10, "prospectus_benchmark_index",TODAY()))</f>
        <v>Bloomberg US Agg Bond TR USD</v>
      </c>
      <c r="H10" s="2" cm="1">
        <f t="array" aca="1" ref="H10" ca="1">_xlfn.IFS($B10="etf", _xll.YCP($A10,"quarterly_total_return",'Database Query'!$E$14),$B10&lt;&gt;"etf",_xll.YCP("M:"&amp; $A10,"quarterly_total_return",'Database Query'!$E$14))</f>
        <v>-3.1015999999999998E-2</v>
      </c>
      <c r="I10" s="2" cm="1">
        <f t="array" aca="1" ref="I10" ca="1">-_xll.YCP($E10,"quarterly_return",'Database Query'!$E$14)+H10</f>
        <v>-3.9900000000000005E-4</v>
      </c>
      <c r="J10" s="2" cm="1">
        <f t="array" aca="1" ref="J10" ca="1">_xlfn.IFS($B10="etf", _xll.YCP($A10,"ytd_total_return",'Database Query'!$E$14),$B10&lt;&gt;"etf",_xll.YCP("M:"&amp; $A10,"ytd_total_return",'Database Query'!$E$14))</f>
        <v>1.3076000000000001E-2</v>
      </c>
      <c r="K10" s="2" cm="1">
        <f t="array" aca="1" ref="K10" ca="1">-_xll.YCP($E10,"ytd_return",'Database Query'!$E$14)+J10</f>
        <v>5.7400000000000159E-4</v>
      </c>
      <c r="L10" s="2" cm="1">
        <f t="array" aca="1" ref="L10" ca="1">_xlfn.IFS($B10="etf", _xll.YCP($A10,"one_year_total_return",'Database Query'!$E$14),$B10&lt;&gt;"etf",_xll.YCP("M:"&amp; $A10,"one_year_total_return",'Database Query'!$E$14))</f>
        <v>1.3076000000000001E-2</v>
      </c>
      <c r="M10" s="2" cm="1">
        <f t="array" aca="1" ref="M10" ca="1">-_xll.YCP($E10,"one_year_return",'Database Query'!$E$14)+L10</f>
        <v>5.7400000000000159E-4</v>
      </c>
      <c r="N10" s="2" cm="1">
        <f t="array" aca="1" ref="N10" ca="1">_xlfn.IFS($B10="etf", _xll.YCP($A10,"three_year_total_return",'Database Query'!$E$14),$B10&lt;&gt;"etf",_xll.YCP("M:"&amp; $A10,"three_year_total_return",'Database Query'!$E$14))</f>
        <v>-6.9071999999999995E-2</v>
      </c>
      <c r="O10" s="2" cm="1">
        <f t="array" aca="1" ref="O10" ca="1">-_xll.YCP($E10,"three_year_return",'Database Query'!$E$14)+N10</f>
        <v>1.457E-3</v>
      </c>
      <c r="P10" s="2" cm="1">
        <f t="array" aca="1" ref="P10" ca="1">_xlfn.IFS($B10="etf", _xll.YCP($A10,"five_year_total_return",'Database Query'!$E$14),$B10&lt;&gt;"etf",_xll.YCP("M:"&amp; $A10,"five_year_total_return",'Database Query'!$E$14))</f>
        <v>-1.7172E-2</v>
      </c>
      <c r="Q10" s="2" cm="1">
        <f t="array" aca="1" ref="Q10" ca="1">-_xll.YCP($E10,"five_year_return",'Database Query'!$E$14)+P10</f>
        <v>-1.0059999999999999E-3</v>
      </c>
    </row>
    <row r="11" spans="1:17" x14ac:dyDescent="0.25">
      <c r="A11" t="str">
        <v>AGVHX</v>
      </c>
      <c r="B11" t="e" cm="1">
        <f t="array" aca="1" ref="B11" ca="1">_xll.YCI(A11,"detailed_security_type",TODAY())</f>
        <v>#VALUE!</v>
      </c>
      <c r="C11" t="e" cm="1">
        <f t="array" aca="1" ref="C11" ca="1">_xlfn.IFS(B11="etf", _xll.YCI(A11, "security_name",TODAY()),B11&lt;&gt;"etf",_xll.YCI("M:" &amp; A11, "security_name",TODAY()))</f>
        <v>#VALUE!</v>
      </c>
      <c r="D11" t="e" cm="1">
        <f t="array" aca="1" ref="D11" ca="1">_xlfn.IFS($B11="etf", _xll.YCI($A11, "ycharts_benchmark_category",TODAY()),$B11&lt;&gt;"etf",_xll.YCI("M:" &amp; $A11, "ycharts_benchmark_category",TODAY()))</f>
        <v>#VALUE!</v>
      </c>
      <c r="E11" t="e" cm="1">
        <f t="array" aca="1" ref="E11" ca="1">_xlfn.IFS($B11="etf", _xll.YCI($A11, "ycharts_benchmark_index_symbol",TODAY()),$B11&lt;&gt;"etf",_xll.YCI("M:" &amp; $A11, "ycharts_benchmark_index_symbol",TODAY()))</f>
        <v>#VALUE!</v>
      </c>
      <c r="F11" t="e" cm="1">
        <f t="array" aca="1" ref="F11" ca="1">_xlfn.IFS($B11="etf", _xll.YCI($E11, "security_name",TODAY()),$B11&lt;&gt;"etf",_xll.YCI( $E11, "security_name",TODAY()))</f>
        <v>#VALUE!</v>
      </c>
      <c r="G11" t="e" cm="1">
        <f t="array" aca="1" ref="G11" ca="1">_xlfn.IFS($B11="etf", _xll.YCI($A11, "prospectus_benchmark_index",TODAY()),$B11&lt;&gt;"etf",_xll.YCI("M:" &amp; $A11, "prospectus_benchmark_index",TODAY()))</f>
        <v>#VALUE!</v>
      </c>
      <c r="H11" s="2" t="e" cm="1">
        <f t="array" aca="1" ref="H11" ca="1">_xlfn.IFS($B11="etf", _xll.YCP($A11,"quarterly_total_return",'Database Query'!$E$14),$B11&lt;&gt;"etf",_xll.YCP("M:"&amp; $A11,"quarterly_total_return",'Database Query'!$E$14))</f>
        <v>#VALUE!</v>
      </c>
      <c r="I11" s="2" t="e" cm="1">
        <f t="array" aca="1" ref="I11" ca="1">-_xll.YCP($E11,"quarterly_return",'Database Query'!$E$14)+H11</f>
        <v>#VALUE!</v>
      </c>
      <c r="J11" s="2" t="e" cm="1">
        <f t="array" aca="1" ref="J11" ca="1">_xlfn.IFS($B11="etf", _xll.YCP($A11,"ytd_total_return",'Database Query'!$E$14),$B11&lt;&gt;"etf",_xll.YCP("M:"&amp; $A11,"ytd_total_return",'Database Query'!$E$14))</f>
        <v>#VALUE!</v>
      </c>
      <c r="K11" s="2" t="e" cm="1">
        <f t="array" aca="1" ref="K11" ca="1">-_xll.YCP($E11,"ytd_return",'Database Query'!$E$14)+J11</f>
        <v>#VALUE!</v>
      </c>
      <c r="L11" s="2" t="e" cm="1">
        <f t="array" aca="1" ref="L11" ca="1">_xlfn.IFS($B11="etf", _xll.YCP($A11,"one_year_total_return",'Database Query'!$E$14),$B11&lt;&gt;"etf",_xll.YCP("M:"&amp; $A11,"one_year_total_return",'Database Query'!$E$14))</f>
        <v>#VALUE!</v>
      </c>
      <c r="M11" s="2" t="e" cm="1">
        <f t="array" aca="1" ref="M11" ca="1">-_xll.YCP($E11,"one_year_return",'Database Query'!$E$14)+L11</f>
        <v>#VALUE!</v>
      </c>
      <c r="N11" s="2" t="e" cm="1">
        <f t="array" aca="1" ref="N11" ca="1">_xlfn.IFS($B11="etf", _xll.YCP($A11,"three_year_total_return",'Database Query'!$E$14),$B11&lt;&gt;"etf",_xll.YCP("M:"&amp; $A11,"three_year_total_return",'Database Query'!$E$14))</f>
        <v>#VALUE!</v>
      </c>
      <c r="O11" s="2" t="e" cm="1">
        <f t="array" aca="1" ref="O11" ca="1">-_xll.YCP($E11,"three_year_return",'Database Query'!$E$14)+N11</f>
        <v>#VALUE!</v>
      </c>
      <c r="P11" s="2" t="e" cm="1">
        <f t="array" aca="1" ref="P11" ca="1">_xlfn.IFS($B11="etf", _xll.YCP($A11,"five_year_total_return",'Database Query'!$E$14),$B11&lt;&gt;"etf",_xll.YCP("M:"&amp; $A11,"five_year_total_return",'Database Query'!$E$14))</f>
        <v>#VALUE!</v>
      </c>
      <c r="Q11" s="2" t="e" cm="1">
        <f t="array" aca="1" ref="Q11" ca="1">-_xll.YCP($E11,"five_year_return",'Database Query'!$E$14)+P11</f>
        <v>#VALUE!</v>
      </c>
    </row>
    <row r="12" spans="1:17" x14ac:dyDescent="0.25">
      <c r="A12" t="str">
        <v>AIMNX</v>
      </c>
      <c r="B12" t="e" cm="1">
        <f t="array" aca="1" ref="B12" ca="1">_xll.YCI(A12,"detailed_security_type",TODAY())</f>
        <v>#VALUE!</v>
      </c>
      <c r="C12" t="e" cm="1">
        <f t="array" aca="1" ref="C12" ca="1">_xlfn.IFS(B12="etf", _xll.YCI(A12, "security_name",TODAY()),B12&lt;&gt;"etf",_xll.YCI("M:" &amp; A12, "security_name",TODAY()))</f>
        <v>#VALUE!</v>
      </c>
      <c r="D12" t="e" cm="1">
        <f t="array" aca="1" ref="D12" ca="1">_xlfn.IFS($B12="etf", _xll.YCI($A12, "ycharts_benchmark_category",TODAY()),$B12&lt;&gt;"etf",_xll.YCI("M:" &amp; $A12, "ycharts_benchmark_category",TODAY()))</f>
        <v>#VALUE!</v>
      </c>
      <c r="E12" t="e" cm="1">
        <f t="array" aca="1" ref="E12" ca="1">_xlfn.IFS($B12="etf", _xll.YCI($A12, "ycharts_benchmark_index_symbol",TODAY()),$B12&lt;&gt;"etf",_xll.YCI("M:" &amp; $A12, "ycharts_benchmark_index_symbol",TODAY()))</f>
        <v>#VALUE!</v>
      </c>
      <c r="F12" t="e" cm="1">
        <f t="array" aca="1" ref="F12" ca="1">_xlfn.IFS($B12="etf", _xll.YCI($E12, "security_name",TODAY()),$B12&lt;&gt;"etf",_xll.YCI( $E12, "security_name",TODAY()))</f>
        <v>#VALUE!</v>
      </c>
      <c r="G12" t="e" cm="1">
        <f t="array" aca="1" ref="G12" ca="1">_xlfn.IFS($B12="etf", _xll.YCI($A12, "prospectus_benchmark_index",TODAY()),$B12&lt;&gt;"etf",_xll.YCI("M:" &amp; $A12, "prospectus_benchmark_index",TODAY()))</f>
        <v>#VALUE!</v>
      </c>
      <c r="H12" s="2" t="e" cm="1">
        <f t="array" aca="1" ref="H12" ca="1">_xlfn.IFS($B12="etf", _xll.YCP($A12,"quarterly_total_return",'Database Query'!$E$14),$B12&lt;&gt;"etf",_xll.YCP("M:"&amp; $A12,"quarterly_total_return",'Database Query'!$E$14))</f>
        <v>#VALUE!</v>
      </c>
      <c r="I12" s="2" t="e" cm="1">
        <f t="array" aca="1" ref="I12" ca="1">-_xll.YCP($E12,"quarterly_return",'Database Query'!$E$14)+H12</f>
        <v>#VALUE!</v>
      </c>
      <c r="J12" s="2" t="e" cm="1">
        <f t="array" aca="1" ref="J12" ca="1">_xlfn.IFS($B12="etf", _xll.YCP($A12,"ytd_total_return",'Database Query'!$E$14),$B12&lt;&gt;"etf",_xll.YCP("M:"&amp; $A12,"ytd_total_return",'Database Query'!$E$14))</f>
        <v>#VALUE!</v>
      </c>
      <c r="K12" s="2" t="e" cm="1">
        <f t="array" aca="1" ref="K12" ca="1">-_xll.YCP($E12,"ytd_return",'Database Query'!$E$14)+J12</f>
        <v>#VALUE!</v>
      </c>
      <c r="L12" s="2" t="e" cm="1">
        <f t="array" aca="1" ref="L12" ca="1">_xlfn.IFS($B12="etf", _xll.YCP($A12,"one_year_total_return",'Database Query'!$E$14),$B12&lt;&gt;"etf",_xll.YCP("M:"&amp; $A12,"one_year_total_return",'Database Query'!$E$14))</f>
        <v>#VALUE!</v>
      </c>
      <c r="M12" s="2" t="e" cm="1">
        <f t="array" aca="1" ref="M12" ca="1">-_xll.YCP($E12,"one_year_return",'Database Query'!$E$14)+L12</f>
        <v>#VALUE!</v>
      </c>
      <c r="N12" s="2" t="e" cm="1">
        <f t="array" aca="1" ref="N12" ca="1">_xlfn.IFS($B12="etf", _xll.YCP($A12,"three_year_total_return",'Database Query'!$E$14),$B12&lt;&gt;"etf",_xll.YCP("M:"&amp; $A12,"three_year_total_return",'Database Query'!$E$14))</f>
        <v>#VALUE!</v>
      </c>
      <c r="O12" s="2" t="e" cm="1">
        <f t="array" aca="1" ref="O12" ca="1">-_xll.YCP($E12,"three_year_return",'Database Query'!$E$14)+N12</f>
        <v>#VALUE!</v>
      </c>
      <c r="P12" s="2" t="e" cm="1">
        <f t="array" aca="1" ref="P12" ca="1">_xlfn.IFS($B12="etf", _xll.YCP($A12,"five_year_total_return",'Database Query'!$E$14),$B12&lt;&gt;"etf",_xll.YCP("M:"&amp; $A12,"five_year_total_return",'Database Query'!$E$14))</f>
        <v>#VALUE!</v>
      </c>
      <c r="Q12" s="2" t="e" cm="1">
        <f t="array" aca="1" ref="Q12" ca="1">-_xll.YCP($E12,"five_year_return",'Database Query'!$E$14)+P12</f>
        <v>#VALUE!</v>
      </c>
    </row>
    <row r="13" spans="1:17" x14ac:dyDescent="0.25">
      <c r="A13" t="str">
        <v>ANBFX</v>
      </c>
      <c r="B13" t="e" cm="1">
        <f t="array" aca="1" ref="B13" ca="1">_xll.YCI(A13,"detailed_security_type",TODAY())</f>
        <v>#VALUE!</v>
      </c>
      <c r="C13" t="e" cm="1">
        <f t="array" aca="1" ref="C13" ca="1">_xlfn.IFS(B13="etf", _xll.YCI(A13, "security_name",TODAY()),B13&lt;&gt;"etf",_xll.YCI("M:" &amp; A13, "security_name",TODAY()))</f>
        <v>#VALUE!</v>
      </c>
      <c r="D13" t="e" cm="1">
        <f t="array" aca="1" ref="D13" ca="1">_xlfn.IFS($B13="etf", _xll.YCI($A13, "ycharts_benchmark_category",TODAY()),$B13&lt;&gt;"etf",_xll.YCI("M:" &amp; $A13, "ycharts_benchmark_category",TODAY()))</f>
        <v>#VALUE!</v>
      </c>
      <c r="E13" t="e" cm="1">
        <f t="array" aca="1" ref="E13" ca="1">_xlfn.IFS($B13="etf", _xll.YCI($A13, "ycharts_benchmark_index_symbol",TODAY()),$B13&lt;&gt;"etf",_xll.YCI("M:" &amp; $A13, "ycharts_benchmark_index_symbol",TODAY()))</f>
        <v>#VALUE!</v>
      </c>
      <c r="F13" t="e" cm="1">
        <f t="array" aca="1" ref="F13" ca="1">_xlfn.IFS($B13="etf", _xll.YCI($E13, "security_name",TODAY()),$B13&lt;&gt;"etf",_xll.YCI( $E13, "security_name",TODAY()))</f>
        <v>#VALUE!</v>
      </c>
      <c r="G13" t="e" cm="1">
        <f t="array" aca="1" ref="G13" ca="1">_xlfn.IFS($B13="etf", _xll.YCI($A13, "prospectus_benchmark_index",TODAY()),$B13&lt;&gt;"etf",_xll.YCI("M:" &amp; $A13, "prospectus_benchmark_index",TODAY()))</f>
        <v>#VALUE!</v>
      </c>
      <c r="H13" s="2" t="e" cm="1">
        <f t="array" aca="1" ref="H13" ca="1">_xlfn.IFS($B13="etf", _xll.YCP($A13,"quarterly_total_return",'Database Query'!$E$14),$B13&lt;&gt;"etf",_xll.YCP("M:"&amp; $A13,"quarterly_total_return",'Database Query'!$E$14))</f>
        <v>#VALUE!</v>
      </c>
      <c r="I13" s="2" t="e" cm="1">
        <f t="array" aca="1" ref="I13" ca="1">-_xll.YCP($E13,"quarterly_return",'Database Query'!$E$14)+H13</f>
        <v>#VALUE!</v>
      </c>
      <c r="J13" s="2" t="e" cm="1">
        <f t="array" aca="1" ref="J13" ca="1">_xlfn.IFS($B13="etf", _xll.YCP($A13,"ytd_total_return",'Database Query'!$E$14),$B13&lt;&gt;"etf",_xll.YCP("M:"&amp; $A13,"ytd_total_return",'Database Query'!$E$14))</f>
        <v>#VALUE!</v>
      </c>
      <c r="K13" s="2" t="e" cm="1">
        <f t="array" aca="1" ref="K13" ca="1">-_xll.YCP($E13,"ytd_return",'Database Query'!$E$14)+J13</f>
        <v>#VALUE!</v>
      </c>
      <c r="L13" s="2" t="e" cm="1">
        <f t="array" aca="1" ref="L13" ca="1">_xlfn.IFS($B13="etf", _xll.YCP($A13,"one_year_total_return",'Database Query'!$E$14),$B13&lt;&gt;"etf",_xll.YCP("M:"&amp; $A13,"one_year_total_return",'Database Query'!$E$14))</f>
        <v>#VALUE!</v>
      </c>
      <c r="M13" s="2" t="e" cm="1">
        <f t="array" aca="1" ref="M13" ca="1">-_xll.YCP($E13,"one_year_return",'Database Query'!$E$14)+L13</f>
        <v>#VALUE!</v>
      </c>
      <c r="N13" s="2" t="e" cm="1">
        <f t="array" aca="1" ref="N13" ca="1">_xlfn.IFS($B13="etf", _xll.YCP($A13,"three_year_total_return",'Database Query'!$E$14),$B13&lt;&gt;"etf",_xll.YCP("M:"&amp; $A13,"three_year_total_return",'Database Query'!$E$14))</f>
        <v>#VALUE!</v>
      </c>
      <c r="O13" s="2" t="e" cm="1">
        <f t="array" aca="1" ref="O13" ca="1">-_xll.YCP($E13,"three_year_return",'Database Query'!$E$14)+N13</f>
        <v>#VALUE!</v>
      </c>
      <c r="P13" s="2" t="e" cm="1">
        <f t="array" aca="1" ref="P13" ca="1">_xlfn.IFS($B13="etf", _xll.YCP($A13,"five_year_total_return",'Database Query'!$E$14),$B13&lt;&gt;"etf",_xll.YCP("M:"&amp; $A13,"five_year_total_return",'Database Query'!$E$14))</f>
        <v>#VALUE!</v>
      </c>
      <c r="Q13" s="2" t="e" cm="1">
        <f t="array" aca="1" ref="Q13" ca="1">-_xll.YCP($E13,"five_year_return",'Database Query'!$E$14)+P13</f>
        <v>#VALUE!</v>
      </c>
    </row>
    <row r="14" spans="1:17" x14ac:dyDescent="0.25">
      <c r="A14" t="str">
        <v>APGYX</v>
      </c>
      <c r="B14" t="e" cm="1">
        <f t="array" aca="1" ref="B14" ca="1">_xll.YCI(A14,"detailed_security_type",TODAY())</f>
        <v>#VALUE!</v>
      </c>
      <c r="C14" t="e" cm="1">
        <f t="array" aca="1" ref="C14" ca="1">_xlfn.IFS(B14="etf", _xll.YCI(A14, "security_name",TODAY()),B14&lt;&gt;"etf",_xll.YCI("M:" &amp; A14, "security_name",TODAY()))</f>
        <v>#VALUE!</v>
      </c>
      <c r="D14" t="e" cm="1">
        <f t="array" aca="1" ref="D14" ca="1">_xlfn.IFS($B14="etf", _xll.YCI($A14, "ycharts_benchmark_category",TODAY()),$B14&lt;&gt;"etf",_xll.YCI("M:" &amp; $A14, "ycharts_benchmark_category",TODAY()))</f>
        <v>#VALUE!</v>
      </c>
      <c r="E14" t="e" cm="1">
        <f t="array" aca="1" ref="E14" ca="1">_xlfn.IFS($B14="etf", _xll.YCI($A14, "ycharts_benchmark_index_symbol",TODAY()),$B14&lt;&gt;"etf",_xll.YCI("M:" &amp; $A14, "ycharts_benchmark_index_symbol",TODAY()))</f>
        <v>#VALUE!</v>
      </c>
      <c r="F14" t="e" cm="1">
        <f t="array" aca="1" ref="F14" ca="1">_xlfn.IFS($B14="etf", _xll.YCI($E14, "security_name",TODAY()),$B14&lt;&gt;"etf",_xll.YCI( $E14, "security_name",TODAY()))</f>
        <v>#VALUE!</v>
      </c>
      <c r="G14" t="e" cm="1">
        <f t="array" aca="1" ref="G14" ca="1">_xlfn.IFS($B14="etf", _xll.YCI($A14, "prospectus_benchmark_index",TODAY()),$B14&lt;&gt;"etf",_xll.YCI("M:" &amp; $A14, "prospectus_benchmark_index",TODAY()))</f>
        <v>#VALUE!</v>
      </c>
      <c r="H14" s="2" t="e" cm="1">
        <f t="array" aca="1" ref="H14" ca="1">_xlfn.IFS($B14="etf", _xll.YCP($A14,"quarterly_total_return",'Database Query'!$E$14),$B14&lt;&gt;"etf",_xll.YCP("M:"&amp; $A14,"quarterly_total_return",'Database Query'!$E$14))</f>
        <v>#VALUE!</v>
      </c>
      <c r="I14" s="2" t="e" cm="1">
        <f t="array" aca="1" ref="I14" ca="1">-_xll.YCP($E14,"quarterly_return",'Database Query'!$E$14)+H14</f>
        <v>#VALUE!</v>
      </c>
      <c r="J14" s="2" t="e" cm="1">
        <f t="array" aca="1" ref="J14" ca="1">_xlfn.IFS($B14="etf", _xll.YCP($A14,"ytd_total_return",'Database Query'!$E$14),$B14&lt;&gt;"etf",_xll.YCP("M:"&amp; $A14,"ytd_total_return",'Database Query'!$E$14))</f>
        <v>#VALUE!</v>
      </c>
      <c r="K14" s="2" t="e" cm="1">
        <f t="array" aca="1" ref="K14" ca="1">-_xll.YCP($E14,"ytd_return",'Database Query'!$E$14)+J14</f>
        <v>#VALUE!</v>
      </c>
      <c r="L14" s="2" t="e" cm="1">
        <f t="array" aca="1" ref="L14" ca="1">_xlfn.IFS($B14="etf", _xll.YCP($A14,"one_year_total_return",'Database Query'!$E$14),$B14&lt;&gt;"etf",_xll.YCP("M:"&amp; $A14,"one_year_total_return",'Database Query'!$E$14))</f>
        <v>#VALUE!</v>
      </c>
      <c r="M14" s="2" t="e" cm="1">
        <f t="array" aca="1" ref="M14" ca="1">-_xll.YCP($E14,"one_year_return",'Database Query'!$E$14)+L14</f>
        <v>#VALUE!</v>
      </c>
      <c r="N14" s="2" t="e" cm="1">
        <f t="array" aca="1" ref="N14" ca="1">_xlfn.IFS($B14="etf", _xll.YCP($A14,"three_year_total_return",'Database Query'!$E$14),$B14&lt;&gt;"etf",_xll.YCP("M:"&amp; $A14,"three_year_total_return",'Database Query'!$E$14))</f>
        <v>#VALUE!</v>
      </c>
      <c r="O14" s="2" t="e" cm="1">
        <f t="array" aca="1" ref="O14" ca="1">-_xll.YCP($E14,"three_year_return",'Database Query'!$E$14)+N14</f>
        <v>#VALUE!</v>
      </c>
      <c r="P14" s="2" t="e" cm="1">
        <f t="array" aca="1" ref="P14" ca="1">_xlfn.IFS($B14="etf", _xll.YCP($A14,"five_year_total_return",'Database Query'!$E$14),$B14&lt;&gt;"etf",_xll.YCP("M:"&amp; $A14,"five_year_total_return",'Database Query'!$E$14))</f>
        <v>#VALUE!</v>
      </c>
      <c r="Q14" s="2" t="e" cm="1">
        <f t="array" aca="1" ref="Q14" ca="1">-_xll.YCP($E14,"five_year_return",'Database Query'!$E$14)+P14</f>
        <v>#VALUE!</v>
      </c>
    </row>
    <row r="15" spans="1:17" x14ac:dyDescent="0.25">
      <c r="A15" t="str">
        <v>AQMIX</v>
      </c>
      <c r="B15" t="e" cm="1">
        <f t="array" aca="1" ref="B15" ca="1">_xll.YCI(A15,"detailed_security_type",TODAY())</f>
        <v>#VALUE!</v>
      </c>
      <c r="C15" t="e" cm="1">
        <f t="array" aca="1" ref="C15" ca="1">_xlfn.IFS(B15="etf", _xll.YCI(A15, "security_name",TODAY()),B15&lt;&gt;"etf",_xll.YCI("M:" &amp; A15, "security_name",TODAY()))</f>
        <v>#VALUE!</v>
      </c>
      <c r="D15" t="e" cm="1">
        <f t="array" aca="1" ref="D15" ca="1">_xlfn.IFS($B15="etf", _xll.YCI($A15, "ycharts_benchmark_category",TODAY()),$B15&lt;&gt;"etf",_xll.YCI("M:" &amp; $A15, "ycharts_benchmark_category",TODAY()))</f>
        <v>#VALUE!</v>
      </c>
      <c r="E15" t="e" cm="1">
        <f t="array" aca="1" ref="E15" ca="1">_xlfn.IFS($B15="etf", _xll.YCI($A15, "ycharts_benchmark_index_symbol",TODAY()),$B15&lt;&gt;"etf",_xll.YCI("M:" &amp; $A15, "ycharts_benchmark_index_symbol",TODAY()))</f>
        <v>#VALUE!</v>
      </c>
      <c r="F15" t="e" cm="1">
        <f t="array" aca="1" ref="F15" ca="1">_xlfn.IFS($B15="etf", _xll.YCI($E15, "security_name",TODAY()),$B15&lt;&gt;"etf",_xll.YCI( $E15, "security_name",TODAY()))</f>
        <v>#VALUE!</v>
      </c>
      <c r="G15" t="e" cm="1">
        <f t="array" aca="1" ref="G15" ca="1">_xlfn.IFS($B15="etf", _xll.YCI($A15, "prospectus_benchmark_index",TODAY()),$B15&lt;&gt;"etf",_xll.YCI("M:" &amp; $A15, "prospectus_benchmark_index",TODAY()))</f>
        <v>#VALUE!</v>
      </c>
      <c r="H15" s="2" t="e" cm="1">
        <f t="array" aca="1" ref="H15" ca="1">_xlfn.IFS($B15="etf", _xll.YCP($A15,"quarterly_total_return",'Database Query'!$E$14),$B15&lt;&gt;"etf",_xll.YCP("M:"&amp; $A15,"quarterly_total_return",'Database Query'!$E$14))</f>
        <v>#VALUE!</v>
      </c>
      <c r="I15" s="2" t="e" cm="1">
        <f t="array" aca="1" ref="I15" ca="1">-_xll.YCP($E15,"quarterly_return",'Database Query'!$E$14)+H15</f>
        <v>#VALUE!</v>
      </c>
      <c r="J15" s="2" t="e" cm="1">
        <f t="array" aca="1" ref="J15" ca="1">_xlfn.IFS($B15="etf", _xll.YCP($A15,"ytd_total_return",'Database Query'!$E$14),$B15&lt;&gt;"etf",_xll.YCP("M:"&amp; $A15,"ytd_total_return",'Database Query'!$E$14))</f>
        <v>#VALUE!</v>
      </c>
      <c r="K15" s="2" t="e" cm="1">
        <f t="array" aca="1" ref="K15" ca="1">-_xll.YCP($E15,"ytd_return",'Database Query'!$E$14)+J15</f>
        <v>#VALUE!</v>
      </c>
      <c r="L15" s="2" t="e" cm="1">
        <f t="array" aca="1" ref="L15" ca="1">_xlfn.IFS($B15="etf", _xll.YCP($A15,"one_year_total_return",'Database Query'!$E$14),$B15&lt;&gt;"etf",_xll.YCP("M:"&amp; $A15,"one_year_total_return",'Database Query'!$E$14))</f>
        <v>#VALUE!</v>
      </c>
      <c r="M15" s="2" t="e" cm="1">
        <f t="array" aca="1" ref="M15" ca="1">-_xll.YCP($E15,"one_year_return",'Database Query'!$E$14)+L15</f>
        <v>#VALUE!</v>
      </c>
      <c r="N15" s="2" t="e" cm="1">
        <f t="array" aca="1" ref="N15" ca="1">_xlfn.IFS($B15="etf", _xll.YCP($A15,"three_year_total_return",'Database Query'!$E$14),$B15&lt;&gt;"etf",_xll.YCP("M:"&amp; $A15,"three_year_total_return",'Database Query'!$E$14))</f>
        <v>#VALUE!</v>
      </c>
      <c r="O15" s="2" t="e" cm="1">
        <f t="array" aca="1" ref="O15" ca="1">-_xll.YCP($E15,"three_year_return",'Database Query'!$E$14)+N15</f>
        <v>#VALUE!</v>
      </c>
      <c r="P15" s="2" t="e" cm="1">
        <f t="array" aca="1" ref="P15" ca="1">_xlfn.IFS($B15="etf", _xll.YCP($A15,"five_year_total_return",'Database Query'!$E$14),$B15&lt;&gt;"etf",_xll.YCP("M:"&amp; $A15,"five_year_total_return",'Database Query'!$E$14))</f>
        <v>#VALUE!</v>
      </c>
      <c r="Q15" s="2" t="e" cm="1">
        <f t="array" aca="1" ref="Q15" ca="1">-_xll.YCP($E15,"five_year_return",'Database Query'!$E$14)+P15</f>
        <v>#VALUE!</v>
      </c>
    </row>
    <row r="16" spans="1:17" x14ac:dyDescent="0.25">
      <c r="A16" t="str">
        <v>AQMNX</v>
      </c>
      <c r="B16" t="e" cm="1">
        <f t="array" aca="1" ref="B16" ca="1">_xll.YCI(A16,"detailed_security_type",TODAY())</f>
        <v>#VALUE!</v>
      </c>
      <c r="C16" t="e" cm="1">
        <f t="array" aca="1" ref="C16" ca="1">_xlfn.IFS(B16="etf", _xll.YCI(A16, "security_name",TODAY()),B16&lt;&gt;"etf",_xll.YCI("M:" &amp; A16, "security_name",TODAY()))</f>
        <v>#VALUE!</v>
      </c>
      <c r="D16" t="e" cm="1">
        <f t="array" aca="1" ref="D16" ca="1">_xlfn.IFS($B16="etf", _xll.YCI($A16, "ycharts_benchmark_category",TODAY()),$B16&lt;&gt;"etf",_xll.YCI("M:" &amp; $A16, "ycharts_benchmark_category",TODAY()))</f>
        <v>#VALUE!</v>
      </c>
      <c r="E16" t="e" cm="1">
        <f t="array" aca="1" ref="E16" ca="1">_xlfn.IFS($B16="etf", _xll.YCI($A16, "ycharts_benchmark_index_symbol",TODAY()),$B16&lt;&gt;"etf",_xll.YCI("M:" &amp; $A16, "ycharts_benchmark_index_symbol",TODAY()))</f>
        <v>#VALUE!</v>
      </c>
      <c r="F16" t="e" cm="1">
        <f t="array" aca="1" ref="F16" ca="1">_xlfn.IFS($B16="etf", _xll.YCI($E16, "security_name",TODAY()),$B16&lt;&gt;"etf",_xll.YCI( $E16, "security_name",TODAY()))</f>
        <v>#VALUE!</v>
      </c>
      <c r="G16" t="e" cm="1">
        <f t="array" aca="1" ref="G16" ca="1">_xlfn.IFS($B16="etf", _xll.YCI($A16, "prospectus_benchmark_index",TODAY()),$B16&lt;&gt;"etf",_xll.YCI("M:" &amp; $A16, "prospectus_benchmark_index",TODAY()))</f>
        <v>#VALUE!</v>
      </c>
      <c r="H16" s="2" t="e" cm="1">
        <f t="array" aca="1" ref="H16" ca="1">_xlfn.IFS($B16="etf", _xll.YCP($A16,"quarterly_total_return",'Database Query'!$E$14),$B16&lt;&gt;"etf",_xll.YCP("M:"&amp; $A16,"quarterly_total_return",'Database Query'!$E$14))</f>
        <v>#VALUE!</v>
      </c>
      <c r="I16" s="2" t="e" cm="1">
        <f t="array" aca="1" ref="I16" ca="1">-_xll.YCP($E16,"quarterly_return",'Database Query'!$E$14)+H16</f>
        <v>#VALUE!</v>
      </c>
      <c r="J16" s="2" t="e" cm="1">
        <f t="array" aca="1" ref="J16" ca="1">_xlfn.IFS($B16="etf", _xll.YCP($A16,"ytd_total_return",'Database Query'!$E$14),$B16&lt;&gt;"etf",_xll.YCP("M:"&amp; $A16,"ytd_total_return",'Database Query'!$E$14))</f>
        <v>#VALUE!</v>
      </c>
      <c r="K16" s="2" t="e" cm="1">
        <f t="array" aca="1" ref="K16" ca="1">-_xll.YCP($E16,"ytd_return",'Database Query'!$E$14)+J16</f>
        <v>#VALUE!</v>
      </c>
      <c r="L16" s="2" t="e" cm="1">
        <f t="array" aca="1" ref="L16" ca="1">_xlfn.IFS($B16="etf", _xll.YCP($A16,"one_year_total_return",'Database Query'!$E$14),$B16&lt;&gt;"etf",_xll.YCP("M:"&amp; $A16,"one_year_total_return",'Database Query'!$E$14))</f>
        <v>#VALUE!</v>
      </c>
      <c r="M16" s="2" t="e" cm="1">
        <f t="array" aca="1" ref="M16" ca="1">-_xll.YCP($E16,"one_year_return",'Database Query'!$E$14)+L16</f>
        <v>#VALUE!</v>
      </c>
      <c r="N16" s="2" t="e" cm="1">
        <f t="array" aca="1" ref="N16" ca="1">_xlfn.IFS($B16="etf", _xll.YCP($A16,"three_year_total_return",'Database Query'!$E$14),$B16&lt;&gt;"etf",_xll.YCP("M:"&amp; $A16,"three_year_total_return",'Database Query'!$E$14))</f>
        <v>#VALUE!</v>
      </c>
      <c r="O16" s="2" t="e" cm="1">
        <f t="array" aca="1" ref="O16" ca="1">-_xll.YCP($E16,"three_year_return",'Database Query'!$E$14)+N16</f>
        <v>#VALUE!</v>
      </c>
      <c r="P16" s="2" t="e" cm="1">
        <f t="array" aca="1" ref="P16" ca="1">_xlfn.IFS($B16="etf", _xll.YCP($A16,"five_year_total_return",'Database Query'!$E$14),$B16&lt;&gt;"etf",_xll.YCP("M:"&amp; $A16,"five_year_total_return",'Database Query'!$E$14))</f>
        <v>#VALUE!</v>
      </c>
      <c r="Q16" s="2" t="e" cm="1">
        <f t="array" aca="1" ref="Q16" ca="1">-_xll.YCP($E16,"five_year_return",'Database Query'!$E$14)+P16</f>
        <v>#VALUE!</v>
      </c>
    </row>
    <row r="17" spans="1:17" x14ac:dyDescent="0.25">
      <c r="A17" t="str">
        <v>AVFIX</v>
      </c>
      <c r="B17" t="e" cm="1">
        <f t="array" aca="1" ref="B17" ca="1">_xll.YCI(A17,"detailed_security_type",TODAY())</f>
        <v>#VALUE!</v>
      </c>
      <c r="C17" t="e" cm="1">
        <f t="array" aca="1" ref="C17" ca="1">_xlfn.IFS(B17="etf", _xll.YCI(A17, "security_name",TODAY()),B17&lt;&gt;"etf",_xll.YCI("M:" &amp; A17, "security_name",TODAY()))</f>
        <v>#VALUE!</v>
      </c>
      <c r="D17" t="e" cm="1">
        <f t="array" aca="1" ref="D17" ca="1">_xlfn.IFS($B17="etf", _xll.YCI($A17, "ycharts_benchmark_category",TODAY()),$B17&lt;&gt;"etf",_xll.YCI("M:" &amp; $A17, "ycharts_benchmark_category",TODAY()))</f>
        <v>#VALUE!</v>
      </c>
      <c r="E17" t="e" cm="1">
        <f t="array" aca="1" ref="E17" ca="1">_xlfn.IFS($B17="etf", _xll.YCI($A17, "ycharts_benchmark_index_symbol",TODAY()),$B17&lt;&gt;"etf",_xll.YCI("M:" &amp; $A17, "ycharts_benchmark_index_symbol",TODAY()))</f>
        <v>#VALUE!</v>
      </c>
      <c r="F17" t="e" cm="1">
        <f t="array" aca="1" ref="F17" ca="1">_xlfn.IFS($B17="etf", _xll.YCI($E17, "security_name",TODAY()),$B17&lt;&gt;"etf",_xll.YCI( $E17, "security_name",TODAY()))</f>
        <v>#VALUE!</v>
      </c>
      <c r="G17" t="e" cm="1">
        <f t="array" aca="1" ref="G17" ca="1">_xlfn.IFS($B17="etf", _xll.YCI($A17, "prospectus_benchmark_index",TODAY()),$B17&lt;&gt;"etf",_xll.YCI("M:" &amp; $A17, "prospectus_benchmark_index",TODAY()))</f>
        <v>#VALUE!</v>
      </c>
      <c r="H17" s="2" t="e" cm="1">
        <f t="array" aca="1" ref="H17" ca="1">_xlfn.IFS($B17="etf", _xll.YCP($A17,"quarterly_total_return",'Database Query'!$E$14),$B17&lt;&gt;"etf",_xll.YCP("M:"&amp; $A17,"quarterly_total_return",'Database Query'!$E$14))</f>
        <v>#VALUE!</v>
      </c>
      <c r="I17" s="2" t="e" cm="1">
        <f t="array" aca="1" ref="I17" ca="1">-_xll.YCP($E17,"quarterly_return",'Database Query'!$E$14)+H17</f>
        <v>#VALUE!</v>
      </c>
      <c r="J17" s="2" t="e" cm="1">
        <f t="array" aca="1" ref="J17" ca="1">_xlfn.IFS($B17="etf", _xll.YCP($A17,"ytd_total_return",'Database Query'!$E$14),$B17&lt;&gt;"etf",_xll.YCP("M:"&amp; $A17,"ytd_total_return",'Database Query'!$E$14))</f>
        <v>#VALUE!</v>
      </c>
      <c r="K17" s="2" t="e" cm="1">
        <f t="array" aca="1" ref="K17" ca="1">-_xll.YCP($E17,"ytd_return",'Database Query'!$E$14)+J17</f>
        <v>#VALUE!</v>
      </c>
      <c r="L17" s="2" t="e" cm="1">
        <f t="array" aca="1" ref="L17" ca="1">_xlfn.IFS($B17="etf", _xll.YCP($A17,"one_year_total_return",'Database Query'!$E$14),$B17&lt;&gt;"etf",_xll.YCP("M:"&amp; $A17,"one_year_total_return",'Database Query'!$E$14))</f>
        <v>#VALUE!</v>
      </c>
      <c r="M17" s="2" t="e" cm="1">
        <f t="array" aca="1" ref="M17" ca="1">-_xll.YCP($E17,"one_year_return",'Database Query'!$E$14)+L17</f>
        <v>#VALUE!</v>
      </c>
      <c r="N17" s="2" t="e" cm="1">
        <f t="array" aca="1" ref="N17" ca="1">_xlfn.IFS($B17="etf", _xll.YCP($A17,"three_year_total_return",'Database Query'!$E$14),$B17&lt;&gt;"etf",_xll.YCP("M:"&amp; $A17,"three_year_total_return",'Database Query'!$E$14))</f>
        <v>#VALUE!</v>
      </c>
      <c r="O17" s="2" t="e" cm="1">
        <f t="array" aca="1" ref="O17" ca="1">-_xll.YCP($E17,"three_year_return",'Database Query'!$E$14)+N17</f>
        <v>#VALUE!</v>
      </c>
      <c r="P17" s="2" t="e" cm="1">
        <f t="array" aca="1" ref="P17" ca="1">_xlfn.IFS($B17="etf", _xll.YCP($A17,"five_year_total_return",'Database Query'!$E$14),$B17&lt;&gt;"etf",_xll.YCP("M:"&amp; $A17,"five_year_total_return",'Database Query'!$E$14))</f>
        <v>#VALUE!</v>
      </c>
      <c r="Q17" s="2" t="e" cm="1">
        <f t="array" aca="1" ref="Q17" ca="1">-_xll.YCP($E17,"five_year_return",'Database Query'!$E$14)+P17</f>
        <v>#VALUE!</v>
      </c>
    </row>
    <row r="18" spans="1:17" x14ac:dyDescent="0.25">
      <c r="A18" t="str">
        <v>AZIIX</v>
      </c>
      <c r="B18" t="e" cm="1">
        <f t="array" aca="1" ref="B18" ca="1">_xll.YCI(A18,"detailed_security_type",TODAY())</f>
        <v>#VALUE!</v>
      </c>
      <c r="C18" t="e" cm="1">
        <f t="array" aca="1" ref="C18" ca="1">_xlfn.IFS(B18="etf", _xll.YCI(A18, "security_name",TODAY()),B18&lt;&gt;"etf",_xll.YCI("M:" &amp; A18, "security_name",TODAY()))</f>
        <v>#VALUE!</v>
      </c>
      <c r="D18" t="e" cm="1">
        <f t="array" aca="1" ref="D18" ca="1">_xlfn.IFS($B18="etf", _xll.YCI($A18, "ycharts_benchmark_category",TODAY()),$B18&lt;&gt;"etf",_xll.YCI("M:" &amp; $A18, "ycharts_benchmark_category",TODAY()))</f>
        <v>#VALUE!</v>
      </c>
      <c r="E18" t="e" cm="1">
        <f t="array" aca="1" ref="E18" ca="1">_xlfn.IFS($B18="etf", _xll.YCI($A18, "ycharts_benchmark_index_symbol",TODAY()),$B18&lt;&gt;"etf",_xll.YCI("M:" &amp; $A18, "ycharts_benchmark_index_symbol",TODAY()))</f>
        <v>#VALUE!</v>
      </c>
      <c r="F18" t="e" cm="1">
        <f t="array" aca="1" ref="F18" ca="1">_xlfn.IFS($B18="etf", _xll.YCI($E18, "security_name",TODAY()),$B18&lt;&gt;"etf",_xll.YCI( $E18, "security_name",TODAY()))</f>
        <v>#VALUE!</v>
      </c>
      <c r="G18" t="e" cm="1">
        <f t="array" aca="1" ref="G18" ca="1">_xlfn.IFS($B18="etf", _xll.YCI($A18, "prospectus_benchmark_index",TODAY()),$B18&lt;&gt;"etf",_xll.YCI("M:" &amp; $A18, "prospectus_benchmark_index",TODAY()))</f>
        <v>#VALUE!</v>
      </c>
      <c r="H18" s="2" t="e" cm="1">
        <f t="array" aca="1" ref="H18" ca="1">_xlfn.IFS($B18="etf", _xll.YCP($A18,"quarterly_total_return",'Database Query'!$E$14),$B18&lt;&gt;"etf",_xll.YCP("M:"&amp; $A18,"quarterly_total_return",'Database Query'!$E$14))</f>
        <v>#VALUE!</v>
      </c>
      <c r="I18" s="2" t="e" cm="1">
        <f t="array" aca="1" ref="I18" ca="1">-_xll.YCP($E18,"quarterly_return",'Database Query'!$E$14)+H18</f>
        <v>#VALUE!</v>
      </c>
      <c r="J18" s="2" t="e" cm="1">
        <f t="array" aca="1" ref="J18" ca="1">_xlfn.IFS($B18="etf", _xll.YCP($A18,"ytd_total_return",'Database Query'!$E$14),$B18&lt;&gt;"etf",_xll.YCP("M:"&amp; $A18,"ytd_total_return",'Database Query'!$E$14))</f>
        <v>#VALUE!</v>
      </c>
      <c r="K18" s="2" t="e" cm="1">
        <f t="array" aca="1" ref="K18" ca="1">-_xll.YCP($E18,"ytd_return",'Database Query'!$E$14)+J18</f>
        <v>#VALUE!</v>
      </c>
      <c r="L18" s="2" t="e" cm="1">
        <f t="array" aca="1" ref="L18" ca="1">_xlfn.IFS($B18="etf", _xll.YCP($A18,"one_year_total_return",'Database Query'!$E$14),$B18&lt;&gt;"etf",_xll.YCP("M:"&amp; $A18,"one_year_total_return",'Database Query'!$E$14))</f>
        <v>#VALUE!</v>
      </c>
      <c r="M18" s="2" t="e" cm="1">
        <f t="array" aca="1" ref="M18" ca="1">-_xll.YCP($E18,"one_year_return",'Database Query'!$E$14)+L18</f>
        <v>#VALUE!</v>
      </c>
      <c r="N18" s="2" t="e" cm="1">
        <f t="array" aca="1" ref="N18" ca="1">_xlfn.IFS($B18="etf", _xll.YCP($A18,"three_year_total_return",'Database Query'!$E$14),$B18&lt;&gt;"etf",_xll.YCP("M:"&amp; $A18,"three_year_total_return",'Database Query'!$E$14))</f>
        <v>#VALUE!</v>
      </c>
      <c r="O18" s="2" t="e" cm="1">
        <f t="array" aca="1" ref="O18" ca="1">-_xll.YCP($E18,"three_year_return",'Database Query'!$E$14)+N18</f>
        <v>#VALUE!</v>
      </c>
      <c r="P18" s="2" t="e" cm="1">
        <f t="array" aca="1" ref="P18" ca="1">_xlfn.IFS($B18="etf", _xll.YCP($A18,"five_year_total_return",'Database Query'!$E$14),$B18&lt;&gt;"etf",_xll.YCP("M:"&amp; $A18,"five_year_total_return",'Database Query'!$E$14))</f>
        <v>#VALUE!</v>
      </c>
      <c r="Q18" s="2" t="e" cm="1">
        <f t="array" aca="1" ref="Q18" ca="1">-_xll.YCP($E18,"five_year_return",'Database Query'!$E$14)+P18</f>
        <v>#VALUE!</v>
      </c>
    </row>
    <row r="19" spans="1:17" x14ac:dyDescent="0.25">
      <c r="A19" t="str">
        <v>BBBIX</v>
      </c>
      <c r="B19" t="e" cm="1">
        <f t="array" aca="1" ref="B19" ca="1">_xll.YCI(A19,"detailed_security_type",TODAY())</f>
        <v>#VALUE!</v>
      </c>
      <c r="C19" t="e" cm="1">
        <f t="array" aca="1" ref="C19" ca="1">_xlfn.IFS(B19="etf", _xll.YCI(A19, "security_name",TODAY()),B19&lt;&gt;"etf",_xll.YCI("M:" &amp; A19, "security_name",TODAY()))</f>
        <v>#VALUE!</v>
      </c>
      <c r="D19" t="e" cm="1">
        <f t="array" aca="1" ref="D19" ca="1">_xlfn.IFS($B19="etf", _xll.YCI($A19, "ycharts_benchmark_category",TODAY()),$B19&lt;&gt;"etf",_xll.YCI("M:" &amp; $A19, "ycharts_benchmark_category",TODAY()))</f>
        <v>#VALUE!</v>
      </c>
      <c r="E19" t="e" cm="1">
        <f t="array" aca="1" ref="E19" ca="1">_xlfn.IFS($B19="etf", _xll.YCI($A19, "ycharts_benchmark_index_symbol",TODAY()),$B19&lt;&gt;"etf",_xll.YCI("M:" &amp; $A19, "ycharts_benchmark_index_symbol",TODAY()))</f>
        <v>#VALUE!</v>
      </c>
      <c r="F19" t="e" cm="1">
        <f t="array" aca="1" ref="F19" ca="1">_xlfn.IFS($B19="etf", _xll.YCI($E19, "security_name",TODAY()),$B19&lt;&gt;"etf",_xll.YCI( $E19, "security_name",TODAY()))</f>
        <v>#VALUE!</v>
      </c>
      <c r="G19" t="e" cm="1">
        <f t="array" aca="1" ref="G19" ca="1">_xlfn.IFS($B19="etf", _xll.YCI($A19, "prospectus_benchmark_index",TODAY()),$B19&lt;&gt;"etf",_xll.YCI("M:" &amp; $A19, "prospectus_benchmark_index",TODAY()))</f>
        <v>#VALUE!</v>
      </c>
      <c r="H19" s="2" t="e" cm="1">
        <f t="array" aca="1" ref="H19" ca="1">_xlfn.IFS($B19="etf", _xll.YCP($A19,"quarterly_total_return",'Database Query'!$E$14),$B19&lt;&gt;"etf",_xll.YCP("M:"&amp; $A19,"quarterly_total_return",'Database Query'!$E$14))</f>
        <v>#VALUE!</v>
      </c>
      <c r="I19" s="2" t="e" cm="1">
        <f t="array" aca="1" ref="I19" ca="1">-_xll.YCP($E19,"quarterly_return",'Database Query'!$E$14)+H19</f>
        <v>#VALUE!</v>
      </c>
      <c r="J19" s="2" t="e" cm="1">
        <f t="array" aca="1" ref="J19" ca="1">_xlfn.IFS($B19="etf", _xll.YCP($A19,"ytd_total_return",'Database Query'!$E$14),$B19&lt;&gt;"etf",_xll.YCP("M:"&amp; $A19,"ytd_total_return",'Database Query'!$E$14))</f>
        <v>#VALUE!</v>
      </c>
      <c r="K19" s="2" t="e" cm="1">
        <f t="array" aca="1" ref="K19" ca="1">-_xll.YCP($E19,"ytd_return",'Database Query'!$E$14)+J19</f>
        <v>#VALUE!</v>
      </c>
      <c r="L19" s="2" t="e" cm="1">
        <f t="array" aca="1" ref="L19" ca="1">_xlfn.IFS($B19="etf", _xll.YCP($A19,"one_year_total_return",'Database Query'!$E$14),$B19&lt;&gt;"etf",_xll.YCP("M:"&amp; $A19,"one_year_total_return",'Database Query'!$E$14))</f>
        <v>#VALUE!</v>
      </c>
      <c r="M19" s="2" t="e" cm="1">
        <f t="array" aca="1" ref="M19" ca="1">-_xll.YCP($E19,"one_year_return",'Database Query'!$E$14)+L19</f>
        <v>#VALUE!</v>
      </c>
      <c r="N19" s="2" t="e" cm="1">
        <f t="array" aca="1" ref="N19" ca="1">_xlfn.IFS($B19="etf", _xll.YCP($A19,"three_year_total_return",'Database Query'!$E$14),$B19&lt;&gt;"etf",_xll.YCP("M:"&amp; $A19,"three_year_total_return",'Database Query'!$E$14))</f>
        <v>#VALUE!</v>
      </c>
      <c r="O19" s="2" t="e" cm="1">
        <f t="array" aca="1" ref="O19" ca="1">-_xll.YCP($E19,"three_year_return",'Database Query'!$E$14)+N19</f>
        <v>#VALUE!</v>
      </c>
      <c r="P19" s="2" t="e" cm="1">
        <f t="array" aca="1" ref="P19" ca="1">_xlfn.IFS($B19="etf", _xll.YCP($A19,"five_year_total_return",'Database Query'!$E$14),$B19&lt;&gt;"etf",_xll.YCP("M:"&amp; $A19,"five_year_total_return",'Database Query'!$E$14))</f>
        <v>#VALUE!</v>
      </c>
      <c r="Q19" s="2" t="e" cm="1">
        <f t="array" aca="1" ref="Q19" ca="1">-_xll.YCP($E19,"five_year_return",'Database Query'!$E$14)+P19</f>
        <v>#VALUE!</v>
      </c>
    </row>
    <row r="20" spans="1:17" x14ac:dyDescent="0.25">
      <c r="A20" t="str">
        <v>BGHAX</v>
      </c>
      <c r="B20" t="e" cm="1">
        <f t="array" aca="1" ref="B20" ca="1">_xll.YCI(A20,"detailed_security_type",TODAY())</f>
        <v>#VALUE!</v>
      </c>
      <c r="C20" t="e" cm="1">
        <f t="array" aca="1" ref="C20" ca="1">_xlfn.IFS(B20="etf", _xll.YCI(A20, "security_name",TODAY()),B20&lt;&gt;"etf",_xll.YCI("M:" &amp; A20, "security_name",TODAY()))</f>
        <v>#VALUE!</v>
      </c>
      <c r="D20" t="e" cm="1">
        <f t="array" aca="1" ref="D20" ca="1">_xlfn.IFS($B20="etf", _xll.YCI($A20, "ycharts_benchmark_category",TODAY()),$B20&lt;&gt;"etf",_xll.YCI("M:" &amp; $A20, "ycharts_benchmark_category",TODAY()))</f>
        <v>#VALUE!</v>
      </c>
      <c r="E20" t="e" cm="1">
        <f t="array" aca="1" ref="E20" ca="1">_xlfn.IFS($B20="etf", _xll.YCI($A20, "ycharts_benchmark_index_symbol",TODAY()),$B20&lt;&gt;"etf",_xll.YCI("M:" &amp; $A20, "ycharts_benchmark_index_symbol",TODAY()))</f>
        <v>#VALUE!</v>
      </c>
      <c r="F20" t="e" cm="1">
        <f t="array" aca="1" ref="F20" ca="1">_xlfn.IFS($B20="etf", _xll.YCI($E20, "security_name",TODAY()),$B20&lt;&gt;"etf",_xll.YCI( $E20, "security_name",TODAY()))</f>
        <v>#VALUE!</v>
      </c>
      <c r="G20" t="e" cm="1">
        <f t="array" aca="1" ref="G20" ca="1">_xlfn.IFS($B20="etf", _xll.YCI($A20, "prospectus_benchmark_index",TODAY()),$B20&lt;&gt;"etf",_xll.YCI("M:" &amp; $A20, "prospectus_benchmark_index",TODAY()))</f>
        <v>#VALUE!</v>
      </c>
      <c r="H20" s="2" t="e" cm="1">
        <f t="array" aca="1" ref="H20" ca="1">_xlfn.IFS($B20="etf", _xll.YCP($A20,"quarterly_total_return",'Database Query'!$E$14),$B20&lt;&gt;"etf",_xll.YCP("M:"&amp; $A20,"quarterly_total_return",'Database Query'!$E$14))</f>
        <v>#VALUE!</v>
      </c>
      <c r="I20" s="2" t="e" cm="1">
        <f t="array" aca="1" ref="I20" ca="1">-_xll.YCP($E20,"quarterly_return",'Database Query'!$E$14)+H20</f>
        <v>#VALUE!</v>
      </c>
      <c r="J20" s="2" t="e" cm="1">
        <f t="array" aca="1" ref="J20" ca="1">_xlfn.IFS($B20="etf", _xll.YCP($A20,"ytd_total_return",'Database Query'!$E$14),$B20&lt;&gt;"etf",_xll.YCP("M:"&amp; $A20,"ytd_total_return",'Database Query'!$E$14))</f>
        <v>#VALUE!</v>
      </c>
      <c r="K20" s="2" t="e" cm="1">
        <f t="array" aca="1" ref="K20" ca="1">-_xll.YCP($E20,"ytd_return",'Database Query'!$E$14)+J20</f>
        <v>#VALUE!</v>
      </c>
      <c r="L20" s="2" t="e" cm="1">
        <f t="array" aca="1" ref="L20" ca="1">_xlfn.IFS($B20="etf", _xll.YCP($A20,"one_year_total_return",'Database Query'!$E$14),$B20&lt;&gt;"etf",_xll.YCP("M:"&amp; $A20,"one_year_total_return",'Database Query'!$E$14))</f>
        <v>#VALUE!</v>
      </c>
      <c r="M20" s="2" t="e" cm="1">
        <f t="array" aca="1" ref="M20" ca="1">-_xll.YCP($E20,"one_year_return",'Database Query'!$E$14)+L20</f>
        <v>#VALUE!</v>
      </c>
      <c r="N20" s="2" t="e" cm="1">
        <f t="array" aca="1" ref="N20" ca="1">_xlfn.IFS($B20="etf", _xll.YCP($A20,"three_year_total_return",'Database Query'!$E$14),$B20&lt;&gt;"etf",_xll.YCP("M:"&amp; $A20,"three_year_total_return",'Database Query'!$E$14))</f>
        <v>#VALUE!</v>
      </c>
      <c r="O20" s="2" t="e" cm="1">
        <f t="array" aca="1" ref="O20" ca="1">-_xll.YCP($E20,"three_year_return",'Database Query'!$E$14)+N20</f>
        <v>#VALUE!</v>
      </c>
      <c r="P20" s="2" t="e" cm="1">
        <f t="array" aca="1" ref="P20" ca="1">_xlfn.IFS($B20="etf", _xll.YCP($A20,"five_year_total_return",'Database Query'!$E$14),$B20&lt;&gt;"etf",_xll.YCP("M:"&amp; $A20,"five_year_total_return",'Database Query'!$E$14))</f>
        <v>#VALUE!</v>
      </c>
      <c r="Q20" s="2" t="e" cm="1">
        <f t="array" aca="1" ref="Q20" ca="1">-_xll.YCP($E20,"five_year_return",'Database Query'!$E$14)+P20</f>
        <v>#VALUE!</v>
      </c>
    </row>
    <row r="21" spans="1:17" x14ac:dyDescent="0.25">
      <c r="A21" t="str">
        <v>BGHIX</v>
      </c>
      <c r="B21" t="e" cm="1">
        <f t="array" aca="1" ref="B21" ca="1">_xll.YCI(A21,"detailed_security_type",TODAY())</f>
        <v>#VALUE!</v>
      </c>
      <c r="C21" t="e" cm="1">
        <f t="array" aca="1" ref="C21" ca="1">_xlfn.IFS(B21="etf", _xll.YCI(A21, "security_name",TODAY()),B21&lt;&gt;"etf",_xll.YCI("M:" &amp; A21, "security_name",TODAY()))</f>
        <v>#VALUE!</v>
      </c>
      <c r="D21" t="e" cm="1">
        <f t="array" aca="1" ref="D21" ca="1">_xlfn.IFS($B21="etf", _xll.YCI($A21, "ycharts_benchmark_category",TODAY()),$B21&lt;&gt;"etf",_xll.YCI("M:" &amp; $A21, "ycharts_benchmark_category",TODAY()))</f>
        <v>#VALUE!</v>
      </c>
      <c r="E21" t="e" cm="1">
        <f t="array" aca="1" ref="E21" ca="1">_xlfn.IFS($B21="etf", _xll.YCI($A21, "ycharts_benchmark_index_symbol",TODAY()),$B21&lt;&gt;"etf",_xll.YCI("M:" &amp; $A21, "ycharts_benchmark_index_symbol",TODAY()))</f>
        <v>#VALUE!</v>
      </c>
      <c r="F21" t="e" cm="1">
        <f t="array" aca="1" ref="F21" ca="1">_xlfn.IFS($B21="etf", _xll.YCI($E21, "security_name",TODAY()),$B21&lt;&gt;"etf",_xll.YCI( $E21, "security_name",TODAY()))</f>
        <v>#VALUE!</v>
      </c>
      <c r="G21" t="e" cm="1">
        <f t="array" aca="1" ref="G21" ca="1">_xlfn.IFS($B21="etf", _xll.YCI($A21, "prospectus_benchmark_index",TODAY()),$B21&lt;&gt;"etf",_xll.YCI("M:" &amp; $A21, "prospectus_benchmark_index",TODAY()))</f>
        <v>#VALUE!</v>
      </c>
      <c r="H21" s="2" t="e" cm="1">
        <f t="array" aca="1" ref="H21" ca="1">_xlfn.IFS($B21="etf", _xll.YCP($A21,"quarterly_total_return",'Database Query'!$E$14),$B21&lt;&gt;"etf",_xll.YCP("M:"&amp; $A21,"quarterly_total_return",'Database Query'!$E$14))</f>
        <v>#VALUE!</v>
      </c>
      <c r="I21" s="2" t="e" cm="1">
        <f t="array" aca="1" ref="I21" ca="1">-_xll.YCP($E21,"quarterly_return",'Database Query'!$E$14)+H21</f>
        <v>#VALUE!</v>
      </c>
      <c r="J21" s="2" t="e" cm="1">
        <f t="array" aca="1" ref="J21" ca="1">_xlfn.IFS($B21="etf", _xll.YCP($A21,"ytd_total_return",'Database Query'!$E$14),$B21&lt;&gt;"etf",_xll.YCP("M:"&amp; $A21,"ytd_total_return",'Database Query'!$E$14))</f>
        <v>#VALUE!</v>
      </c>
      <c r="K21" s="2" t="e" cm="1">
        <f t="array" aca="1" ref="K21" ca="1">-_xll.YCP($E21,"ytd_return",'Database Query'!$E$14)+J21</f>
        <v>#VALUE!</v>
      </c>
      <c r="L21" s="2" t="e" cm="1">
        <f t="array" aca="1" ref="L21" ca="1">_xlfn.IFS($B21="etf", _xll.YCP($A21,"one_year_total_return",'Database Query'!$E$14),$B21&lt;&gt;"etf",_xll.YCP("M:"&amp; $A21,"one_year_total_return",'Database Query'!$E$14))</f>
        <v>#VALUE!</v>
      </c>
      <c r="M21" s="2" t="e" cm="1">
        <f t="array" aca="1" ref="M21" ca="1">-_xll.YCP($E21,"one_year_return",'Database Query'!$E$14)+L21</f>
        <v>#VALUE!</v>
      </c>
      <c r="N21" s="2" t="e" cm="1">
        <f t="array" aca="1" ref="N21" ca="1">_xlfn.IFS($B21="etf", _xll.YCP($A21,"three_year_total_return",'Database Query'!$E$14),$B21&lt;&gt;"etf",_xll.YCP("M:"&amp; $A21,"three_year_total_return",'Database Query'!$E$14))</f>
        <v>#VALUE!</v>
      </c>
      <c r="O21" s="2" t="e" cm="1">
        <f t="array" aca="1" ref="O21" ca="1">-_xll.YCP($E21,"three_year_return",'Database Query'!$E$14)+N21</f>
        <v>#VALUE!</v>
      </c>
      <c r="P21" s="2" t="e" cm="1">
        <f t="array" aca="1" ref="P21" ca="1">_xlfn.IFS($B21="etf", _xll.YCP($A21,"five_year_total_return",'Database Query'!$E$14),$B21&lt;&gt;"etf",_xll.YCP("M:"&amp; $A21,"five_year_total_return",'Database Query'!$E$14))</f>
        <v>#VALUE!</v>
      </c>
      <c r="Q21" s="2" t="e" cm="1">
        <f t="array" aca="1" ref="Q21" ca="1">-_xll.YCP($E21,"five_year_return",'Database Query'!$E$14)+P21</f>
        <v>#VALUE!</v>
      </c>
    </row>
    <row r="22" spans="1:17" x14ac:dyDescent="0.25">
      <c r="A22" t="str">
        <v>BGSIX</v>
      </c>
      <c r="B22" t="e" cm="1">
        <f t="array" aca="1" ref="B22" ca="1">_xll.YCI(A22,"detailed_security_type",TODAY())</f>
        <v>#VALUE!</v>
      </c>
      <c r="C22" t="e" cm="1">
        <f t="array" aca="1" ref="C22" ca="1">_xlfn.IFS(B22="etf", _xll.YCI(A22, "security_name",TODAY()),B22&lt;&gt;"etf",_xll.YCI("M:" &amp; A22, "security_name",TODAY()))</f>
        <v>#VALUE!</v>
      </c>
      <c r="D22" t="e" cm="1">
        <f t="array" aca="1" ref="D22" ca="1">_xlfn.IFS($B22="etf", _xll.YCI($A22, "ycharts_benchmark_category",TODAY()),$B22&lt;&gt;"etf",_xll.YCI("M:" &amp; $A22, "ycharts_benchmark_category",TODAY()))</f>
        <v>#VALUE!</v>
      </c>
      <c r="E22" t="e" cm="1">
        <f t="array" aca="1" ref="E22" ca="1">_xlfn.IFS($B22="etf", _xll.YCI($A22, "ycharts_benchmark_index_symbol",TODAY()),$B22&lt;&gt;"etf",_xll.YCI("M:" &amp; $A22, "ycharts_benchmark_index_symbol",TODAY()))</f>
        <v>#VALUE!</v>
      </c>
      <c r="F22" t="e" cm="1">
        <f t="array" aca="1" ref="F22" ca="1">_xlfn.IFS($B22="etf", _xll.YCI($E22, "security_name",TODAY()),$B22&lt;&gt;"etf",_xll.YCI( $E22, "security_name",TODAY()))</f>
        <v>#VALUE!</v>
      </c>
      <c r="G22" t="e" cm="1">
        <f t="array" aca="1" ref="G22" ca="1">_xlfn.IFS($B22="etf", _xll.YCI($A22, "prospectus_benchmark_index",TODAY()),$B22&lt;&gt;"etf",_xll.YCI("M:" &amp; $A22, "prospectus_benchmark_index",TODAY()))</f>
        <v>#VALUE!</v>
      </c>
      <c r="H22" s="2" t="e" cm="1">
        <f t="array" aca="1" ref="H22" ca="1">_xlfn.IFS($B22="etf", _xll.YCP($A22,"quarterly_total_return",'Database Query'!$E$14),$B22&lt;&gt;"etf",_xll.YCP("M:"&amp; $A22,"quarterly_total_return",'Database Query'!$E$14))</f>
        <v>#VALUE!</v>
      </c>
      <c r="I22" s="2" t="e" cm="1">
        <f t="array" aca="1" ref="I22" ca="1">-_xll.YCP($E22,"quarterly_return",'Database Query'!$E$14)+H22</f>
        <v>#VALUE!</v>
      </c>
      <c r="J22" s="2" t="e" cm="1">
        <f t="array" aca="1" ref="J22" ca="1">_xlfn.IFS($B22="etf", _xll.YCP($A22,"ytd_total_return",'Database Query'!$E$14),$B22&lt;&gt;"etf",_xll.YCP("M:"&amp; $A22,"ytd_total_return",'Database Query'!$E$14))</f>
        <v>#VALUE!</v>
      </c>
      <c r="K22" s="2" t="e" cm="1">
        <f t="array" aca="1" ref="K22" ca="1">-_xll.YCP($E22,"ytd_return",'Database Query'!$E$14)+J22</f>
        <v>#VALUE!</v>
      </c>
      <c r="L22" s="2" t="e" cm="1">
        <f t="array" aca="1" ref="L22" ca="1">_xlfn.IFS($B22="etf", _xll.YCP($A22,"one_year_total_return",'Database Query'!$E$14),$B22&lt;&gt;"etf",_xll.YCP("M:"&amp; $A22,"one_year_total_return",'Database Query'!$E$14))</f>
        <v>#VALUE!</v>
      </c>
      <c r="M22" s="2" t="e" cm="1">
        <f t="array" aca="1" ref="M22" ca="1">-_xll.YCP($E22,"one_year_return",'Database Query'!$E$14)+L22</f>
        <v>#VALUE!</v>
      </c>
      <c r="N22" s="2" t="e" cm="1">
        <f t="array" aca="1" ref="N22" ca="1">_xlfn.IFS($B22="etf", _xll.YCP($A22,"three_year_total_return",'Database Query'!$E$14),$B22&lt;&gt;"etf",_xll.YCP("M:"&amp; $A22,"three_year_total_return",'Database Query'!$E$14))</f>
        <v>#VALUE!</v>
      </c>
      <c r="O22" s="2" t="e" cm="1">
        <f t="array" aca="1" ref="O22" ca="1">-_xll.YCP($E22,"three_year_return",'Database Query'!$E$14)+N22</f>
        <v>#VALUE!</v>
      </c>
      <c r="P22" s="2" t="e" cm="1">
        <f t="array" aca="1" ref="P22" ca="1">_xlfn.IFS($B22="etf", _xll.YCP($A22,"five_year_total_return",'Database Query'!$E$14),$B22&lt;&gt;"etf",_xll.YCP("M:"&amp; $A22,"five_year_total_return",'Database Query'!$E$14))</f>
        <v>#VALUE!</v>
      </c>
      <c r="Q22" s="2" t="e" cm="1">
        <f t="array" aca="1" ref="Q22" ca="1">-_xll.YCP($E22,"five_year_return",'Database Query'!$E$14)+P22</f>
        <v>#VALUE!</v>
      </c>
    </row>
    <row r="23" spans="1:17" x14ac:dyDescent="0.25">
      <c r="A23" t="str">
        <v>BIDIX</v>
      </c>
      <c r="B23" t="e" cm="1">
        <f t="array" aca="1" ref="B23" ca="1">_xll.YCI(A23,"detailed_security_type",TODAY())</f>
        <v>#VALUE!</v>
      </c>
      <c r="C23" t="e" cm="1">
        <f t="array" aca="1" ref="C23" ca="1">_xlfn.IFS(B23="etf", _xll.YCI(A23, "security_name",TODAY()),B23&lt;&gt;"etf",_xll.YCI("M:" &amp; A23, "security_name",TODAY()))</f>
        <v>#VALUE!</v>
      </c>
      <c r="D23" t="e" cm="1">
        <f t="array" aca="1" ref="D23" ca="1">_xlfn.IFS($B23="etf", _xll.YCI($A23, "ycharts_benchmark_category",TODAY()),$B23&lt;&gt;"etf",_xll.YCI("M:" &amp; $A23, "ycharts_benchmark_category",TODAY()))</f>
        <v>#VALUE!</v>
      </c>
      <c r="E23" t="e" cm="1">
        <f t="array" aca="1" ref="E23" ca="1">_xlfn.IFS($B23="etf", _xll.YCI($A23, "ycharts_benchmark_index_symbol",TODAY()),$B23&lt;&gt;"etf",_xll.YCI("M:" &amp; $A23, "ycharts_benchmark_index_symbol",TODAY()))</f>
        <v>#VALUE!</v>
      </c>
      <c r="F23" t="e" cm="1">
        <f t="array" aca="1" ref="F23" ca="1">_xlfn.IFS($B23="etf", _xll.YCI($E23, "security_name",TODAY()),$B23&lt;&gt;"etf",_xll.YCI( $E23, "security_name",TODAY()))</f>
        <v>#VALUE!</v>
      </c>
      <c r="G23" t="e" cm="1">
        <f t="array" aca="1" ref="G23" ca="1">_xlfn.IFS($B23="etf", _xll.YCI($A23, "prospectus_benchmark_index",TODAY()),$B23&lt;&gt;"etf",_xll.YCI("M:" &amp; $A23, "prospectus_benchmark_index",TODAY()))</f>
        <v>#VALUE!</v>
      </c>
      <c r="H23" s="2" t="e" cm="1">
        <f t="array" aca="1" ref="H23" ca="1">_xlfn.IFS($B23="etf", _xll.YCP($A23,"quarterly_total_return",'Database Query'!$E$14),$B23&lt;&gt;"etf",_xll.YCP("M:"&amp; $A23,"quarterly_total_return",'Database Query'!$E$14))</f>
        <v>#VALUE!</v>
      </c>
      <c r="I23" s="2" t="e" cm="1">
        <f t="array" aca="1" ref="I23" ca="1">-_xll.YCP($E23,"quarterly_return",'Database Query'!$E$14)+H23</f>
        <v>#VALUE!</v>
      </c>
      <c r="J23" s="2" t="e" cm="1">
        <f t="array" aca="1" ref="J23" ca="1">_xlfn.IFS($B23="etf", _xll.YCP($A23,"ytd_total_return",'Database Query'!$E$14),$B23&lt;&gt;"etf",_xll.YCP("M:"&amp; $A23,"ytd_total_return",'Database Query'!$E$14))</f>
        <v>#VALUE!</v>
      </c>
      <c r="K23" s="2" t="e" cm="1">
        <f t="array" aca="1" ref="K23" ca="1">-_xll.YCP($E23,"ytd_return",'Database Query'!$E$14)+J23</f>
        <v>#VALUE!</v>
      </c>
      <c r="L23" s="2" t="e" cm="1">
        <f t="array" aca="1" ref="L23" ca="1">_xlfn.IFS($B23="etf", _xll.YCP($A23,"one_year_total_return",'Database Query'!$E$14),$B23&lt;&gt;"etf",_xll.YCP("M:"&amp; $A23,"one_year_total_return",'Database Query'!$E$14))</f>
        <v>#VALUE!</v>
      </c>
      <c r="M23" s="2" t="e" cm="1">
        <f t="array" aca="1" ref="M23" ca="1">-_xll.YCP($E23,"one_year_return",'Database Query'!$E$14)+L23</f>
        <v>#VALUE!</v>
      </c>
      <c r="N23" s="2" t="e" cm="1">
        <f t="array" aca="1" ref="N23" ca="1">_xlfn.IFS($B23="etf", _xll.YCP($A23,"three_year_total_return",'Database Query'!$E$14),$B23&lt;&gt;"etf",_xll.YCP("M:"&amp; $A23,"three_year_total_return",'Database Query'!$E$14))</f>
        <v>#VALUE!</v>
      </c>
      <c r="O23" s="2" t="e" cm="1">
        <f t="array" aca="1" ref="O23" ca="1">-_xll.YCP($E23,"three_year_return",'Database Query'!$E$14)+N23</f>
        <v>#VALUE!</v>
      </c>
      <c r="P23" s="2" t="e" cm="1">
        <f t="array" aca="1" ref="P23" ca="1">_xlfn.IFS($B23="etf", _xll.YCP($A23,"five_year_total_return",'Database Query'!$E$14),$B23&lt;&gt;"etf",_xll.YCP("M:"&amp; $A23,"five_year_total_return",'Database Query'!$E$14))</f>
        <v>#VALUE!</v>
      </c>
      <c r="Q23" s="2" t="e" cm="1">
        <f t="array" aca="1" ref="Q23" ca="1">-_xll.YCP($E23,"five_year_return",'Database Query'!$E$14)+P23</f>
        <v>#VALUE!</v>
      </c>
    </row>
    <row r="24" spans="1:17" x14ac:dyDescent="0.25">
      <c r="A24" t="str">
        <v>BIL</v>
      </c>
      <c r="B24" t="str" cm="1">
        <f t="array" aca="1" ref="B24" ca="1">_xll.YCI(A24,"detailed_security_type",TODAY())</f>
        <v>etf</v>
      </c>
      <c r="C24" t="str" cm="1">
        <f t="array" aca="1" ref="C24" ca="1">_xlfn.IFS(B24="etf", _xll.YCI(A24, "security_name",TODAY()),B24&lt;&gt;"etf",_xll.YCI("M:" &amp; A24, "security_name",TODAY()))</f>
        <v>SPDR Bloomberg 1-3 Month T-Bill ETF</v>
      </c>
      <c r="D24" t="str" cm="1">
        <f t="array" aca="1" ref="D24" ca="1">_xlfn.IFS($B24="etf", _xll.YCI($A24, "ycharts_benchmark_category",TODAY()),$B24&lt;&gt;"etf",_xll.YCI("M:" &amp; $A24, "ycharts_benchmark_category",TODAY()))</f>
        <v>US Short Term Government Bond</v>
      </c>
      <c r="E24" t="str" cm="1">
        <f t="array" aca="1" ref="E24" ca="1">_xlfn.IFS($B24="etf", _xll.YCI($A24, "ycharts_benchmark_index_symbol",TODAY()),$B24&lt;&gt;"etf",_xll.YCI("M:" &amp; $A24, "ycharts_benchmark_index_symbol",TODAY()))</f>
        <v>^BBUGCR13YT</v>
      </c>
      <c r="F24" t="str" cm="1">
        <f t="array" aca="1" ref="F24" ca="1">_xlfn.IFS($B24="etf", _xll.YCI($E24, "security_name",TODAY()),$B24&lt;&gt;"etf",_xll.YCI( $E24, "security_name",TODAY()))</f>
        <v>Bloomberg US Government/Credit 1-3 Year</v>
      </c>
      <c r="G24" t="str" cm="1">
        <f t="array" aca="1" ref="G24" ca="1">_xlfn.IFS($B24="etf", _xll.YCI($A24, "prospectus_benchmark_index",TODAY()),$B24&lt;&gt;"etf",_xll.YCI("M:" &amp; $A24, "prospectus_benchmark_index",TODAY()))</f>
        <v>Bloomberg US Treasury Bill 1-3 M TR USD</v>
      </c>
      <c r="H24" s="2" cm="1">
        <f t="array" aca="1" ref="H24" ca="1">_xlfn.IFS($B24="etf", _xll.YCP($A24,"quarterly_total_return",'Database Query'!$E$14),$B24&lt;&gt;"etf",_xll.YCP("M:"&amp; $A24,"quarterly_total_return",'Database Query'!$E$14))</f>
        <v>1.1719E-2</v>
      </c>
      <c r="I24" s="2" cm="1">
        <f t="array" aca="1" ref="I24" ca="1">-_xll.YCP($E24,"quarterly_return",'Database Query'!$E$14)+H24</f>
        <v>1.1921000000000001E-2</v>
      </c>
      <c r="J24" s="2" cm="1">
        <f t="array" aca="1" ref="J24" ca="1">_xlfn.IFS($B24="etf", _xll.YCP($A24,"ytd_total_return",'Database Query'!$E$14),$B24&lt;&gt;"etf",_xll.YCP("M:"&amp; $A24,"ytd_total_return",'Database Query'!$E$14))</f>
        <v>5.1909999999999998E-2</v>
      </c>
      <c r="K24" s="2" cm="1">
        <f t="array" aca="1" ref="K24" ca="1">-_xll.YCP($E24,"ytd_return",'Database Query'!$E$14)+J24</f>
        <v>8.3529999999999993E-3</v>
      </c>
      <c r="L24" s="2" cm="1">
        <f t="array" aca="1" ref="L24" ca="1">_xlfn.IFS($B24="etf", _xll.YCP($A24,"one_year_total_return",'Database Query'!$E$14),$B24&lt;&gt;"etf",_xll.YCP("M:"&amp; $A24,"one_year_total_return",'Database Query'!$E$14))</f>
        <v>5.1909999999999998E-2</v>
      </c>
      <c r="M24" s="2" cm="1">
        <f t="array" aca="1" ref="M24" ca="1">-_xll.YCP($E24,"one_year_return",'Database Query'!$E$14)+L24</f>
        <v>8.3529999999999993E-3</v>
      </c>
      <c r="N24" s="2" cm="1">
        <f t="array" aca="1" ref="N24" ca="1">_xlfn.IFS($B24="etf", _xll.YCP($A24,"three_year_total_return",'Database Query'!$E$14),$B24&lt;&gt;"etf",_xll.YCP("M:"&amp; $A24,"three_year_total_return",'Database Query'!$E$14))</f>
        <v>0.119408</v>
      </c>
      <c r="O24" s="2" cm="1">
        <f t="array" aca="1" ref="O24" ca="1">-_xll.YCP($E24,"three_year_return",'Database Query'!$E$14)+N24</f>
        <v>6.7968000000000001E-2</v>
      </c>
      <c r="P24" s="2" cm="1">
        <f t="array" aca="1" ref="P24" ca="1">_xlfn.IFS($B24="etf", _xll.YCP($A24,"five_year_total_return",'Database Query'!$E$14),$B24&lt;&gt;"etf",_xll.YCP("M:"&amp; $A24,"five_year_total_return",'Database Query'!$E$14))</f>
        <v>0.122782</v>
      </c>
      <c r="Q24" s="2" cm="1">
        <f t="array" aca="1" ref="Q24" ca="1">-_xll.YCP($E24,"five_year_return",'Database Query'!$E$14)+P24</f>
        <v>4.1429000000000007E-2</v>
      </c>
    </row>
    <row r="25" spans="1:17" x14ac:dyDescent="0.25">
      <c r="A25" t="str">
        <v>BIMSX</v>
      </c>
      <c r="B25" t="e" cm="1">
        <f t="array" aca="1" ref="B25" ca="1">_xll.YCI(A25,"detailed_security_type",TODAY())</f>
        <v>#VALUE!</v>
      </c>
      <c r="C25" t="e" cm="1">
        <f t="array" aca="1" ref="C25" ca="1">_xlfn.IFS(B25="etf", _xll.YCI(A25, "security_name",TODAY()),B25&lt;&gt;"etf",_xll.YCI("M:" &amp; A25, "security_name",TODAY()))</f>
        <v>#VALUE!</v>
      </c>
      <c r="D25" t="e" cm="1">
        <f t="array" aca="1" ref="D25" ca="1">_xlfn.IFS($B25="etf", _xll.YCI($A25, "ycharts_benchmark_category",TODAY()),$B25&lt;&gt;"etf",_xll.YCI("M:" &amp; $A25, "ycharts_benchmark_category",TODAY()))</f>
        <v>#VALUE!</v>
      </c>
      <c r="E25" t="e" cm="1">
        <f t="array" aca="1" ref="E25" ca="1">_xlfn.IFS($B25="etf", _xll.YCI($A25, "ycharts_benchmark_index_symbol",TODAY()),$B25&lt;&gt;"etf",_xll.YCI("M:" &amp; $A25, "ycharts_benchmark_index_symbol",TODAY()))</f>
        <v>#VALUE!</v>
      </c>
      <c r="F25" t="e" cm="1">
        <f t="array" aca="1" ref="F25" ca="1">_xlfn.IFS($B25="etf", _xll.YCI($E25, "security_name",TODAY()),$B25&lt;&gt;"etf",_xll.YCI( $E25, "security_name",TODAY()))</f>
        <v>#VALUE!</v>
      </c>
      <c r="G25" t="e" cm="1">
        <f t="array" aca="1" ref="G25" ca="1">_xlfn.IFS($B25="etf", _xll.YCI($A25, "prospectus_benchmark_index",TODAY()),$B25&lt;&gt;"etf",_xll.YCI("M:" &amp; $A25, "prospectus_benchmark_index",TODAY()))</f>
        <v>#VALUE!</v>
      </c>
      <c r="H25" s="2" t="e" cm="1">
        <f t="array" aca="1" ref="H25" ca="1">_xlfn.IFS($B25="etf", _xll.YCP($A25,"quarterly_total_return",'Database Query'!$E$14),$B25&lt;&gt;"etf",_xll.YCP("M:"&amp; $A25,"quarterly_total_return",'Database Query'!$E$14))</f>
        <v>#VALUE!</v>
      </c>
      <c r="I25" s="2" t="e" cm="1">
        <f t="array" aca="1" ref="I25" ca="1">-_xll.YCP($E25,"quarterly_return",'Database Query'!$E$14)+H25</f>
        <v>#VALUE!</v>
      </c>
      <c r="J25" s="2" t="e" cm="1">
        <f t="array" aca="1" ref="J25" ca="1">_xlfn.IFS($B25="etf", _xll.YCP($A25,"ytd_total_return",'Database Query'!$E$14),$B25&lt;&gt;"etf",_xll.YCP("M:"&amp; $A25,"ytd_total_return",'Database Query'!$E$14))</f>
        <v>#VALUE!</v>
      </c>
      <c r="K25" s="2" t="e" cm="1">
        <f t="array" aca="1" ref="K25" ca="1">-_xll.YCP($E25,"ytd_return",'Database Query'!$E$14)+J25</f>
        <v>#VALUE!</v>
      </c>
      <c r="L25" s="2" t="e" cm="1">
        <f t="array" aca="1" ref="L25" ca="1">_xlfn.IFS($B25="etf", _xll.YCP($A25,"one_year_total_return",'Database Query'!$E$14),$B25&lt;&gt;"etf",_xll.YCP("M:"&amp; $A25,"one_year_total_return",'Database Query'!$E$14))</f>
        <v>#VALUE!</v>
      </c>
      <c r="M25" s="2" t="e" cm="1">
        <f t="array" aca="1" ref="M25" ca="1">-_xll.YCP($E25,"one_year_return",'Database Query'!$E$14)+L25</f>
        <v>#VALUE!</v>
      </c>
      <c r="N25" s="2" t="e" cm="1">
        <f t="array" aca="1" ref="N25" ca="1">_xlfn.IFS($B25="etf", _xll.YCP($A25,"three_year_total_return",'Database Query'!$E$14),$B25&lt;&gt;"etf",_xll.YCP("M:"&amp; $A25,"three_year_total_return",'Database Query'!$E$14))</f>
        <v>#VALUE!</v>
      </c>
      <c r="O25" s="2" t="e" cm="1">
        <f t="array" aca="1" ref="O25" ca="1">-_xll.YCP($E25,"three_year_return",'Database Query'!$E$14)+N25</f>
        <v>#VALUE!</v>
      </c>
      <c r="P25" s="2" t="e" cm="1">
        <f t="array" aca="1" ref="P25" ca="1">_xlfn.IFS($B25="etf", _xll.YCP($A25,"five_year_total_return",'Database Query'!$E$14),$B25&lt;&gt;"etf",_xll.YCP("M:"&amp; $A25,"five_year_total_return",'Database Query'!$E$14))</f>
        <v>#VALUE!</v>
      </c>
      <c r="Q25" s="2" t="e" cm="1">
        <f t="array" aca="1" ref="Q25" ca="1">-_xll.YCP($E25,"five_year_return",'Database Query'!$E$14)+P25</f>
        <v>#VALUE!</v>
      </c>
    </row>
    <row r="26" spans="1:17" x14ac:dyDescent="0.25">
      <c r="A26" t="str">
        <v>BIV</v>
      </c>
      <c r="B26" t="str" cm="1">
        <f t="array" aca="1" ref="B26" ca="1">_xll.YCI(A26,"detailed_security_type",TODAY())</f>
        <v>etf</v>
      </c>
      <c r="C26" t="str" cm="1">
        <f t="array" aca="1" ref="C26" ca="1">_xlfn.IFS(B26="etf", _xll.YCI(A26, "security_name",TODAY()),B26&lt;&gt;"etf",_xll.YCI("M:" &amp; A26, "security_name",TODAY()))</f>
        <v>Vanguard Intermediate-Term Bond Index Fund ETF</v>
      </c>
      <c r="D26" t="str" cm="1">
        <f t="array" aca="1" ref="D26" ca="1">_xlfn.IFS($B26="etf", _xll.YCI($A26, "ycharts_benchmark_category",TODAY()),$B26&lt;&gt;"etf",_xll.YCI("M:" &amp; $A26, "ycharts_benchmark_category",TODAY()))</f>
        <v>US Aggregate Bond</v>
      </c>
      <c r="E26" t="str" cm="1">
        <f t="array" aca="1" ref="E26" ca="1">_xlfn.IFS($B26="etf", _xll.YCI($A26, "ycharts_benchmark_index_symbol",TODAY()),$B26&lt;&gt;"etf",_xll.YCI("M:" &amp; $A26, "ycharts_benchmark_index_symbol",TODAY()))</f>
        <v>^BBUSATR</v>
      </c>
      <c r="F26" t="str" cm="1">
        <f t="array" aca="1" ref="F26" ca="1">_xlfn.IFS($B26="etf", _xll.YCI($E26, "security_name",TODAY()),$B26&lt;&gt;"etf",_xll.YCI( $E26, "security_name",TODAY()))</f>
        <v>Bloomberg US Aggregate</v>
      </c>
      <c r="G26" t="str" cm="1">
        <f t="array" aca="1" ref="G26" ca="1">_xlfn.IFS($B26="etf", _xll.YCI($A26, "prospectus_benchmark_index",TODAY()),$B26&lt;&gt;"etf",_xll.YCI("M:" &amp; $A26, "prospectus_benchmark_index",TODAY()))</f>
        <v>Bloomberg US 5-10 GovCredit FlAdj TR USD</v>
      </c>
      <c r="H26" s="2" cm="1">
        <f t="array" aca="1" ref="H26" ca="1">_xlfn.IFS($B26="etf", _xll.YCP($A26,"quarterly_total_return",'Database Query'!$E$14),$B26&lt;&gt;"etf",_xll.YCP("M:"&amp; $A26,"quarterly_total_return",'Database Query'!$E$14))</f>
        <v>-3.4143E-2</v>
      </c>
      <c r="I26" s="2" cm="1">
        <f t="array" aca="1" ref="I26" ca="1">-_xll.YCP($E26,"quarterly_return",'Database Query'!$E$14)+H26</f>
        <v>-3.5260000000000014E-3</v>
      </c>
      <c r="J26" s="2" cm="1">
        <f t="array" aca="1" ref="J26" ca="1">_xlfn.IFS($B26="etf", _xll.YCP($A26,"ytd_total_return",'Database Query'!$E$14),$B26&lt;&gt;"etf",_xll.YCP("M:"&amp; $A26,"ytd_total_return",'Database Query'!$E$14))</f>
        <v>1.5687E-2</v>
      </c>
      <c r="K26" s="2" cm="1">
        <f t="array" aca="1" ref="K26" ca="1">-_xll.YCP($E26,"ytd_return",'Database Query'!$E$14)+J26</f>
        <v>3.1850000000000003E-3</v>
      </c>
      <c r="L26" s="2" cm="1">
        <f t="array" aca="1" ref="L26" ca="1">_xlfn.IFS($B26="etf", _xll.YCP($A26,"one_year_total_return",'Database Query'!$E$14),$B26&lt;&gt;"etf",_xll.YCP("M:"&amp; $A26,"one_year_total_return",'Database Query'!$E$14))</f>
        <v>1.5687E-2</v>
      </c>
      <c r="M26" s="2" cm="1">
        <f t="array" aca="1" ref="M26" ca="1">-_xll.YCP($E26,"one_year_return",'Database Query'!$E$14)+L26</f>
        <v>3.1850000000000003E-3</v>
      </c>
      <c r="N26" s="2" cm="1">
        <f t="array" aca="1" ref="N26" ca="1">_xlfn.IFS($B26="etf", _xll.YCP($A26,"three_year_total_return",'Database Query'!$E$14),$B26&lt;&gt;"etf",_xll.YCP("M:"&amp; $A26,"three_year_total_return",'Database Query'!$E$14))</f>
        <v>-6.497E-2</v>
      </c>
      <c r="O26" s="2" cm="1">
        <f t="array" aca="1" ref="O26" ca="1">-_xll.YCP($E26,"three_year_return",'Database Query'!$E$14)+N26</f>
        <v>5.5589999999999945E-3</v>
      </c>
      <c r="P26" s="2" cm="1">
        <f t="array" aca="1" ref="P26" ca="1">_xlfn.IFS($B26="etf", _xll.YCP($A26,"five_year_total_return",'Database Query'!$E$14),$B26&lt;&gt;"etf",_xll.YCP("M:"&amp; $A26,"five_year_total_return",'Database Query'!$E$14))</f>
        <v>7.4600000000000003E-4</v>
      </c>
      <c r="Q26" s="2" cm="1">
        <f t="array" aca="1" ref="Q26" ca="1">-_xll.YCP($E26,"five_year_return",'Database Query'!$E$14)+P26</f>
        <v>1.6912E-2</v>
      </c>
    </row>
    <row r="27" spans="1:17" x14ac:dyDescent="0.25">
      <c r="A27" t="str">
        <v>BLNIX</v>
      </c>
      <c r="B27" t="e" cm="1">
        <f t="array" aca="1" ref="B27" ca="1">_xll.YCI(A27,"detailed_security_type",TODAY())</f>
        <v>#VALUE!</v>
      </c>
      <c r="C27" t="e" cm="1">
        <f t="array" aca="1" ref="C27" ca="1">_xlfn.IFS(B27="etf", _xll.YCI(A27, "security_name",TODAY()),B27&lt;&gt;"etf",_xll.YCI("M:" &amp; A27, "security_name",TODAY()))</f>
        <v>#VALUE!</v>
      </c>
      <c r="D27" t="e" cm="1">
        <f t="array" aca="1" ref="D27" ca="1">_xlfn.IFS($B27="etf", _xll.YCI($A27, "ycharts_benchmark_category",TODAY()),$B27&lt;&gt;"etf",_xll.YCI("M:" &amp; $A27, "ycharts_benchmark_category",TODAY()))</f>
        <v>#VALUE!</v>
      </c>
      <c r="E27" t="e" cm="1">
        <f t="array" aca="1" ref="E27" ca="1">_xlfn.IFS($B27="etf", _xll.YCI($A27, "ycharts_benchmark_index_symbol",TODAY()),$B27&lt;&gt;"etf",_xll.YCI("M:" &amp; $A27, "ycharts_benchmark_index_symbol",TODAY()))</f>
        <v>#VALUE!</v>
      </c>
      <c r="F27" t="e" cm="1">
        <f t="array" aca="1" ref="F27" ca="1">_xlfn.IFS($B27="etf", _xll.YCI($E27, "security_name",TODAY()),$B27&lt;&gt;"etf",_xll.YCI( $E27, "security_name",TODAY()))</f>
        <v>#VALUE!</v>
      </c>
      <c r="G27" t="e" cm="1">
        <f t="array" aca="1" ref="G27" ca="1">_xlfn.IFS($B27="etf", _xll.YCI($A27, "prospectus_benchmark_index",TODAY()),$B27&lt;&gt;"etf",_xll.YCI("M:" &amp; $A27, "prospectus_benchmark_index",TODAY()))</f>
        <v>#VALUE!</v>
      </c>
      <c r="H27" s="2" t="e" cm="1">
        <f t="array" aca="1" ref="H27" ca="1">_xlfn.IFS($B27="etf", _xll.YCP($A27,"quarterly_total_return",'Database Query'!$E$14),$B27&lt;&gt;"etf",_xll.YCP("M:"&amp; $A27,"quarterly_total_return",'Database Query'!$E$14))</f>
        <v>#VALUE!</v>
      </c>
      <c r="I27" s="2" t="e" cm="1">
        <f t="array" aca="1" ref="I27" ca="1">-_xll.YCP($E27,"quarterly_return",'Database Query'!$E$14)+H27</f>
        <v>#VALUE!</v>
      </c>
      <c r="J27" s="2" t="e" cm="1">
        <f t="array" aca="1" ref="J27" ca="1">_xlfn.IFS($B27="etf", _xll.YCP($A27,"ytd_total_return",'Database Query'!$E$14),$B27&lt;&gt;"etf",_xll.YCP("M:"&amp; $A27,"ytd_total_return",'Database Query'!$E$14))</f>
        <v>#VALUE!</v>
      </c>
      <c r="K27" s="2" t="e" cm="1">
        <f t="array" aca="1" ref="K27" ca="1">-_xll.YCP($E27,"ytd_return",'Database Query'!$E$14)+J27</f>
        <v>#VALUE!</v>
      </c>
      <c r="L27" s="2" t="e" cm="1">
        <f t="array" aca="1" ref="L27" ca="1">_xlfn.IFS($B27="etf", _xll.YCP($A27,"one_year_total_return",'Database Query'!$E$14),$B27&lt;&gt;"etf",_xll.YCP("M:"&amp; $A27,"one_year_total_return",'Database Query'!$E$14))</f>
        <v>#VALUE!</v>
      </c>
      <c r="M27" s="2" t="e" cm="1">
        <f t="array" aca="1" ref="M27" ca="1">-_xll.YCP($E27,"one_year_return",'Database Query'!$E$14)+L27</f>
        <v>#VALUE!</v>
      </c>
      <c r="N27" s="2" t="e" cm="1">
        <f t="array" aca="1" ref="N27" ca="1">_xlfn.IFS($B27="etf", _xll.YCP($A27,"three_year_total_return",'Database Query'!$E$14),$B27&lt;&gt;"etf",_xll.YCP("M:"&amp; $A27,"three_year_total_return",'Database Query'!$E$14))</f>
        <v>#VALUE!</v>
      </c>
      <c r="O27" s="2" t="e" cm="1">
        <f t="array" aca="1" ref="O27" ca="1">-_xll.YCP($E27,"three_year_return",'Database Query'!$E$14)+N27</f>
        <v>#VALUE!</v>
      </c>
      <c r="P27" s="2" t="e" cm="1">
        <f t="array" aca="1" ref="P27" ca="1">_xlfn.IFS($B27="etf", _xll.YCP($A27,"five_year_total_return",'Database Query'!$E$14),$B27&lt;&gt;"etf",_xll.YCP("M:"&amp; $A27,"five_year_total_return",'Database Query'!$E$14))</f>
        <v>#VALUE!</v>
      </c>
      <c r="Q27" s="2" t="e" cm="1">
        <f t="array" aca="1" ref="Q27" ca="1">-_xll.YCP($E27,"five_year_return",'Database Query'!$E$14)+P27</f>
        <v>#VALUE!</v>
      </c>
    </row>
    <row r="28" spans="1:17" x14ac:dyDescent="0.25">
      <c r="A28" t="str">
        <v>BMOIX</v>
      </c>
      <c r="B28" t="e" cm="1">
        <f t="array" aca="1" ref="B28" ca="1">_xll.YCI(A28,"detailed_security_type",TODAY())</f>
        <v>#VALUE!</v>
      </c>
      <c r="C28" t="e" cm="1">
        <f t="array" aca="1" ref="C28" ca="1">_xlfn.IFS(B28="etf", _xll.YCI(A28, "security_name",TODAY()),B28&lt;&gt;"etf",_xll.YCI("M:" &amp; A28, "security_name",TODAY()))</f>
        <v>#VALUE!</v>
      </c>
      <c r="D28" t="e" cm="1">
        <f t="array" aca="1" ref="D28" ca="1">_xlfn.IFS($B28="etf", _xll.YCI($A28, "ycharts_benchmark_category",TODAY()),$B28&lt;&gt;"etf",_xll.YCI("M:" &amp; $A28, "ycharts_benchmark_category",TODAY()))</f>
        <v>#VALUE!</v>
      </c>
      <c r="E28" t="e" cm="1">
        <f t="array" aca="1" ref="E28" ca="1">_xlfn.IFS($B28="etf", _xll.YCI($A28, "ycharts_benchmark_index_symbol",TODAY()),$B28&lt;&gt;"etf",_xll.YCI("M:" &amp; $A28, "ycharts_benchmark_index_symbol",TODAY()))</f>
        <v>#VALUE!</v>
      </c>
      <c r="F28" t="e" cm="1">
        <f t="array" aca="1" ref="F28" ca="1">_xlfn.IFS($B28="etf", _xll.YCI($E28, "security_name",TODAY()),$B28&lt;&gt;"etf",_xll.YCI( $E28, "security_name",TODAY()))</f>
        <v>#VALUE!</v>
      </c>
      <c r="G28" t="e" cm="1">
        <f t="array" aca="1" ref="G28" ca="1">_xlfn.IFS($B28="etf", _xll.YCI($A28, "prospectus_benchmark_index",TODAY()),$B28&lt;&gt;"etf",_xll.YCI("M:" &amp; $A28, "prospectus_benchmark_index",TODAY()))</f>
        <v>#VALUE!</v>
      </c>
      <c r="H28" s="2" t="e" cm="1">
        <f t="array" aca="1" ref="H28" ca="1">_xlfn.IFS($B28="etf", _xll.YCP($A28,"quarterly_total_return",'Database Query'!$E$14),$B28&lt;&gt;"etf",_xll.YCP("M:"&amp; $A28,"quarterly_total_return",'Database Query'!$E$14))</f>
        <v>#VALUE!</v>
      </c>
      <c r="I28" s="2" t="e" cm="1">
        <f t="array" aca="1" ref="I28" ca="1">-_xll.YCP($E28,"quarterly_return",'Database Query'!$E$14)+H28</f>
        <v>#VALUE!</v>
      </c>
      <c r="J28" s="2" t="e" cm="1">
        <f t="array" aca="1" ref="J28" ca="1">_xlfn.IFS($B28="etf", _xll.YCP($A28,"ytd_total_return",'Database Query'!$E$14),$B28&lt;&gt;"etf",_xll.YCP("M:"&amp; $A28,"ytd_total_return",'Database Query'!$E$14))</f>
        <v>#VALUE!</v>
      </c>
      <c r="K28" s="2" t="e" cm="1">
        <f t="array" aca="1" ref="K28" ca="1">-_xll.YCP($E28,"ytd_return",'Database Query'!$E$14)+J28</f>
        <v>#VALUE!</v>
      </c>
      <c r="L28" s="2" t="e" cm="1">
        <f t="array" aca="1" ref="L28" ca="1">_xlfn.IFS($B28="etf", _xll.YCP($A28,"one_year_total_return",'Database Query'!$E$14),$B28&lt;&gt;"etf",_xll.YCP("M:"&amp; $A28,"one_year_total_return",'Database Query'!$E$14))</f>
        <v>#VALUE!</v>
      </c>
      <c r="M28" s="2" t="e" cm="1">
        <f t="array" aca="1" ref="M28" ca="1">-_xll.YCP($E28,"one_year_return",'Database Query'!$E$14)+L28</f>
        <v>#VALUE!</v>
      </c>
      <c r="N28" s="2" t="e" cm="1">
        <f t="array" aca="1" ref="N28" ca="1">_xlfn.IFS($B28="etf", _xll.YCP($A28,"three_year_total_return",'Database Query'!$E$14),$B28&lt;&gt;"etf",_xll.YCP("M:"&amp; $A28,"three_year_total_return",'Database Query'!$E$14))</f>
        <v>#VALUE!</v>
      </c>
      <c r="O28" s="2" t="e" cm="1">
        <f t="array" aca="1" ref="O28" ca="1">-_xll.YCP($E28,"three_year_return",'Database Query'!$E$14)+N28</f>
        <v>#VALUE!</v>
      </c>
      <c r="P28" s="2" t="e" cm="1">
        <f t="array" aca="1" ref="P28" ca="1">_xlfn.IFS($B28="etf", _xll.YCP($A28,"five_year_total_return",'Database Query'!$E$14),$B28&lt;&gt;"etf",_xll.YCP("M:"&amp; $A28,"five_year_total_return",'Database Query'!$E$14))</f>
        <v>#VALUE!</v>
      </c>
      <c r="Q28" s="2" t="e" cm="1">
        <f t="array" aca="1" ref="Q28" ca="1">-_xll.YCP($E28,"five_year_return",'Database Query'!$E$14)+P28</f>
        <v>#VALUE!</v>
      </c>
    </row>
    <row r="29" spans="1:17" x14ac:dyDescent="0.25">
      <c r="A29" t="str">
        <v>BND</v>
      </c>
      <c r="B29" t="str" cm="1">
        <f t="array" aca="1" ref="B29" ca="1">_xll.YCI(A29,"detailed_security_type",TODAY())</f>
        <v>etf</v>
      </c>
      <c r="C29" t="str" cm="1">
        <f t="array" aca="1" ref="C29" ca="1">_xlfn.IFS(B29="etf", _xll.YCI(A29, "security_name",TODAY()),B29&lt;&gt;"etf",_xll.YCI("M:" &amp; A29, "security_name",TODAY()))</f>
        <v>Vanguard Total Bond Market Index Fund ETF</v>
      </c>
      <c r="D29" t="str" cm="1">
        <f t="array" aca="1" ref="D29" ca="1">_xlfn.IFS($B29="etf", _xll.YCI($A29, "ycharts_benchmark_category",TODAY()),$B29&lt;&gt;"etf",_xll.YCI("M:" &amp; $A29, "ycharts_benchmark_category",TODAY()))</f>
        <v>US Aggregate Bond</v>
      </c>
      <c r="E29" t="str" cm="1">
        <f t="array" aca="1" ref="E29" ca="1">_xlfn.IFS($B29="etf", _xll.YCI($A29, "ycharts_benchmark_index_symbol",TODAY()),$B29&lt;&gt;"etf",_xll.YCI("M:" &amp; $A29, "ycharts_benchmark_index_symbol",TODAY()))</f>
        <v>^BBUSATR</v>
      </c>
      <c r="F29" t="str" cm="1">
        <f t="array" aca="1" ref="F29" ca="1">_xlfn.IFS($B29="etf", _xll.YCI($E29, "security_name",TODAY()),$B29&lt;&gt;"etf",_xll.YCI( $E29, "security_name",TODAY()))</f>
        <v>Bloomberg US Aggregate</v>
      </c>
      <c r="G29" t="str" cm="1">
        <f t="array" aca="1" ref="G29" ca="1">_xlfn.IFS($B29="etf", _xll.YCI($A29, "prospectus_benchmark_index",TODAY()),$B29&lt;&gt;"etf",_xll.YCI("M:" &amp; $A29, "prospectus_benchmark_index",TODAY()))</f>
        <v>Bloomberg US Agg Float Adj TR USD</v>
      </c>
      <c r="H29" s="2" cm="1">
        <f t="array" aca="1" ref="H29" ca="1">_xlfn.IFS($B29="etf", _xll.YCP($A29,"quarterly_total_return",'Database Query'!$E$14),$B29&lt;&gt;"etf",_xll.YCP("M:"&amp; $A29,"quarterly_total_return",'Database Query'!$E$14))</f>
        <v>-3.0714999999999999E-2</v>
      </c>
      <c r="I29" s="2" cm="1">
        <f t="array" aca="1" ref="I29" ca="1">-_xll.YCP($E29,"quarterly_return",'Database Query'!$E$14)+H29</f>
        <v>-9.8000000000000864E-5</v>
      </c>
      <c r="J29" s="2" cm="1">
        <f t="array" aca="1" ref="J29" ca="1">_xlfn.IFS($B29="etf", _xll.YCP($A29,"ytd_total_return",'Database Query'!$E$14),$B29&lt;&gt;"etf",_xll.YCP("M:"&amp; $A29,"ytd_total_return",'Database Query'!$E$14))</f>
        <v>1.3766E-2</v>
      </c>
      <c r="K29" s="2" cm="1">
        <f t="array" aca="1" ref="K29" ca="1">-_xll.YCP($E29,"ytd_return",'Database Query'!$E$14)+J29</f>
        <v>1.2640000000000012E-3</v>
      </c>
      <c r="L29" s="2" cm="1">
        <f t="array" aca="1" ref="L29" ca="1">_xlfn.IFS($B29="etf", _xll.YCP($A29,"one_year_total_return",'Database Query'!$E$14),$B29&lt;&gt;"etf",_xll.YCP("M:"&amp; $A29,"one_year_total_return",'Database Query'!$E$14))</f>
        <v>1.3766E-2</v>
      </c>
      <c r="M29" s="2" cm="1">
        <f t="array" aca="1" ref="M29" ca="1">-_xll.YCP($E29,"one_year_return",'Database Query'!$E$14)+L29</f>
        <v>1.2640000000000012E-3</v>
      </c>
      <c r="N29" s="2" cm="1">
        <f t="array" aca="1" ref="N29" ca="1">_xlfn.IFS($B29="etf", _xll.YCP($A29,"three_year_total_return",'Database Query'!$E$14),$B29&lt;&gt;"etf",_xll.YCP("M:"&amp; $A29,"three_year_total_return",'Database Query'!$E$14))</f>
        <v>-6.9370000000000001E-2</v>
      </c>
      <c r="O29" s="2" cm="1">
        <f t="array" aca="1" ref="O29" ca="1">-_xll.YCP($E29,"three_year_return",'Database Query'!$E$14)+N29</f>
        <v>1.1589999999999934E-3</v>
      </c>
      <c r="P29" s="2" cm="1">
        <f t="array" aca="1" ref="P29" ca="1">_xlfn.IFS($B29="etf", _xll.YCP($A29,"five_year_total_return",'Database Query'!$E$14),$B29&lt;&gt;"etf",_xll.YCP("M:"&amp; $A29,"five_year_total_return",'Database Query'!$E$14))</f>
        <v>-1.6237999999999999E-2</v>
      </c>
      <c r="Q29" s="2" cm="1">
        <f t="array" aca="1" ref="Q29" ca="1">-_xll.YCP($E29,"five_year_return",'Database Query'!$E$14)+P29</f>
        <v>-7.1999999999999148E-5</v>
      </c>
    </row>
    <row r="30" spans="1:17" x14ac:dyDescent="0.25">
      <c r="A30" t="str">
        <v>BNDIX</v>
      </c>
      <c r="B30" t="e" cm="1">
        <f t="array" aca="1" ref="B30" ca="1">_xll.YCI(A30,"detailed_security_type",TODAY())</f>
        <v>#VALUE!</v>
      </c>
      <c r="C30" t="e" cm="1">
        <f t="array" aca="1" ref="C30" ca="1">_xlfn.IFS(B30="etf", _xll.YCI(A30, "security_name",TODAY()),B30&lt;&gt;"etf",_xll.YCI("M:" &amp; A30, "security_name",TODAY()))</f>
        <v>#VALUE!</v>
      </c>
      <c r="D30" t="e" cm="1">
        <f t="array" aca="1" ref="D30" ca="1">_xlfn.IFS($B30="etf", _xll.YCI($A30, "ycharts_benchmark_category",TODAY()),$B30&lt;&gt;"etf",_xll.YCI("M:" &amp; $A30, "ycharts_benchmark_category",TODAY()))</f>
        <v>#VALUE!</v>
      </c>
      <c r="E30" t="e" cm="1">
        <f t="array" aca="1" ref="E30" ca="1">_xlfn.IFS($B30="etf", _xll.YCI($A30, "ycharts_benchmark_index_symbol",TODAY()),$B30&lt;&gt;"etf",_xll.YCI("M:" &amp; $A30, "ycharts_benchmark_index_symbol",TODAY()))</f>
        <v>#VALUE!</v>
      </c>
      <c r="F30" t="e" cm="1">
        <f t="array" aca="1" ref="F30" ca="1">_xlfn.IFS($B30="etf", _xll.YCI($E30, "security_name",TODAY()),$B30&lt;&gt;"etf",_xll.YCI( $E30, "security_name",TODAY()))</f>
        <v>#VALUE!</v>
      </c>
      <c r="G30" t="e" cm="1">
        <f t="array" aca="1" ref="G30" ca="1">_xlfn.IFS($B30="etf", _xll.YCI($A30, "prospectus_benchmark_index",TODAY()),$B30&lt;&gt;"etf",_xll.YCI("M:" &amp; $A30, "prospectus_benchmark_index",TODAY()))</f>
        <v>#VALUE!</v>
      </c>
      <c r="H30" s="2" t="e" cm="1">
        <f t="array" aca="1" ref="H30" ca="1">_xlfn.IFS($B30="etf", _xll.YCP($A30,"quarterly_total_return",'Database Query'!$E$14),$B30&lt;&gt;"etf",_xll.YCP("M:"&amp; $A30,"quarterly_total_return",'Database Query'!$E$14))</f>
        <v>#VALUE!</v>
      </c>
      <c r="I30" s="2" t="e" cm="1">
        <f t="array" aca="1" ref="I30" ca="1">-_xll.YCP($E30,"quarterly_return",'Database Query'!$E$14)+H30</f>
        <v>#VALUE!</v>
      </c>
      <c r="J30" s="2" t="e" cm="1">
        <f t="array" aca="1" ref="J30" ca="1">_xlfn.IFS($B30="etf", _xll.YCP($A30,"ytd_total_return",'Database Query'!$E$14),$B30&lt;&gt;"etf",_xll.YCP("M:"&amp; $A30,"ytd_total_return",'Database Query'!$E$14))</f>
        <v>#VALUE!</v>
      </c>
      <c r="K30" s="2" t="e" cm="1">
        <f t="array" aca="1" ref="K30" ca="1">-_xll.YCP($E30,"ytd_return",'Database Query'!$E$14)+J30</f>
        <v>#VALUE!</v>
      </c>
      <c r="L30" s="2" t="e" cm="1">
        <f t="array" aca="1" ref="L30" ca="1">_xlfn.IFS($B30="etf", _xll.YCP($A30,"one_year_total_return",'Database Query'!$E$14),$B30&lt;&gt;"etf",_xll.YCP("M:"&amp; $A30,"one_year_total_return",'Database Query'!$E$14))</f>
        <v>#VALUE!</v>
      </c>
      <c r="M30" s="2" t="e" cm="1">
        <f t="array" aca="1" ref="M30" ca="1">-_xll.YCP($E30,"one_year_return",'Database Query'!$E$14)+L30</f>
        <v>#VALUE!</v>
      </c>
      <c r="N30" s="2" t="e" cm="1">
        <f t="array" aca="1" ref="N30" ca="1">_xlfn.IFS($B30="etf", _xll.YCP($A30,"three_year_total_return",'Database Query'!$E$14),$B30&lt;&gt;"etf",_xll.YCP("M:"&amp; $A30,"three_year_total_return",'Database Query'!$E$14))</f>
        <v>#VALUE!</v>
      </c>
      <c r="O30" s="2" t="e" cm="1">
        <f t="array" aca="1" ref="O30" ca="1">-_xll.YCP($E30,"three_year_return",'Database Query'!$E$14)+N30</f>
        <v>#VALUE!</v>
      </c>
      <c r="P30" s="2" t="e" cm="1">
        <f t="array" aca="1" ref="P30" ca="1">_xlfn.IFS($B30="etf", _xll.YCP($A30,"five_year_total_return",'Database Query'!$E$14),$B30&lt;&gt;"etf",_xll.YCP("M:"&amp; $A30,"five_year_total_return",'Database Query'!$E$14))</f>
        <v>#VALUE!</v>
      </c>
      <c r="Q30" s="2" t="e" cm="1">
        <f t="array" aca="1" ref="Q30" ca="1">-_xll.YCP($E30,"five_year_return",'Database Query'!$E$14)+P30</f>
        <v>#VALUE!</v>
      </c>
    </row>
    <row r="31" spans="1:17" x14ac:dyDescent="0.25">
      <c r="A31" t="str">
        <v>BPLEX</v>
      </c>
      <c r="B31" t="e" cm="1">
        <f t="array" aca="1" ref="B31" ca="1">_xll.YCI(A31,"detailed_security_type",TODAY())</f>
        <v>#VALUE!</v>
      </c>
      <c r="C31" t="e" cm="1">
        <f t="array" aca="1" ref="C31" ca="1">_xlfn.IFS(B31="etf", _xll.YCI(A31, "security_name",TODAY()),B31&lt;&gt;"etf",_xll.YCI("M:" &amp; A31, "security_name",TODAY()))</f>
        <v>#VALUE!</v>
      </c>
      <c r="D31" t="e" cm="1">
        <f t="array" aca="1" ref="D31" ca="1">_xlfn.IFS($B31="etf", _xll.YCI($A31, "ycharts_benchmark_category",TODAY()),$B31&lt;&gt;"etf",_xll.YCI("M:" &amp; $A31, "ycharts_benchmark_category",TODAY()))</f>
        <v>#VALUE!</v>
      </c>
      <c r="E31" t="e" cm="1">
        <f t="array" aca="1" ref="E31" ca="1">_xlfn.IFS($B31="etf", _xll.YCI($A31, "ycharts_benchmark_index_symbol",TODAY()),$B31&lt;&gt;"etf",_xll.YCI("M:" &amp; $A31, "ycharts_benchmark_index_symbol",TODAY()))</f>
        <v>#VALUE!</v>
      </c>
      <c r="F31" t="e" cm="1">
        <f t="array" aca="1" ref="F31" ca="1">_xlfn.IFS($B31="etf", _xll.YCI($E31, "security_name",TODAY()),$B31&lt;&gt;"etf",_xll.YCI( $E31, "security_name",TODAY()))</f>
        <v>#VALUE!</v>
      </c>
      <c r="G31" t="e" cm="1">
        <f t="array" aca="1" ref="G31" ca="1">_xlfn.IFS($B31="etf", _xll.YCI($A31, "prospectus_benchmark_index",TODAY()),$B31&lt;&gt;"etf",_xll.YCI("M:" &amp; $A31, "prospectus_benchmark_index",TODAY()))</f>
        <v>#VALUE!</v>
      </c>
      <c r="H31" s="2" t="e" cm="1">
        <f t="array" aca="1" ref="H31" ca="1">_xlfn.IFS($B31="etf", _xll.YCP($A31,"quarterly_total_return",'Database Query'!$E$14),$B31&lt;&gt;"etf",_xll.YCP("M:"&amp; $A31,"quarterly_total_return",'Database Query'!$E$14))</f>
        <v>#VALUE!</v>
      </c>
      <c r="I31" s="2" t="e" cm="1">
        <f t="array" aca="1" ref="I31" ca="1">-_xll.YCP($E31,"quarterly_return",'Database Query'!$E$14)+H31</f>
        <v>#VALUE!</v>
      </c>
      <c r="J31" s="2" t="e" cm="1">
        <f t="array" aca="1" ref="J31" ca="1">_xlfn.IFS($B31="etf", _xll.YCP($A31,"ytd_total_return",'Database Query'!$E$14),$B31&lt;&gt;"etf",_xll.YCP("M:"&amp; $A31,"ytd_total_return",'Database Query'!$E$14))</f>
        <v>#VALUE!</v>
      </c>
      <c r="K31" s="2" t="e" cm="1">
        <f t="array" aca="1" ref="K31" ca="1">-_xll.YCP($E31,"ytd_return",'Database Query'!$E$14)+J31</f>
        <v>#VALUE!</v>
      </c>
      <c r="L31" s="2" t="e" cm="1">
        <f t="array" aca="1" ref="L31" ca="1">_xlfn.IFS($B31="etf", _xll.YCP($A31,"one_year_total_return",'Database Query'!$E$14),$B31&lt;&gt;"etf",_xll.YCP("M:"&amp; $A31,"one_year_total_return",'Database Query'!$E$14))</f>
        <v>#VALUE!</v>
      </c>
      <c r="M31" s="2" t="e" cm="1">
        <f t="array" aca="1" ref="M31" ca="1">-_xll.YCP($E31,"one_year_return",'Database Query'!$E$14)+L31</f>
        <v>#VALUE!</v>
      </c>
      <c r="N31" s="2" t="e" cm="1">
        <f t="array" aca="1" ref="N31" ca="1">_xlfn.IFS($B31="etf", _xll.YCP($A31,"three_year_total_return",'Database Query'!$E$14),$B31&lt;&gt;"etf",_xll.YCP("M:"&amp; $A31,"three_year_total_return",'Database Query'!$E$14))</f>
        <v>#VALUE!</v>
      </c>
      <c r="O31" s="2" t="e" cm="1">
        <f t="array" aca="1" ref="O31" ca="1">-_xll.YCP($E31,"three_year_return",'Database Query'!$E$14)+N31</f>
        <v>#VALUE!</v>
      </c>
      <c r="P31" s="2" t="e" cm="1">
        <f t="array" aca="1" ref="P31" ca="1">_xlfn.IFS($B31="etf", _xll.YCP($A31,"five_year_total_return",'Database Query'!$E$14),$B31&lt;&gt;"etf",_xll.YCP("M:"&amp; $A31,"five_year_total_return",'Database Query'!$E$14))</f>
        <v>#VALUE!</v>
      </c>
      <c r="Q31" s="2" t="e" cm="1">
        <f t="array" aca="1" ref="Q31" ca="1">-_xll.YCP($E31,"five_year_return",'Database Query'!$E$14)+P31</f>
        <v>#VALUE!</v>
      </c>
    </row>
    <row r="32" spans="1:17" x14ac:dyDescent="0.25">
      <c r="A32" t="str">
        <v>BSIIX</v>
      </c>
      <c r="B32" t="e" cm="1">
        <f t="array" aca="1" ref="B32" ca="1">_xll.YCI(A32,"detailed_security_type",TODAY())</f>
        <v>#VALUE!</v>
      </c>
      <c r="C32" t="e" cm="1">
        <f t="array" aca="1" ref="C32" ca="1">_xlfn.IFS(B32="etf", _xll.YCI(A32, "security_name",TODAY()),B32&lt;&gt;"etf",_xll.YCI("M:" &amp; A32, "security_name",TODAY()))</f>
        <v>#VALUE!</v>
      </c>
      <c r="D32" t="e" cm="1">
        <f t="array" aca="1" ref="D32" ca="1">_xlfn.IFS($B32="etf", _xll.YCI($A32, "ycharts_benchmark_category",TODAY()),$B32&lt;&gt;"etf",_xll.YCI("M:" &amp; $A32, "ycharts_benchmark_category",TODAY()))</f>
        <v>#VALUE!</v>
      </c>
      <c r="E32" t="e" cm="1">
        <f t="array" aca="1" ref="E32" ca="1">_xlfn.IFS($B32="etf", _xll.YCI($A32, "ycharts_benchmark_index_symbol",TODAY()),$B32&lt;&gt;"etf",_xll.YCI("M:" &amp; $A32, "ycharts_benchmark_index_symbol",TODAY()))</f>
        <v>#VALUE!</v>
      </c>
      <c r="F32" t="e" cm="1">
        <f t="array" aca="1" ref="F32" ca="1">_xlfn.IFS($B32="etf", _xll.YCI($E32, "security_name",TODAY()),$B32&lt;&gt;"etf",_xll.YCI( $E32, "security_name",TODAY()))</f>
        <v>#VALUE!</v>
      </c>
      <c r="G32" t="e" cm="1">
        <f t="array" aca="1" ref="G32" ca="1">_xlfn.IFS($B32="etf", _xll.YCI($A32, "prospectus_benchmark_index",TODAY()),$B32&lt;&gt;"etf",_xll.YCI("M:" &amp; $A32, "prospectus_benchmark_index",TODAY()))</f>
        <v>#VALUE!</v>
      </c>
      <c r="H32" s="2" t="e" cm="1">
        <f t="array" aca="1" ref="H32" ca="1">_xlfn.IFS($B32="etf", _xll.YCP($A32,"quarterly_total_return",'Database Query'!$E$14),$B32&lt;&gt;"etf",_xll.YCP("M:"&amp; $A32,"quarterly_total_return",'Database Query'!$E$14))</f>
        <v>#VALUE!</v>
      </c>
      <c r="I32" s="2" t="e" cm="1">
        <f t="array" aca="1" ref="I32" ca="1">-_xll.YCP($E32,"quarterly_return",'Database Query'!$E$14)+H32</f>
        <v>#VALUE!</v>
      </c>
      <c r="J32" s="2" t="e" cm="1">
        <f t="array" aca="1" ref="J32" ca="1">_xlfn.IFS($B32="etf", _xll.YCP($A32,"ytd_total_return",'Database Query'!$E$14),$B32&lt;&gt;"etf",_xll.YCP("M:"&amp; $A32,"ytd_total_return",'Database Query'!$E$14))</f>
        <v>#VALUE!</v>
      </c>
      <c r="K32" s="2" t="e" cm="1">
        <f t="array" aca="1" ref="K32" ca="1">-_xll.YCP($E32,"ytd_return",'Database Query'!$E$14)+J32</f>
        <v>#VALUE!</v>
      </c>
      <c r="L32" s="2" t="e" cm="1">
        <f t="array" aca="1" ref="L32" ca="1">_xlfn.IFS($B32="etf", _xll.YCP($A32,"one_year_total_return",'Database Query'!$E$14),$B32&lt;&gt;"etf",_xll.YCP("M:"&amp; $A32,"one_year_total_return",'Database Query'!$E$14))</f>
        <v>#VALUE!</v>
      </c>
      <c r="M32" s="2" t="e" cm="1">
        <f t="array" aca="1" ref="M32" ca="1">-_xll.YCP($E32,"one_year_return",'Database Query'!$E$14)+L32</f>
        <v>#VALUE!</v>
      </c>
      <c r="N32" s="2" t="e" cm="1">
        <f t="array" aca="1" ref="N32" ca="1">_xlfn.IFS($B32="etf", _xll.YCP($A32,"three_year_total_return",'Database Query'!$E$14),$B32&lt;&gt;"etf",_xll.YCP("M:"&amp; $A32,"three_year_total_return",'Database Query'!$E$14))</f>
        <v>#VALUE!</v>
      </c>
      <c r="O32" s="2" t="e" cm="1">
        <f t="array" aca="1" ref="O32" ca="1">-_xll.YCP($E32,"three_year_return",'Database Query'!$E$14)+N32</f>
        <v>#VALUE!</v>
      </c>
      <c r="P32" s="2" t="e" cm="1">
        <f t="array" aca="1" ref="P32" ca="1">_xlfn.IFS($B32="etf", _xll.YCP($A32,"five_year_total_return",'Database Query'!$E$14),$B32&lt;&gt;"etf",_xll.YCP("M:"&amp; $A32,"five_year_total_return",'Database Query'!$E$14))</f>
        <v>#VALUE!</v>
      </c>
      <c r="Q32" s="2" t="e" cm="1">
        <f t="array" aca="1" ref="Q32" ca="1">-_xll.YCP($E32,"five_year_return",'Database Query'!$E$14)+P32</f>
        <v>#VALUE!</v>
      </c>
    </row>
    <row r="33" spans="1:17" x14ac:dyDescent="0.25">
      <c r="A33" t="str">
        <v>BTIFX</v>
      </c>
      <c r="B33" t="e" cm="1">
        <f t="array" aca="1" ref="B33" ca="1">_xll.YCI(A33,"detailed_security_type",TODAY())</f>
        <v>#VALUE!</v>
      </c>
      <c r="C33" t="e" cm="1">
        <f t="array" aca="1" ref="C33" ca="1">_xlfn.IFS(B33="etf", _xll.YCI(A33, "security_name",TODAY()),B33&lt;&gt;"etf",_xll.YCI("M:" &amp; A33, "security_name",TODAY()))</f>
        <v>#VALUE!</v>
      </c>
      <c r="D33" t="e" cm="1">
        <f t="array" aca="1" ref="D33" ca="1">_xlfn.IFS($B33="etf", _xll.YCI($A33, "ycharts_benchmark_category",TODAY()),$B33&lt;&gt;"etf",_xll.YCI("M:" &amp; $A33, "ycharts_benchmark_category",TODAY()))</f>
        <v>#VALUE!</v>
      </c>
      <c r="E33" t="e" cm="1">
        <f t="array" aca="1" ref="E33" ca="1">_xlfn.IFS($B33="etf", _xll.YCI($A33, "ycharts_benchmark_index_symbol",TODAY()),$B33&lt;&gt;"etf",_xll.YCI("M:" &amp; $A33, "ycharts_benchmark_index_symbol",TODAY()))</f>
        <v>#VALUE!</v>
      </c>
      <c r="F33" t="e" cm="1">
        <f t="array" aca="1" ref="F33" ca="1">_xlfn.IFS($B33="etf", _xll.YCI($E33, "security_name",TODAY()),$B33&lt;&gt;"etf",_xll.YCI( $E33, "security_name",TODAY()))</f>
        <v>#VALUE!</v>
      </c>
      <c r="G33" t="e" cm="1">
        <f t="array" aca="1" ref="G33" ca="1">_xlfn.IFS($B33="etf", _xll.YCI($A33, "prospectus_benchmark_index",TODAY()),$B33&lt;&gt;"etf",_xll.YCI("M:" &amp; $A33, "prospectus_benchmark_index",TODAY()))</f>
        <v>#VALUE!</v>
      </c>
      <c r="H33" s="2" t="e" cm="1">
        <f t="array" aca="1" ref="H33" ca="1">_xlfn.IFS($B33="etf", _xll.YCP($A33,"quarterly_total_return",'Database Query'!$E$14),$B33&lt;&gt;"etf",_xll.YCP("M:"&amp; $A33,"quarterly_total_return",'Database Query'!$E$14))</f>
        <v>#VALUE!</v>
      </c>
      <c r="I33" s="2" t="e" cm="1">
        <f t="array" aca="1" ref="I33" ca="1">-_xll.YCP($E33,"quarterly_return",'Database Query'!$E$14)+H33</f>
        <v>#VALUE!</v>
      </c>
      <c r="J33" s="2" t="e" cm="1">
        <f t="array" aca="1" ref="J33" ca="1">_xlfn.IFS($B33="etf", _xll.YCP($A33,"ytd_total_return",'Database Query'!$E$14),$B33&lt;&gt;"etf",_xll.YCP("M:"&amp; $A33,"ytd_total_return",'Database Query'!$E$14))</f>
        <v>#VALUE!</v>
      </c>
      <c r="K33" s="2" t="e" cm="1">
        <f t="array" aca="1" ref="K33" ca="1">-_xll.YCP($E33,"ytd_return",'Database Query'!$E$14)+J33</f>
        <v>#VALUE!</v>
      </c>
      <c r="L33" s="2" t="e" cm="1">
        <f t="array" aca="1" ref="L33" ca="1">_xlfn.IFS($B33="etf", _xll.YCP($A33,"one_year_total_return",'Database Query'!$E$14),$B33&lt;&gt;"etf",_xll.YCP("M:"&amp; $A33,"one_year_total_return",'Database Query'!$E$14))</f>
        <v>#VALUE!</v>
      </c>
      <c r="M33" s="2" t="e" cm="1">
        <f t="array" aca="1" ref="M33" ca="1">-_xll.YCP($E33,"one_year_return",'Database Query'!$E$14)+L33</f>
        <v>#VALUE!</v>
      </c>
      <c r="N33" s="2" t="e" cm="1">
        <f t="array" aca="1" ref="N33" ca="1">_xlfn.IFS($B33="etf", _xll.YCP($A33,"three_year_total_return",'Database Query'!$E$14),$B33&lt;&gt;"etf",_xll.YCP("M:"&amp; $A33,"three_year_total_return",'Database Query'!$E$14))</f>
        <v>#VALUE!</v>
      </c>
      <c r="O33" s="2" t="e" cm="1">
        <f t="array" aca="1" ref="O33" ca="1">-_xll.YCP($E33,"three_year_return",'Database Query'!$E$14)+N33</f>
        <v>#VALUE!</v>
      </c>
      <c r="P33" s="2" t="e" cm="1">
        <f t="array" aca="1" ref="P33" ca="1">_xlfn.IFS($B33="etf", _xll.YCP($A33,"five_year_total_return",'Database Query'!$E$14),$B33&lt;&gt;"etf",_xll.YCP("M:"&amp; $A33,"five_year_total_return",'Database Query'!$E$14))</f>
        <v>#VALUE!</v>
      </c>
      <c r="Q33" s="2" t="e" cm="1">
        <f t="array" aca="1" ref="Q33" ca="1">-_xll.YCP($E33,"five_year_return",'Database Query'!$E$14)+P33</f>
        <v>#VALUE!</v>
      </c>
    </row>
    <row r="34" spans="1:17" x14ac:dyDescent="0.25">
      <c r="A34" t="str">
        <v>BXDYX</v>
      </c>
      <c r="B34" t="e" cm="1">
        <f t="array" aca="1" ref="B34" ca="1">_xll.YCI(A34,"detailed_security_type",TODAY())</f>
        <v>#VALUE!</v>
      </c>
      <c r="C34" t="e" cm="1">
        <f t="array" aca="1" ref="C34" ca="1">_xlfn.IFS(B34="etf", _xll.YCI(A34, "security_name",TODAY()),B34&lt;&gt;"etf",_xll.YCI("M:" &amp; A34, "security_name",TODAY()))</f>
        <v>#VALUE!</v>
      </c>
      <c r="D34" t="e" cm="1">
        <f t="array" aca="1" ref="D34" ca="1">_xlfn.IFS($B34="etf", _xll.YCI($A34, "ycharts_benchmark_category",TODAY()),$B34&lt;&gt;"etf",_xll.YCI("M:" &amp; $A34, "ycharts_benchmark_category",TODAY()))</f>
        <v>#VALUE!</v>
      </c>
      <c r="E34" t="e" cm="1">
        <f t="array" aca="1" ref="E34" ca="1">_xlfn.IFS($B34="etf", _xll.YCI($A34, "ycharts_benchmark_index_symbol",TODAY()),$B34&lt;&gt;"etf",_xll.YCI("M:" &amp; $A34, "ycharts_benchmark_index_symbol",TODAY()))</f>
        <v>#VALUE!</v>
      </c>
      <c r="F34" t="e" cm="1">
        <f t="array" aca="1" ref="F34" ca="1">_xlfn.IFS($B34="etf", _xll.YCI($E34, "security_name",TODAY()),$B34&lt;&gt;"etf",_xll.YCI( $E34, "security_name",TODAY()))</f>
        <v>#VALUE!</v>
      </c>
      <c r="G34" t="e" cm="1">
        <f t="array" aca="1" ref="G34" ca="1">_xlfn.IFS($B34="etf", _xll.YCI($A34, "prospectus_benchmark_index",TODAY()),$B34&lt;&gt;"etf",_xll.YCI("M:" &amp; $A34, "prospectus_benchmark_index",TODAY()))</f>
        <v>#VALUE!</v>
      </c>
      <c r="H34" s="2" t="e" cm="1">
        <f t="array" aca="1" ref="H34" ca="1">_xlfn.IFS($B34="etf", _xll.YCP($A34,"quarterly_total_return",'Database Query'!$E$14),$B34&lt;&gt;"etf",_xll.YCP("M:"&amp; $A34,"quarterly_total_return",'Database Query'!$E$14))</f>
        <v>#VALUE!</v>
      </c>
      <c r="I34" s="2" t="e" cm="1">
        <f t="array" aca="1" ref="I34" ca="1">-_xll.YCP($E34,"quarterly_return",'Database Query'!$E$14)+H34</f>
        <v>#VALUE!</v>
      </c>
      <c r="J34" s="2" t="e" cm="1">
        <f t="array" aca="1" ref="J34" ca="1">_xlfn.IFS($B34="etf", _xll.YCP($A34,"ytd_total_return",'Database Query'!$E$14),$B34&lt;&gt;"etf",_xll.YCP("M:"&amp; $A34,"ytd_total_return",'Database Query'!$E$14))</f>
        <v>#VALUE!</v>
      </c>
      <c r="K34" s="2" t="e" cm="1">
        <f t="array" aca="1" ref="K34" ca="1">-_xll.YCP($E34,"ytd_return",'Database Query'!$E$14)+J34</f>
        <v>#VALUE!</v>
      </c>
      <c r="L34" s="2" t="e" cm="1">
        <f t="array" aca="1" ref="L34" ca="1">_xlfn.IFS($B34="etf", _xll.YCP($A34,"one_year_total_return",'Database Query'!$E$14),$B34&lt;&gt;"etf",_xll.YCP("M:"&amp; $A34,"one_year_total_return",'Database Query'!$E$14))</f>
        <v>#VALUE!</v>
      </c>
      <c r="M34" s="2" t="e" cm="1">
        <f t="array" aca="1" ref="M34" ca="1">-_xll.YCP($E34,"one_year_return",'Database Query'!$E$14)+L34</f>
        <v>#VALUE!</v>
      </c>
      <c r="N34" s="2" t="e" cm="1">
        <f t="array" aca="1" ref="N34" ca="1">_xlfn.IFS($B34="etf", _xll.YCP($A34,"three_year_total_return",'Database Query'!$E$14),$B34&lt;&gt;"etf",_xll.YCP("M:"&amp; $A34,"three_year_total_return",'Database Query'!$E$14))</f>
        <v>#VALUE!</v>
      </c>
      <c r="O34" s="2" t="e" cm="1">
        <f t="array" aca="1" ref="O34" ca="1">-_xll.YCP($E34,"three_year_return",'Database Query'!$E$14)+N34</f>
        <v>#VALUE!</v>
      </c>
      <c r="P34" s="2" t="e" cm="1">
        <f t="array" aca="1" ref="P34" ca="1">_xlfn.IFS($B34="etf", _xll.YCP($A34,"five_year_total_return",'Database Query'!$E$14),$B34&lt;&gt;"etf",_xll.YCP("M:"&amp; $A34,"five_year_total_return",'Database Query'!$E$14))</f>
        <v>#VALUE!</v>
      </c>
      <c r="Q34" s="2" t="e" cm="1">
        <f t="array" aca="1" ref="Q34" ca="1">-_xll.YCP($E34,"five_year_return",'Database Query'!$E$14)+P34</f>
        <v>#VALUE!</v>
      </c>
    </row>
    <row r="35" spans="1:17" x14ac:dyDescent="0.25">
      <c r="A35" t="str">
        <v>CADLX</v>
      </c>
      <c r="B35" t="e" cm="1">
        <f t="array" aca="1" ref="B35" ca="1">_xll.YCI(A35,"detailed_security_type",TODAY())</f>
        <v>#VALUE!</v>
      </c>
      <c r="C35" t="e" cm="1">
        <f t="array" aca="1" ref="C35" ca="1">_xlfn.IFS(B35="etf", _xll.YCI(A35, "security_name",TODAY()),B35&lt;&gt;"etf",_xll.YCI("M:" &amp; A35, "security_name",TODAY()))</f>
        <v>#VALUE!</v>
      </c>
      <c r="D35" t="e" cm="1">
        <f t="array" aca="1" ref="D35" ca="1">_xlfn.IFS($B35="etf", _xll.YCI($A35, "ycharts_benchmark_category",TODAY()),$B35&lt;&gt;"etf",_xll.YCI("M:" &amp; $A35, "ycharts_benchmark_category",TODAY()))</f>
        <v>#VALUE!</v>
      </c>
      <c r="E35" t="e" cm="1">
        <f t="array" aca="1" ref="E35" ca="1">_xlfn.IFS($B35="etf", _xll.YCI($A35, "ycharts_benchmark_index_symbol",TODAY()),$B35&lt;&gt;"etf",_xll.YCI("M:" &amp; $A35, "ycharts_benchmark_index_symbol",TODAY()))</f>
        <v>#VALUE!</v>
      </c>
      <c r="F35" t="e" cm="1">
        <f t="array" aca="1" ref="F35" ca="1">_xlfn.IFS($B35="etf", _xll.YCI($E35, "security_name",TODAY()),$B35&lt;&gt;"etf",_xll.YCI( $E35, "security_name",TODAY()))</f>
        <v>#VALUE!</v>
      </c>
      <c r="G35" t="e" cm="1">
        <f t="array" aca="1" ref="G35" ca="1">_xlfn.IFS($B35="etf", _xll.YCI($A35, "prospectus_benchmark_index",TODAY()),$B35&lt;&gt;"etf",_xll.YCI("M:" &amp; $A35, "prospectus_benchmark_index",TODAY()))</f>
        <v>#VALUE!</v>
      </c>
      <c r="H35" s="2" t="e" cm="1">
        <f t="array" aca="1" ref="H35" ca="1">_xlfn.IFS($B35="etf", _xll.YCP($A35,"quarterly_total_return",'Database Query'!$E$14),$B35&lt;&gt;"etf",_xll.YCP("M:"&amp; $A35,"quarterly_total_return",'Database Query'!$E$14))</f>
        <v>#VALUE!</v>
      </c>
      <c r="I35" s="2" t="e" cm="1">
        <f t="array" aca="1" ref="I35" ca="1">-_xll.YCP($E35,"quarterly_return",'Database Query'!$E$14)+H35</f>
        <v>#VALUE!</v>
      </c>
      <c r="J35" s="2" t="e" cm="1">
        <f t="array" aca="1" ref="J35" ca="1">_xlfn.IFS($B35="etf", _xll.YCP($A35,"ytd_total_return",'Database Query'!$E$14),$B35&lt;&gt;"etf",_xll.YCP("M:"&amp; $A35,"ytd_total_return",'Database Query'!$E$14))</f>
        <v>#VALUE!</v>
      </c>
      <c r="K35" s="2" t="e" cm="1">
        <f t="array" aca="1" ref="K35" ca="1">-_xll.YCP($E35,"ytd_return",'Database Query'!$E$14)+J35</f>
        <v>#VALUE!</v>
      </c>
      <c r="L35" s="2" t="e" cm="1">
        <f t="array" aca="1" ref="L35" ca="1">_xlfn.IFS($B35="etf", _xll.YCP($A35,"one_year_total_return",'Database Query'!$E$14),$B35&lt;&gt;"etf",_xll.YCP("M:"&amp; $A35,"one_year_total_return",'Database Query'!$E$14))</f>
        <v>#VALUE!</v>
      </c>
      <c r="M35" s="2" t="e" cm="1">
        <f t="array" aca="1" ref="M35" ca="1">-_xll.YCP($E35,"one_year_return",'Database Query'!$E$14)+L35</f>
        <v>#VALUE!</v>
      </c>
      <c r="N35" s="2" t="e" cm="1">
        <f t="array" aca="1" ref="N35" ca="1">_xlfn.IFS($B35="etf", _xll.YCP($A35,"three_year_total_return",'Database Query'!$E$14),$B35&lt;&gt;"etf",_xll.YCP("M:"&amp; $A35,"three_year_total_return",'Database Query'!$E$14))</f>
        <v>#VALUE!</v>
      </c>
      <c r="O35" s="2" t="e" cm="1">
        <f t="array" aca="1" ref="O35" ca="1">-_xll.YCP($E35,"three_year_return",'Database Query'!$E$14)+N35</f>
        <v>#VALUE!</v>
      </c>
      <c r="P35" s="2" t="e" cm="1">
        <f t="array" aca="1" ref="P35" ca="1">_xlfn.IFS($B35="etf", _xll.YCP($A35,"five_year_total_return",'Database Query'!$E$14),$B35&lt;&gt;"etf",_xll.YCP("M:"&amp; $A35,"five_year_total_return",'Database Query'!$E$14))</f>
        <v>#VALUE!</v>
      </c>
      <c r="Q35" s="2" t="e" cm="1">
        <f t="array" aca="1" ref="Q35" ca="1">-_xll.YCP($E35,"five_year_return",'Database Query'!$E$14)+P35</f>
        <v>#VALUE!</v>
      </c>
    </row>
    <row r="36" spans="1:17" x14ac:dyDescent="0.25">
      <c r="A36" t="str">
        <v>CADUX</v>
      </c>
      <c r="B36" t="e" cm="1">
        <f t="array" aca="1" ref="B36" ca="1">_xll.YCI(A36,"detailed_security_type",TODAY())</f>
        <v>#VALUE!</v>
      </c>
      <c r="C36" t="e" cm="1">
        <f t="array" aca="1" ref="C36" ca="1">_xlfn.IFS(B36="etf", _xll.YCI(A36, "security_name",TODAY()),B36&lt;&gt;"etf",_xll.YCI("M:" &amp; A36, "security_name",TODAY()))</f>
        <v>#VALUE!</v>
      </c>
      <c r="D36" t="e" cm="1">
        <f t="array" aca="1" ref="D36" ca="1">_xlfn.IFS($B36="etf", _xll.YCI($A36, "ycharts_benchmark_category",TODAY()),$B36&lt;&gt;"etf",_xll.YCI("M:" &amp; $A36, "ycharts_benchmark_category",TODAY()))</f>
        <v>#VALUE!</v>
      </c>
      <c r="E36" t="e" cm="1">
        <f t="array" aca="1" ref="E36" ca="1">_xlfn.IFS($B36="etf", _xll.YCI($A36, "ycharts_benchmark_index_symbol",TODAY()),$B36&lt;&gt;"etf",_xll.YCI("M:" &amp; $A36, "ycharts_benchmark_index_symbol",TODAY()))</f>
        <v>#VALUE!</v>
      </c>
      <c r="F36" t="e" cm="1">
        <f t="array" aca="1" ref="F36" ca="1">_xlfn.IFS($B36="etf", _xll.YCI($E36, "security_name",TODAY()),$B36&lt;&gt;"etf",_xll.YCI( $E36, "security_name",TODAY()))</f>
        <v>#VALUE!</v>
      </c>
      <c r="G36" t="e" cm="1">
        <f t="array" aca="1" ref="G36" ca="1">_xlfn.IFS($B36="etf", _xll.YCI($A36, "prospectus_benchmark_index",TODAY()),$B36&lt;&gt;"etf",_xll.YCI("M:" &amp; $A36, "prospectus_benchmark_index",TODAY()))</f>
        <v>#VALUE!</v>
      </c>
      <c r="H36" s="2" t="e" cm="1">
        <f t="array" aca="1" ref="H36" ca="1">_xlfn.IFS($B36="etf", _xll.YCP($A36,"quarterly_total_return",'Database Query'!$E$14),$B36&lt;&gt;"etf",_xll.YCP("M:"&amp; $A36,"quarterly_total_return",'Database Query'!$E$14))</f>
        <v>#VALUE!</v>
      </c>
      <c r="I36" s="2" t="e" cm="1">
        <f t="array" aca="1" ref="I36" ca="1">-_xll.YCP($E36,"quarterly_return",'Database Query'!$E$14)+H36</f>
        <v>#VALUE!</v>
      </c>
      <c r="J36" s="2" t="e" cm="1">
        <f t="array" aca="1" ref="J36" ca="1">_xlfn.IFS($B36="etf", _xll.YCP($A36,"ytd_total_return",'Database Query'!$E$14),$B36&lt;&gt;"etf",_xll.YCP("M:"&amp; $A36,"ytd_total_return",'Database Query'!$E$14))</f>
        <v>#VALUE!</v>
      </c>
      <c r="K36" s="2" t="e" cm="1">
        <f t="array" aca="1" ref="K36" ca="1">-_xll.YCP($E36,"ytd_return",'Database Query'!$E$14)+J36</f>
        <v>#VALUE!</v>
      </c>
      <c r="L36" s="2" t="e" cm="1">
        <f t="array" aca="1" ref="L36" ca="1">_xlfn.IFS($B36="etf", _xll.YCP($A36,"one_year_total_return",'Database Query'!$E$14),$B36&lt;&gt;"etf",_xll.YCP("M:"&amp; $A36,"one_year_total_return",'Database Query'!$E$14))</f>
        <v>#VALUE!</v>
      </c>
      <c r="M36" s="2" t="e" cm="1">
        <f t="array" aca="1" ref="M36" ca="1">-_xll.YCP($E36,"one_year_return",'Database Query'!$E$14)+L36</f>
        <v>#VALUE!</v>
      </c>
      <c r="N36" s="2" t="e" cm="1">
        <f t="array" aca="1" ref="N36" ca="1">_xlfn.IFS($B36="etf", _xll.YCP($A36,"three_year_total_return",'Database Query'!$E$14),$B36&lt;&gt;"etf",_xll.YCP("M:"&amp; $A36,"three_year_total_return",'Database Query'!$E$14))</f>
        <v>#VALUE!</v>
      </c>
      <c r="O36" s="2" t="e" cm="1">
        <f t="array" aca="1" ref="O36" ca="1">-_xll.YCP($E36,"three_year_return",'Database Query'!$E$14)+N36</f>
        <v>#VALUE!</v>
      </c>
      <c r="P36" s="2" t="e" cm="1">
        <f t="array" aca="1" ref="P36" ca="1">_xlfn.IFS($B36="etf", _xll.YCP($A36,"five_year_total_return",'Database Query'!$E$14),$B36&lt;&gt;"etf",_xll.YCP("M:"&amp; $A36,"five_year_total_return",'Database Query'!$E$14))</f>
        <v>#VALUE!</v>
      </c>
      <c r="Q36" s="2" t="e" cm="1">
        <f t="array" aca="1" ref="Q36" ca="1">-_xll.YCP($E36,"five_year_return",'Database Query'!$E$14)+P36</f>
        <v>#VALUE!</v>
      </c>
    </row>
    <row r="37" spans="1:17" x14ac:dyDescent="0.25">
      <c r="A37" t="str">
        <v>CASH</v>
      </c>
      <c r="B37" t="str" cm="1">
        <f t="array" aca="1" ref="B37" ca="1">_xll.YCI(A37,"detailed_security_type",TODAY())</f>
        <v>stock</v>
      </c>
      <c r="C37" t="e" cm="1">
        <f t="array" aca="1" ref="C37" ca="1">_xlfn.IFS(B37="etf", _xll.YCI(A37, "security_name",TODAY()),B37&lt;&gt;"etf",_xll.YCI("M:" &amp; A37, "security_name",TODAY()))</f>
        <v>#VALUE!</v>
      </c>
      <c r="D37" t="e" cm="1">
        <f t="array" aca="1" ref="D37" ca="1">_xlfn.IFS($B37="etf", _xll.YCI($A37, "ycharts_benchmark_category",TODAY()),$B37&lt;&gt;"etf",_xll.YCI("M:" &amp; $A37, "ycharts_benchmark_category",TODAY()))</f>
        <v>#VALUE!</v>
      </c>
      <c r="E37" t="e" cm="1">
        <f t="array" aca="1" ref="E37" ca="1">_xlfn.IFS($B37="etf", _xll.YCI($A37, "ycharts_benchmark_index_symbol",TODAY()),$B37&lt;&gt;"etf",_xll.YCI("M:" &amp; $A37, "ycharts_benchmark_index_symbol",TODAY()))</f>
        <v>#VALUE!</v>
      </c>
      <c r="F37" t="e" cm="1">
        <f t="array" aca="1" ref="F37" ca="1">_xlfn.IFS($B37="etf", _xll.YCI($E37, "security_name",TODAY()),$B37&lt;&gt;"etf",_xll.YCI( $E37, "security_name",TODAY()))</f>
        <v>#VALUE!</v>
      </c>
      <c r="G37" t="e" cm="1">
        <f t="array" aca="1" ref="G37" ca="1">_xlfn.IFS($B37="etf", _xll.YCI($A37, "prospectus_benchmark_index",TODAY()),$B37&lt;&gt;"etf",_xll.YCI("M:" &amp; $A37, "prospectus_benchmark_index",TODAY()))</f>
        <v>#VALUE!</v>
      </c>
      <c r="H37" s="2" t="str" cm="1">
        <f t="array" aca="1" ref="H37" ca="1">_xlfn.IFS($B37="etf", _xll.YCP($A37,"quarterly_total_return",'Database Query'!$E$14),$B37&lt;&gt;"etf",_xll.YCP("M:"&amp; $A37,"quarterly_total_return",'Database Query'!$E$14))</f>
        <v>ERR: INVALID MUTUAL FUND</v>
      </c>
      <c r="I37" s="2" t="e" cm="1">
        <f t="array" aca="1" ref="I37" ca="1">-_xll.YCP($E37,"quarterly_return",'Database Query'!$E$14)+H37</f>
        <v>#VALUE!</v>
      </c>
      <c r="J37" s="2" t="str" cm="1">
        <f t="array" aca="1" ref="J37" ca="1">_xlfn.IFS($B37="etf", _xll.YCP($A37,"ytd_total_return",'Database Query'!$E$14),$B37&lt;&gt;"etf",_xll.YCP("M:"&amp; $A37,"ytd_total_return",'Database Query'!$E$14))</f>
        <v>ERR: INVALID MUTUAL FUND</v>
      </c>
      <c r="K37" s="2" t="e" cm="1">
        <f t="array" aca="1" ref="K37" ca="1">-_xll.YCP($E37,"ytd_return",'Database Query'!$E$14)+J37</f>
        <v>#VALUE!</v>
      </c>
      <c r="L37" s="2" t="str" cm="1">
        <f t="array" aca="1" ref="L37" ca="1">_xlfn.IFS($B37="etf", _xll.YCP($A37,"one_year_total_return",'Database Query'!$E$14),$B37&lt;&gt;"etf",_xll.YCP("M:"&amp; $A37,"one_year_total_return",'Database Query'!$E$14))</f>
        <v>ERR: INVALID MUTUAL FUND</v>
      </c>
      <c r="M37" s="2" t="e" cm="1">
        <f t="array" aca="1" ref="M37" ca="1">-_xll.YCP($E37,"one_year_return",'Database Query'!$E$14)+L37</f>
        <v>#VALUE!</v>
      </c>
      <c r="N37" s="2" t="str" cm="1">
        <f t="array" aca="1" ref="N37" ca="1">_xlfn.IFS($B37="etf", _xll.YCP($A37,"three_year_total_return",'Database Query'!$E$14),$B37&lt;&gt;"etf",_xll.YCP("M:"&amp; $A37,"three_year_total_return",'Database Query'!$E$14))</f>
        <v>ERR: INVALID MUTUAL FUND</v>
      </c>
      <c r="O37" s="2" t="e" cm="1">
        <f t="array" aca="1" ref="O37" ca="1">-_xll.YCP($E37,"three_year_return",'Database Query'!$E$14)+N37</f>
        <v>#VALUE!</v>
      </c>
      <c r="P37" s="2" t="str" cm="1">
        <f t="array" aca="1" ref="P37" ca="1">_xlfn.IFS($B37="etf", _xll.YCP($A37,"five_year_total_return",'Database Query'!$E$14),$B37&lt;&gt;"etf",_xll.YCP("M:"&amp; $A37,"five_year_total_return",'Database Query'!$E$14))</f>
        <v>ERR: INVALID MUTUAL FUND</v>
      </c>
      <c r="Q37" s="2" t="e" cm="1">
        <f t="array" aca="1" ref="Q37" ca="1">-_xll.YCP($E37,"five_year_return",'Database Query'!$E$14)+P37</f>
        <v>#VALUE!</v>
      </c>
    </row>
    <row r="38" spans="1:17" x14ac:dyDescent="0.25">
      <c r="A38" t="str">
        <v>CCSZX</v>
      </c>
      <c r="B38" t="e" cm="1">
        <f t="array" aca="1" ref="B38" ca="1">_xll.YCI(A38,"detailed_security_type",TODAY())</f>
        <v>#VALUE!</v>
      </c>
      <c r="C38" t="e" cm="1">
        <f t="array" aca="1" ref="C38" ca="1">_xlfn.IFS(B38="etf", _xll.YCI(A38, "security_name",TODAY()),B38&lt;&gt;"etf",_xll.YCI("M:" &amp; A38, "security_name",TODAY()))</f>
        <v>#VALUE!</v>
      </c>
      <c r="D38" t="e" cm="1">
        <f t="array" aca="1" ref="D38" ca="1">_xlfn.IFS($B38="etf", _xll.YCI($A38, "ycharts_benchmark_category",TODAY()),$B38&lt;&gt;"etf",_xll.YCI("M:" &amp; $A38, "ycharts_benchmark_category",TODAY()))</f>
        <v>#VALUE!</v>
      </c>
      <c r="E38" t="e" cm="1">
        <f t="array" aca="1" ref="E38" ca="1">_xlfn.IFS($B38="etf", _xll.YCI($A38, "ycharts_benchmark_index_symbol",TODAY()),$B38&lt;&gt;"etf",_xll.YCI("M:" &amp; $A38, "ycharts_benchmark_index_symbol",TODAY()))</f>
        <v>#VALUE!</v>
      </c>
      <c r="F38" t="e" cm="1">
        <f t="array" aca="1" ref="F38" ca="1">_xlfn.IFS($B38="etf", _xll.YCI($E38, "security_name",TODAY()),$B38&lt;&gt;"etf",_xll.YCI( $E38, "security_name",TODAY()))</f>
        <v>#VALUE!</v>
      </c>
      <c r="G38" t="e" cm="1">
        <f t="array" aca="1" ref="G38" ca="1">_xlfn.IFS($B38="etf", _xll.YCI($A38, "prospectus_benchmark_index",TODAY()),$B38&lt;&gt;"etf",_xll.YCI("M:" &amp; $A38, "prospectus_benchmark_index",TODAY()))</f>
        <v>#VALUE!</v>
      </c>
      <c r="H38" s="2" t="e" cm="1">
        <f t="array" aca="1" ref="H38" ca="1">_xlfn.IFS($B38="etf", _xll.YCP($A38,"quarterly_total_return",'Database Query'!$E$14),$B38&lt;&gt;"etf",_xll.YCP("M:"&amp; $A38,"quarterly_total_return",'Database Query'!$E$14))</f>
        <v>#VALUE!</v>
      </c>
      <c r="I38" s="2" t="e" cm="1">
        <f t="array" aca="1" ref="I38" ca="1">-_xll.YCP($E38,"quarterly_return",'Database Query'!$E$14)+H38</f>
        <v>#VALUE!</v>
      </c>
      <c r="J38" s="2" t="e" cm="1">
        <f t="array" aca="1" ref="J38" ca="1">_xlfn.IFS($B38="etf", _xll.YCP($A38,"ytd_total_return",'Database Query'!$E$14),$B38&lt;&gt;"etf",_xll.YCP("M:"&amp; $A38,"ytd_total_return",'Database Query'!$E$14))</f>
        <v>#VALUE!</v>
      </c>
      <c r="K38" s="2" t="e" cm="1">
        <f t="array" aca="1" ref="K38" ca="1">-_xll.YCP($E38,"ytd_return",'Database Query'!$E$14)+J38</f>
        <v>#VALUE!</v>
      </c>
      <c r="L38" s="2" t="e" cm="1">
        <f t="array" aca="1" ref="L38" ca="1">_xlfn.IFS($B38="etf", _xll.YCP($A38,"one_year_total_return",'Database Query'!$E$14),$B38&lt;&gt;"etf",_xll.YCP("M:"&amp; $A38,"one_year_total_return",'Database Query'!$E$14))</f>
        <v>#VALUE!</v>
      </c>
      <c r="M38" s="2" t="e" cm="1">
        <f t="array" aca="1" ref="M38" ca="1">-_xll.YCP($E38,"one_year_return",'Database Query'!$E$14)+L38</f>
        <v>#VALUE!</v>
      </c>
      <c r="N38" s="2" t="e" cm="1">
        <f t="array" aca="1" ref="N38" ca="1">_xlfn.IFS($B38="etf", _xll.YCP($A38,"three_year_total_return",'Database Query'!$E$14),$B38&lt;&gt;"etf",_xll.YCP("M:"&amp; $A38,"three_year_total_return",'Database Query'!$E$14))</f>
        <v>#VALUE!</v>
      </c>
      <c r="O38" s="2" t="e" cm="1">
        <f t="array" aca="1" ref="O38" ca="1">-_xll.YCP($E38,"three_year_return",'Database Query'!$E$14)+N38</f>
        <v>#VALUE!</v>
      </c>
      <c r="P38" s="2" t="e" cm="1">
        <f t="array" aca="1" ref="P38" ca="1">_xlfn.IFS($B38="etf", _xll.YCP($A38,"five_year_total_return",'Database Query'!$E$14),$B38&lt;&gt;"etf",_xll.YCP("M:"&amp; $A38,"five_year_total_return",'Database Query'!$E$14))</f>
        <v>#VALUE!</v>
      </c>
      <c r="Q38" s="2" t="e" cm="1">
        <f t="array" aca="1" ref="Q38" ca="1">-_xll.YCP($E38,"five_year_return",'Database Query'!$E$14)+P38</f>
        <v>#VALUE!</v>
      </c>
    </row>
    <row r="39" spans="1:17" x14ac:dyDescent="0.25">
      <c r="A39" t="str">
        <v>CINCX</v>
      </c>
      <c r="B39" t="e" cm="1">
        <f t="array" aca="1" ref="B39" ca="1">_xll.YCI(A39,"detailed_security_type",TODAY())</f>
        <v>#VALUE!</v>
      </c>
      <c r="C39" t="e" cm="1">
        <f t="array" aca="1" ref="C39" ca="1">_xlfn.IFS(B39="etf", _xll.YCI(A39, "security_name",TODAY()),B39&lt;&gt;"etf",_xll.YCI("M:" &amp; A39, "security_name",TODAY()))</f>
        <v>#VALUE!</v>
      </c>
      <c r="D39" t="e" cm="1">
        <f t="array" aca="1" ref="D39" ca="1">_xlfn.IFS($B39="etf", _xll.YCI($A39, "ycharts_benchmark_category",TODAY()),$B39&lt;&gt;"etf",_xll.YCI("M:" &amp; $A39, "ycharts_benchmark_category",TODAY()))</f>
        <v>#VALUE!</v>
      </c>
      <c r="E39" t="e" cm="1">
        <f t="array" aca="1" ref="E39" ca="1">_xlfn.IFS($B39="etf", _xll.YCI($A39, "ycharts_benchmark_index_symbol",TODAY()),$B39&lt;&gt;"etf",_xll.YCI("M:" &amp; $A39, "ycharts_benchmark_index_symbol",TODAY()))</f>
        <v>#VALUE!</v>
      </c>
      <c r="F39" t="e" cm="1">
        <f t="array" aca="1" ref="F39" ca="1">_xlfn.IFS($B39="etf", _xll.YCI($E39, "security_name",TODAY()),$B39&lt;&gt;"etf",_xll.YCI( $E39, "security_name",TODAY()))</f>
        <v>#VALUE!</v>
      </c>
      <c r="G39" t="e" cm="1">
        <f t="array" aca="1" ref="G39" ca="1">_xlfn.IFS($B39="etf", _xll.YCI($A39, "prospectus_benchmark_index",TODAY()),$B39&lt;&gt;"etf",_xll.YCI("M:" &amp; $A39, "prospectus_benchmark_index",TODAY()))</f>
        <v>#VALUE!</v>
      </c>
      <c r="H39" s="2" t="e" cm="1">
        <f t="array" aca="1" ref="H39" ca="1">_xlfn.IFS($B39="etf", _xll.YCP($A39,"quarterly_total_return",'Database Query'!$E$14),$B39&lt;&gt;"etf",_xll.YCP("M:"&amp; $A39,"quarterly_total_return",'Database Query'!$E$14))</f>
        <v>#VALUE!</v>
      </c>
      <c r="I39" s="2" t="e" cm="1">
        <f t="array" aca="1" ref="I39" ca="1">-_xll.YCP($E39,"quarterly_return",'Database Query'!$E$14)+H39</f>
        <v>#VALUE!</v>
      </c>
      <c r="J39" s="2" t="e" cm="1">
        <f t="array" aca="1" ref="J39" ca="1">_xlfn.IFS($B39="etf", _xll.YCP($A39,"ytd_total_return",'Database Query'!$E$14),$B39&lt;&gt;"etf",_xll.YCP("M:"&amp; $A39,"ytd_total_return",'Database Query'!$E$14))</f>
        <v>#VALUE!</v>
      </c>
      <c r="K39" s="2" t="e" cm="1">
        <f t="array" aca="1" ref="K39" ca="1">-_xll.YCP($E39,"ytd_return",'Database Query'!$E$14)+J39</f>
        <v>#VALUE!</v>
      </c>
      <c r="L39" s="2" t="e" cm="1">
        <f t="array" aca="1" ref="L39" ca="1">_xlfn.IFS($B39="etf", _xll.YCP($A39,"one_year_total_return",'Database Query'!$E$14),$B39&lt;&gt;"etf",_xll.YCP("M:"&amp; $A39,"one_year_total_return",'Database Query'!$E$14))</f>
        <v>#VALUE!</v>
      </c>
      <c r="M39" s="2" t="e" cm="1">
        <f t="array" aca="1" ref="M39" ca="1">-_xll.YCP($E39,"one_year_return",'Database Query'!$E$14)+L39</f>
        <v>#VALUE!</v>
      </c>
      <c r="N39" s="2" t="e" cm="1">
        <f t="array" aca="1" ref="N39" ca="1">_xlfn.IFS($B39="etf", _xll.YCP($A39,"three_year_total_return",'Database Query'!$E$14),$B39&lt;&gt;"etf",_xll.YCP("M:"&amp; $A39,"three_year_total_return",'Database Query'!$E$14))</f>
        <v>#VALUE!</v>
      </c>
      <c r="O39" s="2" t="e" cm="1">
        <f t="array" aca="1" ref="O39" ca="1">-_xll.YCP($E39,"three_year_return",'Database Query'!$E$14)+N39</f>
        <v>#VALUE!</v>
      </c>
      <c r="P39" s="2" t="e" cm="1">
        <f t="array" aca="1" ref="P39" ca="1">_xlfn.IFS($B39="etf", _xll.YCP($A39,"five_year_total_return",'Database Query'!$E$14),$B39&lt;&gt;"etf",_xll.YCP("M:"&amp; $A39,"five_year_total_return",'Database Query'!$E$14))</f>
        <v>#VALUE!</v>
      </c>
      <c r="Q39" s="2" t="e" cm="1">
        <f t="array" aca="1" ref="Q39" ca="1">-_xll.YCP($E39,"five_year_return",'Database Query'!$E$14)+P39</f>
        <v>#VALUE!</v>
      </c>
    </row>
    <row r="40" spans="1:17" x14ac:dyDescent="0.25">
      <c r="A40" t="str">
        <v>CLMFX</v>
      </c>
      <c r="B40" t="e" cm="1">
        <f t="array" aca="1" ref="B40" ca="1">_xll.YCI(A40,"detailed_security_type",TODAY())</f>
        <v>#VALUE!</v>
      </c>
      <c r="C40" t="e" cm="1">
        <f t="array" aca="1" ref="C40" ca="1">_xlfn.IFS(B40="etf", _xll.YCI(A40, "security_name",TODAY()),B40&lt;&gt;"etf",_xll.YCI("M:" &amp; A40, "security_name",TODAY()))</f>
        <v>#VALUE!</v>
      </c>
      <c r="D40" t="e" cm="1">
        <f t="array" aca="1" ref="D40" ca="1">_xlfn.IFS($B40="etf", _xll.YCI($A40, "ycharts_benchmark_category",TODAY()),$B40&lt;&gt;"etf",_xll.YCI("M:" &amp; $A40, "ycharts_benchmark_category",TODAY()))</f>
        <v>#VALUE!</v>
      </c>
      <c r="E40" t="e" cm="1">
        <f t="array" aca="1" ref="E40" ca="1">_xlfn.IFS($B40="etf", _xll.YCI($A40, "ycharts_benchmark_index_symbol",TODAY()),$B40&lt;&gt;"etf",_xll.YCI("M:" &amp; $A40, "ycharts_benchmark_index_symbol",TODAY()))</f>
        <v>#VALUE!</v>
      </c>
      <c r="F40" t="e" cm="1">
        <f t="array" aca="1" ref="F40" ca="1">_xlfn.IFS($B40="etf", _xll.YCI($E40, "security_name",TODAY()),$B40&lt;&gt;"etf",_xll.YCI( $E40, "security_name",TODAY()))</f>
        <v>#VALUE!</v>
      </c>
      <c r="G40" t="e" cm="1">
        <f t="array" aca="1" ref="G40" ca="1">_xlfn.IFS($B40="etf", _xll.YCI($A40, "prospectus_benchmark_index",TODAY()),$B40&lt;&gt;"etf",_xll.YCI("M:" &amp; $A40, "prospectus_benchmark_index",TODAY()))</f>
        <v>#VALUE!</v>
      </c>
      <c r="H40" s="2" t="e" cm="1">
        <f t="array" aca="1" ref="H40" ca="1">_xlfn.IFS($B40="etf", _xll.YCP($A40,"quarterly_total_return",'Database Query'!$E$14),$B40&lt;&gt;"etf",_xll.YCP("M:"&amp; $A40,"quarterly_total_return",'Database Query'!$E$14))</f>
        <v>#VALUE!</v>
      </c>
      <c r="I40" s="2" t="e" cm="1">
        <f t="array" aca="1" ref="I40" ca="1">-_xll.YCP($E40,"quarterly_return",'Database Query'!$E$14)+H40</f>
        <v>#VALUE!</v>
      </c>
      <c r="J40" s="2" t="e" cm="1">
        <f t="array" aca="1" ref="J40" ca="1">_xlfn.IFS($B40="etf", _xll.YCP($A40,"ytd_total_return",'Database Query'!$E$14),$B40&lt;&gt;"etf",_xll.YCP("M:"&amp; $A40,"ytd_total_return",'Database Query'!$E$14))</f>
        <v>#VALUE!</v>
      </c>
      <c r="K40" s="2" t="e" cm="1">
        <f t="array" aca="1" ref="K40" ca="1">-_xll.YCP($E40,"ytd_return",'Database Query'!$E$14)+J40</f>
        <v>#VALUE!</v>
      </c>
      <c r="L40" s="2" t="e" cm="1">
        <f t="array" aca="1" ref="L40" ca="1">_xlfn.IFS($B40="etf", _xll.YCP($A40,"one_year_total_return",'Database Query'!$E$14),$B40&lt;&gt;"etf",_xll.YCP("M:"&amp; $A40,"one_year_total_return",'Database Query'!$E$14))</f>
        <v>#VALUE!</v>
      </c>
      <c r="M40" s="2" t="e" cm="1">
        <f t="array" aca="1" ref="M40" ca="1">-_xll.YCP($E40,"one_year_return",'Database Query'!$E$14)+L40</f>
        <v>#VALUE!</v>
      </c>
      <c r="N40" s="2" t="e" cm="1">
        <f t="array" aca="1" ref="N40" ca="1">_xlfn.IFS($B40="etf", _xll.YCP($A40,"three_year_total_return",'Database Query'!$E$14),$B40&lt;&gt;"etf",_xll.YCP("M:"&amp; $A40,"three_year_total_return",'Database Query'!$E$14))</f>
        <v>#VALUE!</v>
      </c>
      <c r="O40" s="2" t="e" cm="1">
        <f t="array" aca="1" ref="O40" ca="1">-_xll.YCP($E40,"three_year_return",'Database Query'!$E$14)+N40</f>
        <v>#VALUE!</v>
      </c>
      <c r="P40" s="2" t="e" cm="1">
        <f t="array" aca="1" ref="P40" ca="1">_xlfn.IFS($B40="etf", _xll.YCP($A40,"five_year_total_return",'Database Query'!$E$14),$B40&lt;&gt;"etf",_xll.YCP("M:"&amp; $A40,"five_year_total_return",'Database Query'!$E$14))</f>
        <v>#VALUE!</v>
      </c>
      <c r="Q40" s="2" t="e" cm="1">
        <f t="array" aca="1" ref="Q40" ca="1">-_xll.YCP($E40,"five_year_return",'Database Query'!$E$14)+P40</f>
        <v>#VALUE!</v>
      </c>
    </row>
    <row r="41" spans="1:17" x14ac:dyDescent="0.25">
      <c r="A41" t="str">
        <v>CLMVX</v>
      </c>
      <c r="B41" t="e" cm="1">
        <f t="array" aca="1" ref="B41" ca="1">_xll.YCI(A41,"detailed_security_type",TODAY())</f>
        <v>#VALUE!</v>
      </c>
      <c r="C41" t="e" cm="1">
        <f t="array" aca="1" ref="C41" ca="1">_xlfn.IFS(B41="etf", _xll.YCI(A41, "security_name",TODAY()),B41&lt;&gt;"etf",_xll.YCI("M:" &amp; A41, "security_name",TODAY()))</f>
        <v>#VALUE!</v>
      </c>
      <c r="D41" t="e" cm="1">
        <f t="array" aca="1" ref="D41" ca="1">_xlfn.IFS($B41="etf", _xll.YCI($A41, "ycharts_benchmark_category",TODAY()),$B41&lt;&gt;"etf",_xll.YCI("M:" &amp; $A41, "ycharts_benchmark_category",TODAY()))</f>
        <v>#VALUE!</v>
      </c>
      <c r="E41" t="e" cm="1">
        <f t="array" aca="1" ref="E41" ca="1">_xlfn.IFS($B41="etf", _xll.YCI($A41, "ycharts_benchmark_index_symbol",TODAY()),$B41&lt;&gt;"etf",_xll.YCI("M:" &amp; $A41, "ycharts_benchmark_index_symbol",TODAY()))</f>
        <v>#VALUE!</v>
      </c>
      <c r="F41" t="e" cm="1">
        <f t="array" aca="1" ref="F41" ca="1">_xlfn.IFS($B41="etf", _xll.YCI($E41, "security_name",TODAY()),$B41&lt;&gt;"etf",_xll.YCI( $E41, "security_name",TODAY()))</f>
        <v>#VALUE!</v>
      </c>
      <c r="G41" t="e" cm="1">
        <f t="array" aca="1" ref="G41" ca="1">_xlfn.IFS($B41="etf", _xll.YCI($A41, "prospectus_benchmark_index",TODAY()),$B41&lt;&gt;"etf",_xll.YCI("M:" &amp; $A41, "prospectus_benchmark_index",TODAY()))</f>
        <v>#VALUE!</v>
      </c>
      <c r="H41" s="2" t="e" cm="1">
        <f t="array" aca="1" ref="H41" ca="1">_xlfn.IFS($B41="etf", _xll.YCP($A41,"quarterly_total_return",'Database Query'!$E$14),$B41&lt;&gt;"etf",_xll.YCP("M:"&amp; $A41,"quarterly_total_return",'Database Query'!$E$14))</f>
        <v>#VALUE!</v>
      </c>
      <c r="I41" s="2" t="e" cm="1">
        <f t="array" aca="1" ref="I41" ca="1">-_xll.YCP($E41,"quarterly_return",'Database Query'!$E$14)+H41</f>
        <v>#VALUE!</v>
      </c>
      <c r="J41" s="2" t="e" cm="1">
        <f t="array" aca="1" ref="J41" ca="1">_xlfn.IFS($B41="etf", _xll.YCP($A41,"ytd_total_return",'Database Query'!$E$14),$B41&lt;&gt;"etf",_xll.YCP("M:"&amp; $A41,"ytd_total_return",'Database Query'!$E$14))</f>
        <v>#VALUE!</v>
      </c>
      <c r="K41" s="2" t="e" cm="1">
        <f t="array" aca="1" ref="K41" ca="1">-_xll.YCP($E41,"ytd_return",'Database Query'!$E$14)+J41</f>
        <v>#VALUE!</v>
      </c>
      <c r="L41" s="2" t="e" cm="1">
        <f t="array" aca="1" ref="L41" ca="1">_xlfn.IFS($B41="etf", _xll.YCP($A41,"one_year_total_return",'Database Query'!$E$14),$B41&lt;&gt;"etf",_xll.YCP("M:"&amp; $A41,"one_year_total_return",'Database Query'!$E$14))</f>
        <v>#VALUE!</v>
      </c>
      <c r="M41" s="2" t="e" cm="1">
        <f t="array" aca="1" ref="M41" ca="1">-_xll.YCP($E41,"one_year_return",'Database Query'!$E$14)+L41</f>
        <v>#VALUE!</v>
      </c>
      <c r="N41" s="2" t="e" cm="1">
        <f t="array" aca="1" ref="N41" ca="1">_xlfn.IFS($B41="etf", _xll.YCP($A41,"three_year_total_return",'Database Query'!$E$14),$B41&lt;&gt;"etf",_xll.YCP("M:"&amp; $A41,"three_year_total_return",'Database Query'!$E$14))</f>
        <v>#VALUE!</v>
      </c>
      <c r="O41" s="2" t="e" cm="1">
        <f t="array" aca="1" ref="O41" ca="1">-_xll.YCP($E41,"three_year_return",'Database Query'!$E$14)+N41</f>
        <v>#VALUE!</v>
      </c>
      <c r="P41" s="2" t="e" cm="1">
        <f t="array" aca="1" ref="P41" ca="1">_xlfn.IFS($B41="etf", _xll.YCP($A41,"five_year_total_return",'Database Query'!$E$14),$B41&lt;&gt;"etf",_xll.YCP("M:"&amp; $A41,"five_year_total_return",'Database Query'!$E$14))</f>
        <v>#VALUE!</v>
      </c>
      <c r="Q41" s="2" t="e" cm="1">
        <f t="array" aca="1" ref="Q41" ca="1">-_xll.YCP($E41,"five_year_return",'Database Query'!$E$14)+P41</f>
        <v>#VALUE!</v>
      </c>
    </row>
    <row r="42" spans="1:17" x14ac:dyDescent="0.25">
      <c r="A42" t="str">
        <v>COSSX</v>
      </c>
      <c r="B42" t="e" cm="1">
        <f t="array" aca="1" ref="B42" ca="1">_xll.YCI(A42,"detailed_security_type",TODAY())</f>
        <v>#VALUE!</v>
      </c>
      <c r="C42" t="e" cm="1">
        <f t="array" aca="1" ref="C42" ca="1">_xlfn.IFS(B42="etf", _xll.YCI(A42, "security_name",TODAY()),B42&lt;&gt;"etf",_xll.YCI("M:" &amp; A42, "security_name",TODAY()))</f>
        <v>#VALUE!</v>
      </c>
      <c r="D42" t="e" cm="1">
        <f t="array" aca="1" ref="D42" ca="1">_xlfn.IFS($B42="etf", _xll.YCI($A42, "ycharts_benchmark_category",TODAY()),$B42&lt;&gt;"etf",_xll.YCI("M:" &amp; $A42, "ycharts_benchmark_category",TODAY()))</f>
        <v>#VALUE!</v>
      </c>
      <c r="E42" t="e" cm="1">
        <f t="array" aca="1" ref="E42" ca="1">_xlfn.IFS($B42="etf", _xll.YCI($A42, "ycharts_benchmark_index_symbol",TODAY()),$B42&lt;&gt;"etf",_xll.YCI("M:" &amp; $A42, "ycharts_benchmark_index_symbol",TODAY()))</f>
        <v>#VALUE!</v>
      </c>
      <c r="F42" t="e" cm="1">
        <f t="array" aca="1" ref="F42" ca="1">_xlfn.IFS($B42="etf", _xll.YCI($E42, "security_name",TODAY()),$B42&lt;&gt;"etf",_xll.YCI( $E42, "security_name",TODAY()))</f>
        <v>#VALUE!</v>
      </c>
      <c r="G42" t="e" cm="1">
        <f t="array" aca="1" ref="G42" ca="1">_xlfn.IFS($B42="etf", _xll.YCI($A42, "prospectus_benchmark_index",TODAY()),$B42&lt;&gt;"etf",_xll.YCI("M:" &amp; $A42, "prospectus_benchmark_index",TODAY()))</f>
        <v>#VALUE!</v>
      </c>
      <c r="H42" s="2" t="e" cm="1">
        <f t="array" aca="1" ref="H42" ca="1">_xlfn.IFS($B42="etf", _xll.YCP($A42,"quarterly_total_return",'Database Query'!$E$14),$B42&lt;&gt;"etf",_xll.YCP("M:"&amp; $A42,"quarterly_total_return",'Database Query'!$E$14))</f>
        <v>#VALUE!</v>
      </c>
      <c r="I42" s="2" t="e" cm="1">
        <f t="array" aca="1" ref="I42" ca="1">-_xll.YCP($E42,"quarterly_return",'Database Query'!$E$14)+H42</f>
        <v>#VALUE!</v>
      </c>
      <c r="J42" s="2" t="e" cm="1">
        <f t="array" aca="1" ref="J42" ca="1">_xlfn.IFS($B42="etf", _xll.YCP($A42,"ytd_total_return",'Database Query'!$E$14),$B42&lt;&gt;"etf",_xll.YCP("M:"&amp; $A42,"ytd_total_return",'Database Query'!$E$14))</f>
        <v>#VALUE!</v>
      </c>
      <c r="K42" s="2" t="e" cm="1">
        <f t="array" aca="1" ref="K42" ca="1">-_xll.YCP($E42,"ytd_return",'Database Query'!$E$14)+J42</f>
        <v>#VALUE!</v>
      </c>
      <c r="L42" s="2" t="e" cm="1">
        <f t="array" aca="1" ref="L42" ca="1">_xlfn.IFS($B42="etf", _xll.YCP($A42,"one_year_total_return",'Database Query'!$E$14),$B42&lt;&gt;"etf",_xll.YCP("M:"&amp; $A42,"one_year_total_return",'Database Query'!$E$14))</f>
        <v>#VALUE!</v>
      </c>
      <c r="M42" s="2" t="e" cm="1">
        <f t="array" aca="1" ref="M42" ca="1">-_xll.YCP($E42,"one_year_return",'Database Query'!$E$14)+L42</f>
        <v>#VALUE!</v>
      </c>
      <c r="N42" s="2" t="e" cm="1">
        <f t="array" aca="1" ref="N42" ca="1">_xlfn.IFS($B42="etf", _xll.YCP($A42,"three_year_total_return",'Database Query'!$E$14),$B42&lt;&gt;"etf",_xll.YCP("M:"&amp; $A42,"three_year_total_return",'Database Query'!$E$14))</f>
        <v>#VALUE!</v>
      </c>
      <c r="O42" s="2" t="e" cm="1">
        <f t="array" aca="1" ref="O42" ca="1">-_xll.YCP($E42,"three_year_return",'Database Query'!$E$14)+N42</f>
        <v>#VALUE!</v>
      </c>
      <c r="P42" s="2" t="e" cm="1">
        <f t="array" aca="1" ref="P42" ca="1">_xlfn.IFS($B42="etf", _xll.YCP($A42,"five_year_total_return",'Database Query'!$E$14),$B42&lt;&gt;"etf",_xll.YCP("M:"&amp; $A42,"five_year_total_return",'Database Query'!$E$14))</f>
        <v>#VALUE!</v>
      </c>
      <c r="Q42" s="2" t="e" cm="1">
        <f t="array" aca="1" ref="Q42" ca="1">-_xll.YCP($E42,"five_year_return",'Database Query'!$E$14)+P42</f>
        <v>#VALUE!</v>
      </c>
    </row>
    <row r="43" spans="1:17" x14ac:dyDescent="0.25">
      <c r="A43" t="str">
        <v>COVAX</v>
      </c>
      <c r="B43" t="e" cm="1">
        <f t="array" aca="1" ref="B43" ca="1">_xll.YCI(A43,"detailed_security_type",TODAY())</f>
        <v>#VALUE!</v>
      </c>
      <c r="C43" t="e" cm="1">
        <f t="array" aca="1" ref="C43" ca="1">_xlfn.IFS(B43="etf", _xll.YCI(A43, "security_name",TODAY()),B43&lt;&gt;"etf",_xll.YCI("M:" &amp; A43, "security_name",TODAY()))</f>
        <v>#VALUE!</v>
      </c>
      <c r="D43" t="e" cm="1">
        <f t="array" aca="1" ref="D43" ca="1">_xlfn.IFS($B43="etf", _xll.YCI($A43, "ycharts_benchmark_category",TODAY()),$B43&lt;&gt;"etf",_xll.YCI("M:" &amp; $A43, "ycharts_benchmark_category",TODAY()))</f>
        <v>#VALUE!</v>
      </c>
      <c r="E43" t="e" cm="1">
        <f t="array" aca="1" ref="E43" ca="1">_xlfn.IFS($B43="etf", _xll.YCI($A43, "ycharts_benchmark_index_symbol",TODAY()),$B43&lt;&gt;"etf",_xll.YCI("M:" &amp; $A43, "ycharts_benchmark_index_symbol",TODAY()))</f>
        <v>#VALUE!</v>
      </c>
      <c r="F43" t="e" cm="1">
        <f t="array" aca="1" ref="F43" ca="1">_xlfn.IFS($B43="etf", _xll.YCI($E43, "security_name",TODAY()),$B43&lt;&gt;"etf",_xll.YCI( $E43, "security_name",TODAY()))</f>
        <v>#VALUE!</v>
      </c>
      <c r="G43" t="e" cm="1">
        <f t="array" aca="1" ref="G43" ca="1">_xlfn.IFS($B43="etf", _xll.YCI($A43, "prospectus_benchmark_index",TODAY()),$B43&lt;&gt;"etf",_xll.YCI("M:" &amp; $A43, "prospectus_benchmark_index",TODAY()))</f>
        <v>#VALUE!</v>
      </c>
      <c r="H43" s="2" t="e" cm="1">
        <f t="array" aca="1" ref="H43" ca="1">_xlfn.IFS($B43="etf", _xll.YCP($A43,"quarterly_total_return",'Database Query'!$E$14),$B43&lt;&gt;"etf",_xll.YCP("M:"&amp; $A43,"quarterly_total_return",'Database Query'!$E$14))</f>
        <v>#VALUE!</v>
      </c>
      <c r="I43" s="2" t="e" cm="1">
        <f t="array" aca="1" ref="I43" ca="1">-_xll.YCP($E43,"quarterly_return",'Database Query'!$E$14)+H43</f>
        <v>#VALUE!</v>
      </c>
      <c r="J43" s="2" t="e" cm="1">
        <f t="array" aca="1" ref="J43" ca="1">_xlfn.IFS($B43="etf", _xll.YCP($A43,"ytd_total_return",'Database Query'!$E$14),$B43&lt;&gt;"etf",_xll.YCP("M:"&amp; $A43,"ytd_total_return",'Database Query'!$E$14))</f>
        <v>#VALUE!</v>
      </c>
      <c r="K43" s="2" t="e" cm="1">
        <f t="array" aca="1" ref="K43" ca="1">-_xll.YCP($E43,"ytd_return",'Database Query'!$E$14)+J43</f>
        <v>#VALUE!</v>
      </c>
      <c r="L43" s="2" t="e" cm="1">
        <f t="array" aca="1" ref="L43" ca="1">_xlfn.IFS($B43="etf", _xll.YCP($A43,"one_year_total_return",'Database Query'!$E$14),$B43&lt;&gt;"etf",_xll.YCP("M:"&amp; $A43,"one_year_total_return",'Database Query'!$E$14))</f>
        <v>#VALUE!</v>
      </c>
      <c r="M43" s="2" t="e" cm="1">
        <f t="array" aca="1" ref="M43" ca="1">-_xll.YCP($E43,"one_year_return",'Database Query'!$E$14)+L43</f>
        <v>#VALUE!</v>
      </c>
      <c r="N43" s="2" t="e" cm="1">
        <f t="array" aca="1" ref="N43" ca="1">_xlfn.IFS($B43="etf", _xll.YCP($A43,"three_year_total_return",'Database Query'!$E$14),$B43&lt;&gt;"etf",_xll.YCP("M:"&amp; $A43,"three_year_total_return",'Database Query'!$E$14))</f>
        <v>#VALUE!</v>
      </c>
      <c r="O43" s="2" t="e" cm="1">
        <f t="array" aca="1" ref="O43" ca="1">-_xll.YCP($E43,"three_year_return",'Database Query'!$E$14)+N43</f>
        <v>#VALUE!</v>
      </c>
      <c r="P43" s="2" t="e" cm="1">
        <f t="array" aca="1" ref="P43" ca="1">_xlfn.IFS($B43="etf", _xll.YCP($A43,"five_year_total_return",'Database Query'!$E$14),$B43&lt;&gt;"etf",_xll.YCP("M:"&amp; $A43,"five_year_total_return",'Database Query'!$E$14))</f>
        <v>#VALUE!</v>
      </c>
      <c r="Q43" s="2" t="e" cm="1">
        <f t="array" aca="1" ref="Q43" ca="1">-_xll.YCP($E43,"five_year_return",'Database Query'!$E$14)+P43</f>
        <v>#VALUE!</v>
      </c>
    </row>
    <row r="44" spans="1:17" x14ac:dyDescent="0.25">
      <c r="A44" t="str">
        <v>CRDIX</v>
      </c>
      <c r="B44" t="e" cm="1">
        <f t="array" aca="1" ref="B44" ca="1">_xll.YCI(A44,"detailed_security_type",TODAY())</f>
        <v>#VALUE!</v>
      </c>
      <c r="C44" t="e" cm="1">
        <f t="array" aca="1" ref="C44" ca="1">_xlfn.IFS(B44="etf", _xll.YCI(A44, "security_name",TODAY()),B44&lt;&gt;"etf",_xll.YCI("M:" &amp; A44, "security_name",TODAY()))</f>
        <v>#VALUE!</v>
      </c>
      <c r="D44" t="e" cm="1">
        <f t="array" aca="1" ref="D44" ca="1">_xlfn.IFS($B44="etf", _xll.YCI($A44, "ycharts_benchmark_category",TODAY()),$B44&lt;&gt;"etf",_xll.YCI("M:" &amp; $A44, "ycharts_benchmark_category",TODAY()))</f>
        <v>#VALUE!</v>
      </c>
      <c r="E44" t="e" cm="1">
        <f t="array" aca="1" ref="E44" ca="1">_xlfn.IFS($B44="etf", _xll.YCI($A44, "ycharts_benchmark_index_symbol",TODAY()),$B44&lt;&gt;"etf",_xll.YCI("M:" &amp; $A44, "ycharts_benchmark_index_symbol",TODAY()))</f>
        <v>#VALUE!</v>
      </c>
      <c r="F44" t="e" cm="1">
        <f t="array" aca="1" ref="F44" ca="1">_xlfn.IFS($B44="etf", _xll.YCI($E44, "security_name",TODAY()),$B44&lt;&gt;"etf",_xll.YCI( $E44, "security_name",TODAY()))</f>
        <v>#VALUE!</v>
      </c>
      <c r="G44" t="e" cm="1">
        <f t="array" aca="1" ref="G44" ca="1">_xlfn.IFS($B44="etf", _xll.YCI($A44, "prospectus_benchmark_index",TODAY()),$B44&lt;&gt;"etf",_xll.YCI("M:" &amp; $A44, "prospectus_benchmark_index",TODAY()))</f>
        <v>#VALUE!</v>
      </c>
      <c r="H44" s="2" t="e" cm="1">
        <f t="array" aca="1" ref="H44" ca="1">_xlfn.IFS($B44="etf", _xll.YCP($A44,"quarterly_total_return",'Database Query'!$E$14),$B44&lt;&gt;"etf",_xll.YCP("M:"&amp; $A44,"quarterly_total_return",'Database Query'!$E$14))</f>
        <v>#VALUE!</v>
      </c>
      <c r="I44" s="2" t="e" cm="1">
        <f t="array" aca="1" ref="I44" ca="1">-_xll.YCP($E44,"quarterly_return",'Database Query'!$E$14)+H44</f>
        <v>#VALUE!</v>
      </c>
      <c r="J44" s="2" t="e" cm="1">
        <f t="array" aca="1" ref="J44" ca="1">_xlfn.IFS($B44="etf", _xll.YCP($A44,"ytd_total_return",'Database Query'!$E$14),$B44&lt;&gt;"etf",_xll.YCP("M:"&amp; $A44,"ytd_total_return",'Database Query'!$E$14))</f>
        <v>#VALUE!</v>
      </c>
      <c r="K44" s="2" t="e" cm="1">
        <f t="array" aca="1" ref="K44" ca="1">-_xll.YCP($E44,"ytd_return",'Database Query'!$E$14)+J44</f>
        <v>#VALUE!</v>
      </c>
      <c r="L44" s="2" t="e" cm="1">
        <f t="array" aca="1" ref="L44" ca="1">_xlfn.IFS($B44="etf", _xll.YCP($A44,"one_year_total_return",'Database Query'!$E$14),$B44&lt;&gt;"etf",_xll.YCP("M:"&amp; $A44,"one_year_total_return",'Database Query'!$E$14))</f>
        <v>#VALUE!</v>
      </c>
      <c r="M44" s="2" t="e" cm="1">
        <f t="array" aca="1" ref="M44" ca="1">-_xll.YCP($E44,"one_year_return",'Database Query'!$E$14)+L44</f>
        <v>#VALUE!</v>
      </c>
      <c r="N44" s="2" t="e" cm="1">
        <f t="array" aca="1" ref="N44" ca="1">_xlfn.IFS($B44="etf", _xll.YCP($A44,"three_year_total_return",'Database Query'!$E$14),$B44&lt;&gt;"etf",_xll.YCP("M:"&amp; $A44,"three_year_total_return",'Database Query'!$E$14))</f>
        <v>#VALUE!</v>
      </c>
      <c r="O44" s="2" t="e" cm="1">
        <f t="array" aca="1" ref="O44" ca="1">-_xll.YCP($E44,"three_year_return",'Database Query'!$E$14)+N44</f>
        <v>#VALUE!</v>
      </c>
      <c r="P44" s="2" t="e" cm="1">
        <f t="array" aca="1" ref="P44" ca="1">_xlfn.IFS($B44="etf", _xll.YCP($A44,"five_year_total_return",'Database Query'!$E$14),$B44&lt;&gt;"etf",_xll.YCP("M:"&amp; $A44,"five_year_total_return",'Database Query'!$E$14))</f>
        <v>#VALUE!</v>
      </c>
      <c r="Q44" s="2" t="e" cm="1">
        <f t="array" aca="1" ref="Q44" ca="1">-_xll.YCP($E44,"five_year_return",'Database Query'!$E$14)+P44</f>
        <v>#VALUE!</v>
      </c>
    </row>
    <row r="45" spans="1:17" x14ac:dyDescent="0.25">
      <c r="A45" t="str">
        <v>CRRRX</v>
      </c>
      <c r="B45" t="e" cm="1">
        <f t="array" aca="1" ref="B45" ca="1">_xll.YCI(A45,"detailed_security_type",TODAY())</f>
        <v>#VALUE!</v>
      </c>
      <c r="C45" t="e" cm="1">
        <f t="array" aca="1" ref="C45" ca="1">_xlfn.IFS(B45="etf", _xll.YCI(A45, "security_name",TODAY()),B45&lt;&gt;"etf",_xll.YCI("M:" &amp; A45, "security_name",TODAY()))</f>
        <v>#VALUE!</v>
      </c>
      <c r="D45" t="e" cm="1">
        <f t="array" aca="1" ref="D45" ca="1">_xlfn.IFS($B45="etf", _xll.YCI($A45, "ycharts_benchmark_category",TODAY()),$B45&lt;&gt;"etf",_xll.YCI("M:" &amp; $A45, "ycharts_benchmark_category",TODAY()))</f>
        <v>#VALUE!</v>
      </c>
      <c r="E45" t="e" cm="1">
        <f t="array" aca="1" ref="E45" ca="1">_xlfn.IFS($B45="etf", _xll.YCI($A45, "ycharts_benchmark_index_symbol",TODAY()),$B45&lt;&gt;"etf",_xll.YCI("M:" &amp; $A45, "ycharts_benchmark_index_symbol",TODAY()))</f>
        <v>#VALUE!</v>
      </c>
      <c r="F45" t="e" cm="1">
        <f t="array" aca="1" ref="F45" ca="1">_xlfn.IFS($B45="etf", _xll.YCI($E45, "security_name",TODAY()),$B45&lt;&gt;"etf",_xll.YCI( $E45, "security_name",TODAY()))</f>
        <v>#VALUE!</v>
      </c>
      <c r="G45" t="e" cm="1">
        <f t="array" aca="1" ref="G45" ca="1">_xlfn.IFS($B45="etf", _xll.YCI($A45, "prospectus_benchmark_index",TODAY()),$B45&lt;&gt;"etf",_xll.YCI("M:" &amp; $A45, "prospectus_benchmark_index",TODAY()))</f>
        <v>#VALUE!</v>
      </c>
      <c r="H45" s="2" t="e" cm="1">
        <f t="array" aca="1" ref="H45" ca="1">_xlfn.IFS($B45="etf", _xll.YCP($A45,"quarterly_total_return",'Database Query'!$E$14),$B45&lt;&gt;"etf",_xll.YCP("M:"&amp; $A45,"quarterly_total_return",'Database Query'!$E$14))</f>
        <v>#VALUE!</v>
      </c>
      <c r="I45" s="2" t="e" cm="1">
        <f t="array" aca="1" ref="I45" ca="1">-_xll.YCP($E45,"quarterly_return",'Database Query'!$E$14)+H45</f>
        <v>#VALUE!</v>
      </c>
      <c r="J45" s="2" t="e" cm="1">
        <f t="array" aca="1" ref="J45" ca="1">_xlfn.IFS($B45="etf", _xll.YCP($A45,"ytd_total_return",'Database Query'!$E$14),$B45&lt;&gt;"etf",_xll.YCP("M:"&amp; $A45,"ytd_total_return",'Database Query'!$E$14))</f>
        <v>#VALUE!</v>
      </c>
      <c r="K45" s="2" t="e" cm="1">
        <f t="array" aca="1" ref="K45" ca="1">-_xll.YCP($E45,"ytd_return",'Database Query'!$E$14)+J45</f>
        <v>#VALUE!</v>
      </c>
      <c r="L45" s="2" t="e" cm="1">
        <f t="array" aca="1" ref="L45" ca="1">_xlfn.IFS($B45="etf", _xll.YCP($A45,"one_year_total_return",'Database Query'!$E$14),$B45&lt;&gt;"etf",_xll.YCP("M:"&amp; $A45,"one_year_total_return",'Database Query'!$E$14))</f>
        <v>#VALUE!</v>
      </c>
      <c r="M45" s="2" t="e" cm="1">
        <f t="array" aca="1" ref="M45" ca="1">-_xll.YCP($E45,"one_year_return",'Database Query'!$E$14)+L45</f>
        <v>#VALUE!</v>
      </c>
      <c r="N45" s="2" t="e" cm="1">
        <f t="array" aca="1" ref="N45" ca="1">_xlfn.IFS($B45="etf", _xll.YCP($A45,"three_year_total_return",'Database Query'!$E$14),$B45&lt;&gt;"etf",_xll.YCP("M:"&amp; $A45,"three_year_total_return",'Database Query'!$E$14))</f>
        <v>#VALUE!</v>
      </c>
      <c r="O45" s="2" t="e" cm="1">
        <f t="array" aca="1" ref="O45" ca="1">-_xll.YCP($E45,"three_year_return",'Database Query'!$E$14)+N45</f>
        <v>#VALUE!</v>
      </c>
      <c r="P45" s="2" t="e" cm="1">
        <f t="array" aca="1" ref="P45" ca="1">_xlfn.IFS($B45="etf", _xll.YCP($A45,"five_year_total_return",'Database Query'!$E$14),$B45&lt;&gt;"etf",_xll.YCP("M:"&amp; $A45,"five_year_total_return",'Database Query'!$E$14))</f>
        <v>#VALUE!</v>
      </c>
      <c r="Q45" s="2" t="e" cm="1">
        <f t="array" aca="1" ref="Q45" ca="1">-_xll.YCP($E45,"five_year_return",'Database Query'!$E$14)+P45</f>
        <v>#VALUE!</v>
      </c>
    </row>
    <row r="46" spans="1:17" x14ac:dyDescent="0.25">
      <c r="A46" t="str">
        <v>CRRYX</v>
      </c>
      <c r="B46" t="e" cm="1">
        <f t="array" aca="1" ref="B46" ca="1">_xll.YCI(A46,"detailed_security_type",TODAY())</f>
        <v>#VALUE!</v>
      </c>
      <c r="C46" t="e" cm="1">
        <f t="array" aca="1" ref="C46" ca="1">_xlfn.IFS(B46="etf", _xll.YCI(A46, "security_name",TODAY()),B46&lt;&gt;"etf",_xll.YCI("M:" &amp; A46, "security_name",TODAY()))</f>
        <v>#VALUE!</v>
      </c>
      <c r="D46" t="e" cm="1">
        <f t="array" aca="1" ref="D46" ca="1">_xlfn.IFS($B46="etf", _xll.YCI($A46, "ycharts_benchmark_category",TODAY()),$B46&lt;&gt;"etf",_xll.YCI("M:" &amp; $A46, "ycharts_benchmark_category",TODAY()))</f>
        <v>#VALUE!</v>
      </c>
      <c r="E46" t="e" cm="1">
        <f t="array" aca="1" ref="E46" ca="1">_xlfn.IFS($B46="etf", _xll.YCI($A46, "ycharts_benchmark_index_symbol",TODAY()),$B46&lt;&gt;"etf",_xll.YCI("M:" &amp; $A46, "ycharts_benchmark_index_symbol",TODAY()))</f>
        <v>#VALUE!</v>
      </c>
      <c r="F46" t="e" cm="1">
        <f t="array" aca="1" ref="F46" ca="1">_xlfn.IFS($B46="etf", _xll.YCI($E46, "security_name",TODAY()),$B46&lt;&gt;"etf",_xll.YCI( $E46, "security_name",TODAY()))</f>
        <v>#VALUE!</v>
      </c>
      <c r="G46" t="e" cm="1">
        <f t="array" aca="1" ref="G46" ca="1">_xlfn.IFS($B46="etf", _xll.YCI($A46, "prospectus_benchmark_index",TODAY()),$B46&lt;&gt;"etf",_xll.YCI("M:" &amp; $A46, "prospectus_benchmark_index",TODAY()))</f>
        <v>#VALUE!</v>
      </c>
      <c r="H46" s="2" t="e" cm="1">
        <f t="array" aca="1" ref="H46" ca="1">_xlfn.IFS($B46="etf", _xll.YCP($A46,"quarterly_total_return",'Database Query'!$E$14),$B46&lt;&gt;"etf",_xll.YCP("M:"&amp; $A46,"quarterly_total_return",'Database Query'!$E$14))</f>
        <v>#VALUE!</v>
      </c>
      <c r="I46" s="2" t="e" cm="1">
        <f t="array" aca="1" ref="I46" ca="1">-_xll.YCP($E46,"quarterly_return",'Database Query'!$E$14)+H46</f>
        <v>#VALUE!</v>
      </c>
      <c r="J46" s="2" t="e" cm="1">
        <f t="array" aca="1" ref="J46" ca="1">_xlfn.IFS($B46="etf", _xll.YCP($A46,"ytd_total_return",'Database Query'!$E$14),$B46&lt;&gt;"etf",_xll.YCP("M:"&amp; $A46,"ytd_total_return",'Database Query'!$E$14))</f>
        <v>#VALUE!</v>
      </c>
      <c r="K46" s="2" t="e" cm="1">
        <f t="array" aca="1" ref="K46" ca="1">-_xll.YCP($E46,"ytd_return",'Database Query'!$E$14)+J46</f>
        <v>#VALUE!</v>
      </c>
      <c r="L46" s="2" t="e" cm="1">
        <f t="array" aca="1" ref="L46" ca="1">_xlfn.IFS($B46="etf", _xll.YCP($A46,"one_year_total_return",'Database Query'!$E$14),$B46&lt;&gt;"etf",_xll.YCP("M:"&amp; $A46,"one_year_total_return",'Database Query'!$E$14))</f>
        <v>#VALUE!</v>
      </c>
      <c r="M46" s="2" t="e" cm="1">
        <f t="array" aca="1" ref="M46" ca="1">-_xll.YCP($E46,"one_year_return",'Database Query'!$E$14)+L46</f>
        <v>#VALUE!</v>
      </c>
      <c r="N46" s="2" t="e" cm="1">
        <f t="array" aca="1" ref="N46" ca="1">_xlfn.IFS($B46="etf", _xll.YCP($A46,"three_year_total_return",'Database Query'!$E$14),$B46&lt;&gt;"etf",_xll.YCP("M:"&amp; $A46,"three_year_total_return",'Database Query'!$E$14))</f>
        <v>#VALUE!</v>
      </c>
      <c r="O46" s="2" t="e" cm="1">
        <f t="array" aca="1" ref="O46" ca="1">-_xll.YCP($E46,"three_year_return",'Database Query'!$E$14)+N46</f>
        <v>#VALUE!</v>
      </c>
      <c r="P46" s="2" t="e" cm="1">
        <f t="array" aca="1" ref="P46" ca="1">_xlfn.IFS($B46="etf", _xll.YCP($A46,"five_year_total_return",'Database Query'!$E$14),$B46&lt;&gt;"etf",_xll.YCP("M:"&amp; $A46,"five_year_total_return",'Database Query'!$E$14))</f>
        <v>#VALUE!</v>
      </c>
      <c r="Q46" s="2" t="e" cm="1">
        <f t="array" aca="1" ref="Q46" ca="1">-_xll.YCP($E46,"five_year_return",'Database Query'!$E$14)+P46</f>
        <v>#VALUE!</v>
      </c>
    </row>
    <row r="47" spans="1:17" x14ac:dyDescent="0.25">
      <c r="A47" t="str">
        <v>CYBAX</v>
      </c>
      <c r="B47" t="e" cm="1">
        <f t="array" aca="1" ref="B47" ca="1">_xll.YCI(A47,"detailed_security_type",TODAY())</f>
        <v>#VALUE!</v>
      </c>
      <c r="C47" t="e" cm="1">
        <f t="array" aca="1" ref="C47" ca="1">_xlfn.IFS(B47="etf", _xll.YCI(A47, "security_name",TODAY()),B47&lt;&gt;"etf",_xll.YCI("M:" &amp; A47, "security_name",TODAY()))</f>
        <v>#VALUE!</v>
      </c>
      <c r="D47" t="e" cm="1">
        <f t="array" aca="1" ref="D47" ca="1">_xlfn.IFS($B47="etf", _xll.YCI($A47, "ycharts_benchmark_category",TODAY()),$B47&lt;&gt;"etf",_xll.YCI("M:" &amp; $A47, "ycharts_benchmark_category",TODAY()))</f>
        <v>#VALUE!</v>
      </c>
      <c r="E47" t="e" cm="1">
        <f t="array" aca="1" ref="E47" ca="1">_xlfn.IFS($B47="etf", _xll.YCI($A47, "ycharts_benchmark_index_symbol",TODAY()),$B47&lt;&gt;"etf",_xll.YCI("M:" &amp; $A47, "ycharts_benchmark_index_symbol",TODAY()))</f>
        <v>#VALUE!</v>
      </c>
      <c r="F47" t="e" cm="1">
        <f t="array" aca="1" ref="F47" ca="1">_xlfn.IFS($B47="etf", _xll.YCI($E47, "security_name",TODAY()),$B47&lt;&gt;"etf",_xll.YCI( $E47, "security_name",TODAY()))</f>
        <v>#VALUE!</v>
      </c>
      <c r="G47" t="e" cm="1">
        <f t="array" aca="1" ref="G47" ca="1">_xlfn.IFS($B47="etf", _xll.YCI($A47, "prospectus_benchmark_index",TODAY()),$B47&lt;&gt;"etf",_xll.YCI("M:" &amp; $A47, "prospectus_benchmark_index",TODAY()))</f>
        <v>#VALUE!</v>
      </c>
      <c r="H47" s="2" t="e" cm="1">
        <f t="array" aca="1" ref="H47" ca="1">_xlfn.IFS($B47="etf", _xll.YCP($A47,"quarterly_total_return",'Database Query'!$E$14),$B47&lt;&gt;"etf",_xll.YCP("M:"&amp; $A47,"quarterly_total_return",'Database Query'!$E$14))</f>
        <v>#VALUE!</v>
      </c>
      <c r="I47" s="2" t="e" cm="1">
        <f t="array" aca="1" ref="I47" ca="1">-_xll.YCP($E47,"quarterly_return",'Database Query'!$E$14)+H47</f>
        <v>#VALUE!</v>
      </c>
      <c r="J47" s="2" t="e" cm="1">
        <f t="array" aca="1" ref="J47" ca="1">_xlfn.IFS($B47="etf", _xll.YCP($A47,"ytd_total_return",'Database Query'!$E$14),$B47&lt;&gt;"etf",_xll.YCP("M:"&amp; $A47,"ytd_total_return",'Database Query'!$E$14))</f>
        <v>#VALUE!</v>
      </c>
      <c r="K47" s="2" t="e" cm="1">
        <f t="array" aca="1" ref="K47" ca="1">-_xll.YCP($E47,"ytd_return",'Database Query'!$E$14)+J47</f>
        <v>#VALUE!</v>
      </c>
      <c r="L47" s="2" t="e" cm="1">
        <f t="array" aca="1" ref="L47" ca="1">_xlfn.IFS($B47="etf", _xll.YCP($A47,"one_year_total_return",'Database Query'!$E$14),$B47&lt;&gt;"etf",_xll.YCP("M:"&amp; $A47,"one_year_total_return",'Database Query'!$E$14))</f>
        <v>#VALUE!</v>
      </c>
      <c r="M47" s="2" t="e" cm="1">
        <f t="array" aca="1" ref="M47" ca="1">-_xll.YCP($E47,"one_year_return",'Database Query'!$E$14)+L47</f>
        <v>#VALUE!</v>
      </c>
      <c r="N47" s="2" t="e" cm="1">
        <f t="array" aca="1" ref="N47" ca="1">_xlfn.IFS($B47="etf", _xll.YCP($A47,"three_year_total_return",'Database Query'!$E$14),$B47&lt;&gt;"etf",_xll.YCP("M:"&amp; $A47,"three_year_total_return",'Database Query'!$E$14))</f>
        <v>#VALUE!</v>
      </c>
      <c r="O47" s="2" t="e" cm="1">
        <f t="array" aca="1" ref="O47" ca="1">-_xll.YCP($E47,"three_year_return",'Database Query'!$E$14)+N47</f>
        <v>#VALUE!</v>
      </c>
      <c r="P47" s="2" t="e" cm="1">
        <f t="array" aca="1" ref="P47" ca="1">_xlfn.IFS($B47="etf", _xll.YCP($A47,"five_year_total_return",'Database Query'!$E$14),$B47&lt;&gt;"etf",_xll.YCP("M:"&amp; $A47,"five_year_total_return",'Database Query'!$E$14))</f>
        <v>#VALUE!</v>
      </c>
      <c r="Q47" s="2" t="e" cm="1">
        <f t="array" aca="1" ref="Q47" ca="1">-_xll.YCP($E47,"five_year_return",'Database Query'!$E$14)+P47</f>
        <v>#VALUE!</v>
      </c>
    </row>
    <row r="48" spans="1:17" x14ac:dyDescent="0.25">
      <c r="A48" t="str">
        <v>DFGBX</v>
      </c>
      <c r="B48" t="e" cm="1">
        <f t="array" aca="1" ref="B48" ca="1">_xll.YCI(A48,"detailed_security_type",TODAY())</f>
        <v>#VALUE!</v>
      </c>
      <c r="C48" t="e" cm="1">
        <f t="array" aca="1" ref="C48" ca="1">_xlfn.IFS(B48="etf", _xll.YCI(A48, "security_name",TODAY()),B48&lt;&gt;"etf",_xll.YCI("M:" &amp; A48, "security_name",TODAY()))</f>
        <v>#VALUE!</v>
      </c>
      <c r="D48" t="e" cm="1">
        <f t="array" aca="1" ref="D48" ca="1">_xlfn.IFS($B48="etf", _xll.YCI($A48, "ycharts_benchmark_category",TODAY()),$B48&lt;&gt;"etf",_xll.YCI("M:" &amp; $A48, "ycharts_benchmark_category",TODAY()))</f>
        <v>#VALUE!</v>
      </c>
      <c r="E48" t="e" cm="1">
        <f t="array" aca="1" ref="E48" ca="1">_xlfn.IFS($B48="etf", _xll.YCI($A48, "ycharts_benchmark_index_symbol",TODAY()),$B48&lt;&gt;"etf",_xll.YCI("M:" &amp; $A48, "ycharts_benchmark_index_symbol",TODAY()))</f>
        <v>#VALUE!</v>
      </c>
      <c r="F48" t="e" cm="1">
        <f t="array" aca="1" ref="F48" ca="1">_xlfn.IFS($B48="etf", _xll.YCI($E48, "security_name",TODAY()),$B48&lt;&gt;"etf",_xll.YCI( $E48, "security_name",TODAY()))</f>
        <v>#VALUE!</v>
      </c>
      <c r="G48" t="e" cm="1">
        <f t="array" aca="1" ref="G48" ca="1">_xlfn.IFS($B48="etf", _xll.YCI($A48, "prospectus_benchmark_index",TODAY()),$B48&lt;&gt;"etf",_xll.YCI("M:" &amp; $A48, "prospectus_benchmark_index",TODAY()))</f>
        <v>#VALUE!</v>
      </c>
      <c r="H48" s="2" t="e" cm="1">
        <f t="array" aca="1" ref="H48" ca="1">_xlfn.IFS($B48="etf", _xll.YCP($A48,"quarterly_total_return",'Database Query'!$E$14),$B48&lt;&gt;"etf",_xll.YCP("M:"&amp; $A48,"quarterly_total_return",'Database Query'!$E$14))</f>
        <v>#VALUE!</v>
      </c>
      <c r="I48" s="2" t="e" cm="1">
        <f t="array" aca="1" ref="I48" ca="1">-_xll.YCP($E48,"quarterly_return",'Database Query'!$E$14)+H48</f>
        <v>#VALUE!</v>
      </c>
      <c r="J48" s="2" t="e" cm="1">
        <f t="array" aca="1" ref="J48" ca="1">_xlfn.IFS($B48="etf", _xll.YCP($A48,"ytd_total_return",'Database Query'!$E$14),$B48&lt;&gt;"etf",_xll.YCP("M:"&amp; $A48,"ytd_total_return",'Database Query'!$E$14))</f>
        <v>#VALUE!</v>
      </c>
      <c r="K48" s="2" t="e" cm="1">
        <f t="array" aca="1" ref="K48" ca="1">-_xll.YCP($E48,"ytd_return",'Database Query'!$E$14)+J48</f>
        <v>#VALUE!</v>
      </c>
      <c r="L48" s="2" t="e" cm="1">
        <f t="array" aca="1" ref="L48" ca="1">_xlfn.IFS($B48="etf", _xll.YCP($A48,"one_year_total_return",'Database Query'!$E$14),$B48&lt;&gt;"etf",_xll.YCP("M:"&amp; $A48,"one_year_total_return",'Database Query'!$E$14))</f>
        <v>#VALUE!</v>
      </c>
      <c r="M48" s="2" t="e" cm="1">
        <f t="array" aca="1" ref="M48" ca="1">-_xll.YCP($E48,"one_year_return",'Database Query'!$E$14)+L48</f>
        <v>#VALUE!</v>
      </c>
      <c r="N48" s="2" t="e" cm="1">
        <f t="array" aca="1" ref="N48" ca="1">_xlfn.IFS($B48="etf", _xll.YCP($A48,"three_year_total_return",'Database Query'!$E$14),$B48&lt;&gt;"etf",_xll.YCP("M:"&amp; $A48,"three_year_total_return",'Database Query'!$E$14))</f>
        <v>#VALUE!</v>
      </c>
      <c r="O48" s="2" t="e" cm="1">
        <f t="array" aca="1" ref="O48" ca="1">-_xll.YCP($E48,"three_year_return",'Database Query'!$E$14)+N48</f>
        <v>#VALUE!</v>
      </c>
      <c r="P48" s="2" t="e" cm="1">
        <f t="array" aca="1" ref="P48" ca="1">_xlfn.IFS($B48="etf", _xll.YCP($A48,"five_year_total_return",'Database Query'!$E$14),$B48&lt;&gt;"etf",_xll.YCP("M:"&amp; $A48,"five_year_total_return",'Database Query'!$E$14))</f>
        <v>#VALUE!</v>
      </c>
      <c r="Q48" s="2" t="e" cm="1">
        <f t="array" aca="1" ref="Q48" ca="1">-_xll.YCP($E48,"five_year_return",'Database Query'!$E$14)+P48</f>
        <v>#VALUE!</v>
      </c>
    </row>
    <row r="49" spans="1:17" x14ac:dyDescent="0.25">
      <c r="A49" t="str">
        <v>DFGEX</v>
      </c>
      <c r="B49" t="e" cm="1">
        <f t="array" aca="1" ref="B49" ca="1">_xll.YCI(A49,"detailed_security_type",TODAY())</f>
        <v>#VALUE!</v>
      </c>
      <c r="C49" t="e" cm="1">
        <f t="array" aca="1" ref="C49" ca="1">_xlfn.IFS(B49="etf", _xll.YCI(A49, "security_name",TODAY()),B49&lt;&gt;"etf",_xll.YCI("M:" &amp; A49, "security_name",TODAY()))</f>
        <v>#VALUE!</v>
      </c>
      <c r="D49" t="e" cm="1">
        <f t="array" aca="1" ref="D49" ca="1">_xlfn.IFS($B49="etf", _xll.YCI($A49, "ycharts_benchmark_category",TODAY()),$B49&lt;&gt;"etf",_xll.YCI("M:" &amp; $A49, "ycharts_benchmark_category",TODAY()))</f>
        <v>#VALUE!</v>
      </c>
      <c r="E49" t="e" cm="1">
        <f t="array" aca="1" ref="E49" ca="1">_xlfn.IFS($B49="etf", _xll.YCI($A49, "ycharts_benchmark_index_symbol",TODAY()),$B49&lt;&gt;"etf",_xll.YCI("M:" &amp; $A49, "ycharts_benchmark_index_symbol",TODAY()))</f>
        <v>#VALUE!</v>
      </c>
      <c r="F49" t="e" cm="1">
        <f t="array" aca="1" ref="F49" ca="1">_xlfn.IFS($B49="etf", _xll.YCI($E49, "security_name",TODAY()),$B49&lt;&gt;"etf",_xll.YCI( $E49, "security_name",TODAY()))</f>
        <v>#VALUE!</v>
      </c>
      <c r="G49" t="e" cm="1">
        <f t="array" aca="1" ref="G49" ca="1">_xlfn.IFS($B49="etf", _xll.YCI($A49, "prospectus_benchmark_index",TODAY()),$B49&lt;&gt;"etf",_xll.YCI("M:" &amp; $A49, "prospectus_benchmark_index",TODAY()))</f>
        <v>#VALUE!</v>
      </c>
      <c r="H49" s="2" t="e" cm="1">
        <f t="array" aca="1" ref="H49" ca="1">_xlfn.IFS($B49="etf", _xll.YCP($A49,"quarterly_total_return",'Database Query'!$E$14),$B49&lt;&gt;"etf",_xll.YCP("M:"&amp; $A49,"quarterly_total_return",'Database Query'!$E$14))</f>
        <v>#VALUE!</v>
      </c>
      <c r="I49" s="2" t="e" cm="1">
        <f t="array" aca="1" ref="I49" ca="1">-_xll.YCP($E49,"quarterly_return",'Database Query'!$E$14)+H49</f>
        <v>#VALUE!</v>
      </c>
      <c r="J49" s="2" t="e" cm="1">
        <f t="array" aca="1" ref="J49" ca="1">_xlfn.IFS($B49="etf", _xll.YCP($A49,"ytd_total_return",'Database Query'!$E$14),$B49&lt;&gt;"etf",_xll.YCP("M:"&amp; $A49,"ytd_total_return",'Database Query'!$E$14))</f>
        <v>#VALUE!</v>
      </c>
      <c r="K49" s="2" t="e" cm="1">
        <f t="array" aca="1" ref="K49" ca="1">-_xll.YCP($E49,"ytd_return",'Database Query'!$E$14)+J49</f>
        <v>#VALUE!</v>
      </c>
      <c r="L49" s="2" t="e" cm="1">
        <f t="array" aca="1" ref="L49" ca="1">_xlfn.IFS($B49="etf", _xll.YCP($A49,"one_year_total_return",'Database Query'!$E$14),$B49&lt;&gt;"etf",_xll.YCP("M:"&amp; $A49,"one_year_total_return",'Database Query'!$E$14))</f>
        <v>#VALUE!</v>
      </c>
      <c r="M49" s="2" t="e" cm="1">
        <f t="array" aca="1" ref="M49" ca="1">-_xll.YCP($E49,"one_year_return",'Database Query'!$E$14)+L49</f>
        <v>#VALUE!</v>
      </c>
      <c r="N49" s="2" t="e" cm="1">
        <f t="array" aca="1" ref="N49" ca="1">_xlfn.IFS($B49="etf", _xll.YCP($A49,"three_year_total_return",'Database Query'!$E$14),$B49&lt;&gt;"etf",_xll.YCP("M:"&amp; $A49,"three_year_total_return",'Database Query'!$E$14))</f>
        <v>#VALUE!</v>
      </c>
      <c r="O49" s="2" t="e" cm="1">
        <f t="array" aca="1" ref="O49" ca="1">-_xll.YCP($E49,"three_year_return",'Database Query'!$E$14)+N49</f>
        <v>#VALUE!</v>
      </c>
      <c r="P49" s="2" t="e" cm="1">
        <f t="array" aca="1" ref="P49" ca="1">_xlfn.IFS($B49="etf", _xll.YCP($A49,"five_year_total_return",'Database Query'!$E$14),$B49&lt;&gt;"etf",_xll.YCP("M:"&amp; $A49,"five_year_total_return",'Database Query'!$E$14))</f>
        <v>#VALUE!</v>
      </c>
      <c r="Q49" s="2" t="e" cm="1">
        <f t="array" aca="1" ref="Q49" ca="1">-_xll.YCP($E49,"five_year_return",'Database Query'!$E$14)+P49</f>
        <v>#VALUE!</v>
      </c>
    </row>
    <row r="50" spans="1:17" x14ac:dyDescent="0.25">
      <c r="A50" t="str">
        <v>DFSMX</v>
      </c>
      <c r="B50" t="e" cm="1">
        <f t="array" aca="1" ref="B50" ca="1">_xll.YCI(A50,"detailed_security_type",TODAY())</f>
        <v>#VALUE!</v>
      </c>
      <c r="C50" t="e" cm="1">
        <f t="array" aca="1" ref="C50" ca="1">_xlfn.IFS(B50="etf", _xll.YCI(A50, "security_name",TODAY()),B50&lt;&gt;"etf",_xll.YCI("M:" &amp; A50, "security_name",TODAY()))</f>
        <v>#VALUE!</v>
      </c>
      <c r="D50" t="e" cm="1">
        <f t="array" aca="1" ref="D50" ca="1">_xlfn.IFS($B50="etf", _xll.YCI($A50, "ycharts_benchmark_category",TODAY()),$B50&lt;&gt;"etf",_xll.YCI("M:" &amp; $A50, "ycharts_benchmark_category",TODAY()))</f>
        <v>#VALUE!</v>
      </c>
      <c r="E50" t="e" cm="1">
        <f t="array" aca="1" ref="E50" ca="1">_xlfn.IFS($B50="etf", _xll.YCI($A50, "ycharts_benchmark_index_symbol",TODAY()),$B50&lt;&gt;"etf",_xll.YCI("M:" &amp; $A50, "ycharts_benchmark_index_symbol",TODAY()))</f>
        <v>#VALUE!</v>
      </c>
      <c r="F50" t="e" cm="1">
        <f t="array" aca="1" ref="F50" ca="1">_xlfn.IFS($B50="etf", _xll.YCI($E50, "security_name",TODAY()),$B50&lt;&gt;"etf",_xll.YCI( $E50, "security_name",TODAY()))</f>
        <v>#VALUE!</v>
      </c>
      <c r="G50" t="e" cm="1">
        <f t="array" aca="1" ref="G50" ca="1">_xlfn.IFS($B50="etf", _xll.YCI($A50, "prospectus_benchmark_index",TODAY()),$B50&lt;&gt;"etf",_xll.YCI("M:" &amp; $A50, "prospectus_benchmark_index",TODAY()))</f>
        <v>#VALUE!</v>
      </c>
      <c r="H50" s="2" t="e" cm="1">
        <f t="array" aca="1" ref="H50" ca="1">_xlfn.IFS($B50="etf", _xll.YCP($A50,"quarterly_total_return",'Database Query'!$E$14),$B50&lt;&gt;"etf",_xll.YCP("M:"&amp; $A50,"quarterly_total_return",'Database Query'!$E$14))</f>
        <v>#VALUE!</v>
      </c>
      <c r="I50" s="2" t="e" cm="1">
        <f t="array" aca="1" ref="I50" ca="1">-_xll.YCP($E50,"quarterly_return",'Database Query'!$E$14)+H50</f>
        <v>#VALUE!</v>
      </c>
      <c r="J50" s="2" t="e" cm="1">
        <f t="array" aca="1" ref="J50" ca="1">_xlfn.IFS($B50="etf", _xll.YCP($A50,"ytd_total_return",'Database Query'!$E$14),$B50&lt;&gt;"etf",_xll.YCP("M:"&amp; $A50,"ytd_total_return",'Database Query'!$E$14))</f>
        <v>#VALUE!</v>
      </c>
      <c r="K50" s="2" t="e" cm="1">
        <f t="array" aca="1" ref="K50" ca="1">-_xll.YCP($E50,"ytd_return",'Database Query'!$E$14)+J50</f>
        <v>#VALUE!</v>
      </c>
      <c r="L50" s="2" t="e" cm="1">
        <f t="array" aca="1" ref="L50" ca="1">_xlfn.IFS($B50="etf", _xll.YCP($A50,"one_year_total_return",'Database Query'!$E$14),$B50&lt;&gt;"etf",_xll.YCP("M:"&amp; $A50,"one_year_total_return",'Database Query'!$E$14))</f>
        <v>#VALUE!</v>
      </c>
      <c r="M50" s="2" t="e" cm="1">
        <f t="array" aca="1" ref="M50" ca="1">-_xll.YCP($E50,"one_year_return",'Database Query'!$E$14)+L50</f>
        <v>#VALUE!</v>
      </c>
      <c r="N50" s="2" t="e" cm="1">
        <f t="array" aca="1" ref="N50" ca="1">_xlfn.IFS($B50="etf", _xll.YCP($A50,"three_year_total_return",'Database Query'!$E$14),$B50&lt;&gt;"etf",_xll.YCP("M:"&amp; $A50,"three_year_total_return",'Database Query'!$E$14))</f>
        <v>#VALUE!</v>
      </c>
      <c r="O50" s="2" t="e" cm="1">
        <f t="array" aca="1" ref="O50" ca="1">-_xll.YCP($E50,"three_year_return",'Database Query'!$E$14)+N50</f>
        <v>#VALUE!</v>
      </c>
      <c r="P50" s="2" t="e" cm="1">
        <f t="array" aca="1" ref="P50" ca="1">_xlfn.IFS($B50="etf", _xll.YCP($A50,"five_year_total_return",'Database Query'!$E$14),$B50&lt;&gt;"etf",_xll.YCP("M:"&amp; $A50,"five_year_total_return",'Database Query'!$E$14))</f>
        <v>#VALUE!</v>
      </c>
      <c r="Q50" s="2" t="e" cm="1">
        <f t="array" aca="1" ref="Q50" ca="1">-_xll.YCP($E50,"five_year_return",'Database Query'!$E$14)+P50</f>
        <v>#VALUE!</v>
      </c>
    </row>
    <row r="51" spans="1:17" x14ac:dyDescent="0.25">
      <c r="A51" t="str">
        <v>DFWIX</v>
      </c>
      <c r="B51" t="e" cm="1">
        <f t="array" aca="1" ref="B51" ca="1">_xll.YCI(A51,"detailed_security_type",TODAY())</f>
        <v>#VALUE!</v>
      </c>
      <c r="C51" t="e" cm="1">
        <f t="array" aca="1" ref="C51" ca="1">_xlfn.IFS(B51="etf", _xll.YCI(A51, "security_name",TODAY()),B51&lt;&gt;"etf",_xll.YCI("M:" &amp; A51, "security_name",TODAY()))</f>
        <v>#VALUE!</v>
      </c>
      <c r="D51" t="e" cm="1">
        <f t="array" aca="1" ref="D51" ca="1">_xlfn.IFS($B51="etf", _xll.YCI($A51, "ycharts_benchmark_category",TODAY()),$B51&lt;&gt;"etf",_xll.YCI("M:" &amp; $A51, "ycharts_benchmark_category",TODAY()))</f>
        <v>#VALUE!</v>
      </c>
      <c r="E51" t="e" cm="1">
        <f t="array" aca="1" ref="E51" ca="1">_xlfn.IFS($B51="etf", _xll.YCI($A51, "ycharts_benchmark_index_symbol",TODAY()),$B51&lt;&gt;"etf",_xll.YCI("M:" &amp; $A51, "ycharts_benchmark_index_symbol",TODAY()))</f>
        <v>#VALUE!</v>
      </c>
      <c r="F51" t="e" cm="1">
        <f t="array" aca="1" ref="F51" ca="1">_xlfn.IFS($B51="etf", _xll.YCI($E51, "security_name",TODAY()),$B51&lt;&gt;"etf",_xll.YCI( $E51, "security_name",TODAY()))</f>
        <v>#VALUE!</v>
      </c>
      <c r="G51" t="e" cm="1">
        <f t="array" aca="1" ref="G51" ca="1">_xlfn.IFS($B51="etf", _xll.YCI($A51, "prospectus_benchmark_index",TODAY()),$B51&lt;&gt;"etf",_xll.YCI("M:" &amp; $A51, "prospectus_benchmark_index",TODAY()))</f>
        <v>#VALUE!</v>
      </c>
      <c r="H51" s="2" t="e" cm="1">
        <f t="array" aca="1" ref="H51" ca="1">_xlfn.IFS($B51="etf", _xll.YCP($A51,"quarterly_total_return",'Database Query'!$E$14),$B51&lt;&gt;"etf",_xll.YCP("M:"&amp; $A51,"quarterly_total_return",'Database Query'!$E$14))</f>
        <v>#VALUE!</v>
      </c>
      <c r="I51" s="2" t="e" cm="1">
        <f t="array" aca="1" ref="I51" ca="1">-_xll.YCP($E51,"quarterly_return",'Database Query'!$E$14)+H51</f>
        <v>#VALUE!</v>
      </c>
      <c r="J51" s="2" t="e" cm="1">
        <f t="array" aca="1" ref="J51" ca="1">_xlfn.IFS($B51="etf", _xll.YCP($A51,"ytd_total_return",'Database Query'!$E$14),$B51&lt;&gt;"etf",_xll.YCP("M:"&amp; $A51,"ytd_total_return",'Database Query'!$E$14))</f>
        <v>#VALUE!</v>
      </c>
      <c r="K51" s="2" t="e" cm="1">
        <f t="array" aca="1" ref="K51" ca="1">-_xll.YCP($E51,"ytd_return",'Database Query'!$E$14)+J51</f>
        <v>#VALUE!</v>
      </c>
      <c r="L51" s="2" t="e" cm="1">
        <f t="array" aca="1" ref="L51" ca="1">_xlfn.IFS($B51="etf", _xll.YCP($A51,"one_year_total_return",'Database Query'!$E$14),$B51&lt;&gt;"etf",_xll.YCP("M:"&amp; $A51,"one_year_total_return",'Database Query'!$E$14))</f>
        <v>#VALUE!</v>
      </c>
      <c r="M51" s="2" t="e" cm="1">
        <f t="array" aca="1" ref="M51" ca="1">-_xll.YCP($E51,"one_year_return",'Database Query'!$E$14)+L51</f>
        <v>#VALUE!</v>
      </c>
      <c r="N51" s="2" t="e" cm="1">
        <f t="array" aca="1" ref="N51" ca="1">_xlfn.IFS($B51="etf", _xll.YCP($A51,"three_year_total_return",'Database Query'!$E$14),$B51&lt;&gt;"etf",_xll.YCP("M:"&amp; $A51,"three_year_total_return",'Database Query'!$E$14))</f>
        <v>#VALUE!</v>
      </c>
      <c r="O51" s="2" t="e" cm="1">
        <f t="array" aca="1" ref="O51" ca="1">-_xll.YCP($E51,"three_year_return",'Database Query'!$E$14)+N51</f>
        <v>#VALUE!</v>
      </c>
      <c r="P51" s="2" t="e" cm="1">
        <f t="array" aca="1" ref="P51" ca="1">_xlfn.IFS($B51="etf", _xll.YCP($A51,"five_year_total_return",'Database Query'!$E$14),$B51&lt;&gt;"etf",_xll.YCP("M:"&amp; $A51,"five_year_total_return",'Database Query'!$E$14))</f>
        <v>#VALUE!</v>
      </c>
      <c r="Q51" s="2" t="e" cm="1">
        <f t="array" aca="1" ref="Q51" ca="1">-_xll.YCP($E51,"five_year_return",'Database Query'!$E$14)+P51</f>
        <v>#VALUE!</v>
      </c>
    </row>
    <row r="52" spans="1:17" x14ac:dyDescent="0.25">
      <c r="A52" t="str">
        <v>DGCIX</v>
      </c>
      <c r="B52" t="e" cm="1">
        <f t="array" aca="1" ref="B52" ca="1">_xll.YCI(A52,"detailed_security_type",TODAY())</f>
        <v>#VALUE!</v>
      </c>
      <c r="C52" t="e" cm="1">
        <f t="array" aca="1" ref="C52" ca="1">_xlfn.IFS(B52="etf", _xll.YCI(A52, "security_name",TODAY()),B52&lt;&gt;"etf",_xll.YCI("M:" &amp; A52, "security_name",TODAY()))</f>
        <v>#VALUE!</v>
      </c>
      <c r="D52" t="e" cm="1">
        <f t="array" aca="1" ref="D52" ca="1">_xlfn.IFS($B52="etf", _xll.YCI($A52, "ycharts_benchmark_category",TODAY()),$B52&lt;&gt;"etf",_xll.YCI("M:" &amp; $A52, "ycharts_benchmark_category",TODAY()))</f>
        <v>#VALUE!</v>
      </c>
      <c r="E52" t="e" cm="1">
        <f t="array" aca="1" ref="E52" ca="1">_xlfn.IFS($B52="etf", _xll.YCI($A52, "ycharts_benchmark_index_symbol",TODAY()),$B52&lt;&gt;"etf",_xll.YCI("M:" &amp; $A52, "ycharts_benchmark_index_symbol",TODAY()))</f>
        <v>#VALUE!</v>
      </c>
      <c r="F52" t="e" cm="1">
        <f t="array" aca="1" ref="F52" ca="1">_xlfn.IFS($B52="etf", _xll.YCI($E52, "security_name",TODAY()),$B52&lt;&gt;"etf",_xll.YCI( $E52, "security_name",TODAY()))</f>
        <v>#VALUE!</v>
      </c>
      <c r="G52" t="e" cm="1">
        <f t="array" aca="1" ref="G52" ca="1">_xlfn.IFS($B52="etf", _xll.YCI($A52, "prospectus_benchmark_index",TODAY()),$B52&lt;&gt;"etf",_xll.YCI("M:" &amp; $A52, "prospectus_benchmark_index",TODAY()))</f>
        <v>#VALUE!</v>
      </c>
      <c r="H52" s="2" t="e" cm="1">
        <f t="array" aca="1" ref="H52" ca="1">_xlfn.IFS($B52="etf", _xll.YCP($A52,"quarterly_total_return",'Database Query'!$E$14),$B52&lt;&gt;"etf",_xll.YCP("M:"&amp; $A52,"quarterly_total_return",'Database Query'!$E$14))</f>
        <v>#VALUE!</v>
      </c>
      <c r="I52" s="2" t="e" cm="1">
        <f t="array" aca="1" ref="I52" ca="1">-_xll.YCP($E52,"quarterly_return",'Database Query'!$E$14)+H52</f>
        <v>#VALUE!</v>
      </c>
      <c r="J52" s="2" t="e" cm="1">
        <f t="array" aca="1" ref="J52" ca="1">_xlfn.IFS($B52="etf", _xll.YCP($A52,"ytd_total_return",'Database Query'!$E$14),$B52&lt;&gt;"etf",_xll.YCP("M:"&amp; $A52,"ytd_total_return",'Database Query'!$E$14))</f>
        <v>#VALUE!</v>
      </c>
      <c r="K52" s="2" t="e" cm="1">
        <f t="array" aca="1" ref="K52" ca="1">-_xll.YCP($E52,"ytd_return",'Database Query'!$E$14)+J52</f>
        <v>#VALUE!</v>
      </c>
      <c r="L52" s="2" t="e" cm="1">
        <f t="array" aca="1" ref="L52" ca="1">_xlfn.IFS($B52="etf", _xll.YCP($A52,"one_year_total_return",'Database Query'!$E$14),$B52&lt;&gt;"etf",_xll.YCP("M:"&amp; $A52,"one_year_total_return",'Database Query'!$E$14))</f>
        <v>#VALUE!</v>
      </c>
      <c r="M52" s="2" t="e" cm="1">
        <f t="array" aca="1" ref="M52" ca="1">-_xll.YCP($E52,"one_year_return",'Database Query'!$E$14)+L52</f>
        <v>#VALUE!</v>
      </c>
      <c r="N52" s="2" t="e" cm="1">
        <f t="array" aca="1" ref="N52" ca="1">_xlfn.IFS($B52="etf", _xll.YCP($A52,"three_year_total_return",'Database Query'!$E$14),$B52&lt;&gt;"etf",_xll.YCP("M:"&amp; $A52,"three_year_total_return",'Database Query'!$E$14))</f>
        <v>#VALUE!</v>
      </c>
      <c r="O52" s="2" t="e" cm="1">
        <f t="array" aca="1" ref="O52" ca="1">-_xll.YCP($E52,"three_year_return",'Database Query'!$E$14)+N52</f>
        <v>#VALUE!</v>
      </c>
      <c r="P52" s="2" t="e" cm="1">
        <f t="array" aca="1" ref="P52" ca="1">_xlfn.IFS($B52="etf", _xll.YCP($A52,"five_year_total_return",'Database Query'!$E$14),$B52&lt;&gt;"etf",_xll.YCP("M:"&amp; $A52,"five_year_total_return",'Database Query'!$E$14))</f>
        <v>#VALUE!</v>
      </c>
      <c r="Q52" s="2" t="e" cm="1">
        <f t="array" aca="1" ref="Q52" ca="1">-_xll.YCP($E52,"five_year_return",'Database Query'!$E$14)+P52</f>
        <v>#VALUE!</v>
      </c>
    </row>
    <row r="53" spans="1:17" x14ac:dyDescent="0.25">
      <c r="A53" t="str">
        <v>DHLSX</v>
      </c>
      <c r="B53" t="e" cm="1">
        <f t="array" aca="1" ref="B53" ca="1">_xll.YCI(A53,"detailed_security_type",TODAY())</f>
        <v>#VALUE!</v>
      </c>
      <c r="C53" t="e" cm="1">
        <f t="array" aca="1" ref="C53" ca="1">_xlfn.IFS(B53="etf", _xll.YCI(A53, "security_name",TODAY()),B53&lt;&gt;"etf",_xll.YCI("M:" &amp; A53, "security_name",TODAY()))</f>
        <v>#VALUE!</v>
      </c>
      <c r="D53" t="e" cm="1">
        <f t="array" aca="1" ref="D53" ca="1">_xlfn.IFS($B53="etf", _xll.YCI($A53, "ycharts_benchmark_category",TODAY()),$B53&lt;&gt;"etf",_xll.YCI("M:" &amp; $A53, "ycharts_benchmark_category",TODAY()))</f>
        <v>#VALUE!</v>
      </c>
      <c r="E53" t="e" cm="1">
        <f t="array" aca="1" ref="E53" ca="1">_xlfn.IFS($B53="etf", _xll.YCI($A53, "ycharts_benchmark_index_symbol",TODAY()),$B53&lt;&gt;"etf",_xll.YCI("M:" &amp; $A53, "ycharts_benchmark_index_symbol",TODAY()))</f>
        <v>#VALUE!</v>
      </c>
      <c r="F53" t="e" cm="1">
        <f t="array" aca="1" ref="F53" ca="1">_xlfn.IFS($B53="etf", _xll.YCI($E53, "security_name",TODAY()),$B53&lt;&gt;"etf",_xll.YCI( $E53, "security_name",TODAY()))</f>
        <v>#VALUE!</v>
      </c>
      <c r="G53" t="e" cm="1">
        <f t="array" aca="1" ref="G53" ca="1">_xlfn.IFS($B53="etf", _xll.YCI($A53, "prospectus_benchmark_index",TODAY()),$B53&lt;&gt;"etf",_xll.YCI("M:" &amp; $A53, "prospectus_benchmark_index",TODAY()))</f>
        <v>#VALUE!</v>
      </c>
      <c r="H53" s="2" t="e" cm="1">
        <f t="array" aca="1" ref="H53" ca="1">_xlfn.IFS($B53="etf", _xll.YCP($A53,"quarterly_total_return",'Database Query'!$E$14),$B53&lt;&gt;"etf",_xll.YCP("M:"&amp; $A53,"quarterly_total_return",'Database Query'!$E$14))</f>
        <v>#VALUE!</v>
      </c>
      <c r="I53" s="2" t="e" cm="1">
        <f t="array" aca="1" ref="I53" ca="1">-_xll.YCP($E53,"quarterly_return",'Database Query'!$E$14)+H53</f>
        <v>#VALUE!</v>
      </c>
      <c r="J53" s="2" t="e" cm="1">
        <f t="array" aca="1" ref="J53" ca="1">_xlfn.IFS($B53="etf", _xll.YCP($A53,"ytd_total_return",'Database Query'!$E$14),$B53&lt;&gt;"etf",_xll.YCP("M:"&amp; $A53,"ytd_total_return",'Database Query'!$E$14))</f>
        <v>#VALUE!</v>
      </c>
      <c r="K53" s="2" t="e" cm="1">
        <f t="array" aca="1" ref="K53" ca="1">-_xll.YCP($E53,"ytd_return",'Database Query'!$E$14)+J53</f>
        <v>#VALUE!</v>
      </c>
      <c r="L53" s="2" t="e" cm="1">
        <f t="array" aca="1" ref="L53" ca="1">_xlfn.IFS($B53="etf", _xll.YCP($A53,"one_year_total_return",'Database Query'!$E$14),$B53&lt;&gt;"etf",_xll.YCP("M:"&amp; $A53,"one_year_total_return",'Database Query'!$E$14))</f>
        <v>#VALUE!</v>
      </c>
      <c r="M53" s="2" t="e" cm="1">
        <f t="array" aca="1" ref="M53" ca="1">-_xll.YCP($E53,"one_year_return",'Database Query'!$E$14)+L53</f>
        <v>#VALUE!</v>
      </c>
      <c r="N53" s="2" t="e" cm="1">
        <f t="array" aca="1" ref="N53" ca="1">_xlfn.IFS($B53="etf", _xll.YCP($A53,"three_year_total_return",'Database Query'!$E$14),$B53&lt;&gt;"etf",_xll.YCP("M:"&amp; $A53,"three_year_total_return",'Database Query'!$E$14))</f>
        <v>#VALUE!</v>
      </c>
      <c r="O53" s="2" t="e" cm="1">
        <f t="array" aca="1" ref="O53" ca="1">-_xll.YCP($E53,"three_year_return",'Database Query'!$E$14)+N53</f>
        <v>#VALUE!</v>
      </c>
      <c r="P53" s="2" t="e" cm="1">
        <f t="array" aca="1" ref="P53" ca="1">_xlfn.IFS($B53="etf", _xll.YCP($A53,"five_year_total_return",'Database Query'!$E$14),$B53&lt;&gt;"etf",_xll.YCP("M:"&amp; $A53,"five_year_total_return",'Database Query'!$E$14))</f>
        <v>#VALUE!</v>
      </c>
      <c r="Q53" s="2" t="e" cm="1">
        <f t="array" aca="1" ref="Q53" ca="1">-_xll.YCP($E53,"five_year_return",'Database Query'!$E$14)+P53</f>
        <v>#VALUE!</v>
      </c>
    </row>
    <row r="54" spans="1:17" x14ac:dyDescent="0.25">
      <c r="A54" t="str">
        <v>DIHRX</v>
      </c>
      <c r="B54" t="e" cm="1">
        <f t="array" aca="1" ref="B54" ca="1">_xll.YCI(A54,"detailed_security_type",TODAY())</f>
        <v>#VALUE!</v>
      </c>
      <c r="C54" t="e" cm="1">
        <f t="array" aca="1" ref="C54" ca="1">_xlfn.IFS(B54="etf", _xll.YCI(A54, "security_name",TODAY()),B54&lt;&gt;"etf",_xll.YCI("M:" &amp; A54, "security_name",TODAY()))</f>
        <v>#VALUE!</v>
      </c>
      <c r="D54" t="e" cm="1">
        <f t="array" aca="1" ref="D54" ca="1">_xlfn.IFS($B54="etf", _xll.YCI($A54, "ycharts_benchmark_category",TODAY()),$B54&lt;&gt;"etf",_xll.YCI("M:" &amp; $A54, "ycharts_benchmark_category",TODAY()))</f>
        <v>#VALUE!</v>
      </c>
      <c r="E54" t="e" cm="1">
        <f t="array" aca="1" ref="E54" ca="1">_xlfn.IFS($B54="etf", _xll.YCI($A54, "ycharts_benchmark_index_symbol",TODAY()),$B54&lt;&gt;"etf",_xll.YCI("M:" &amp; $A54, "ycharts_benchmark_index_symbol",TODAY()))</f>
        <v>#VALUE!</v>
      </c>
      <c r="F54" t="e" cm="1">
        <f t="array" aca="1" ref="F54" ca="1">_xlfn.IFS($B54="etf", _xll.YCI($E54, "security_name",TODAY()),$B54&lt;&gt;"etf",_xll.YCI( $E54, "security_name",TODAY()))</f>
        <v>#VALUE!</v>
      </c>
      <c r="G54" t="e" cm="1">
        <f t="array" aca="1" ref="G54" ca="1">_xlfn.IFS($B54="etf", _xll.YCI($A54, "prospectus_benchmark_index",TODAY()),$B54&lt;&gt;"etf",_xll.YCI("M:" &amp; $A54, "prospectus_benchmark_index",TODAY()))</f>
        <v>#VALUE!</v>
      </c>
      <c r="H54" s="2" t="e" cm="1">
        <f t="array" aca="1" ref="H54" ca="1">_xlfn.IFS($B54="etf", _xll.YCP($A54,"quarterly_total_return",'Database Query'!$E$14),$B54&lt;&gt;"etf",_xll.YCP("M:"&amp; $A54,"quarterly_total_return",'Database Query'!$E$14))</f>
        <v>#VALUE!</v>
      </c>
      <c r="I54" s="2" t="e" cm="1">
        <f t="array" aca="1" ref="I54" ca="1">-_xll.YCP($E54,"quarterly_return",'Database Query'!$E$14)+H54</f>
        <v>#VALUE!</v>
      </c>
      <c r="J54" s="2" t="e" cm="1">
        <f t="array" aca="1" ref="J54" ca="1">_xlfn.IFS($B54="etf", _xll.YCP($A54,"ytd_total_return",'Database Query'!$E$14),$B54&lt;&gt;"etf",_xll.YCP("M:"&amp; $A54,"ytd_total_return",'Database Query'!$E$14))</f>
        <v>#VALUE!</v>
      </c>
      <c r="K54" s="2" t="e" cm="1">
        <f t="array" aca="1" ref="K54" ca="1">-_xll.YCP($E54,"ytd_return",'Database Query'!$E$14)+J54</f>
        <v>#VALUE!</v>
      </c>
      <c r="L54" s="2" t="e" cm="1">
        <f t="array" aca="1" ref="L54" ca="1">_xlfn.IFS($B54="etf", _xll.YCP($A54,"one_year_total_return",'Database Query'!$E$14),$B54&lt;&gt;"etf",_xll.YCP("M:"&amp; $A54,"one_year_total_return",'Database Query'!$E$14))</f>
        <v>#VALUE!</v>
      </c>
      <c r="M54" s="2" t="e" cm="1">
        <f t="array" aca="1" ref="M54" ca="1">-_xll.YCP($E54,"one_year_return",'Database Query'!$E$14)+L54</f>
        <v>#VALUE!</v>
      </c>
      <c r="N54" s="2" t="e" cm="1">
        <f t="array" aca="1" ref="N54" ca="1">_xlfn.IFS($B54="etf", _xll.YCP($A54,"three_year_total_return",'Database Query'!$E$14),$B54&lt;&gt;"etf",_xll.YCP("M:"&amp; $A54,"three_year_total_return",'Database Query'!$E$14))</f>
        <v>#VALUE!</v>
      </c>
      <c r="O54" s="2" t="e" cm="1">
        <f t="array" aca="1" ref="O54" ca="1">-_xll.YCP($E54,"three_year_return",'Database Query'!$E$14)+N54</f>
        <v>#VALUE!</v>
      </c>
      <c r="P54" s="2" t="e" cm="1">
        <f t="array" aca="1" ref="P54" ca="1">_xlfn.IFS($B54="etf", _xll.YCP($A54,"five_year_total_return",'Database Query'!$E$14),$B54&lt;&gt;"etf",_xll.YCP("M:"&amp; $A54,"five_year_total_return",'Database Query'!$E$14))</f>
        <v>#VALUE!</v>
      </c>
      <c r="Q54" s="2" t="e" cm="1">
        <f t="array" aca="1" ref="Q54" ca="1">-_xll.YCP($E54,"five_year_return",'Database Query'!$E$14)+P54</f>
        <v>#VALUE!</v>
      </c>
    </row>
    <row r="55" spans="1:17" x14ac:dyDescent="0.25">
      <c r="A55" t="str">
        <v>DLTNX</v>
      </c>
      <c r="B55" t="e" cm="1">
        <f t="array" aca="1" ref="B55" ca="1">_xll.YCI(A55,"detailed_security_type",TODAY())</f>
        <v>#VALUE!</v>
      </c>
      <c r="C55" t="e" cm="1">
        <f t="array" aca="1" ref="C55" ca="1">_xlfn.IFS(B55="etf", _xll.YCI(A55, "security_name",TODAY()),B55&lt;&gt;"etf",_xll.YCI("M:" &amp; A55, "security_name",TODAY()))</f>
        <v>#VALUE!</v>
      </c>
      <c r="D55" t="e" cm="1">
        <f t="array" aca="1" ref="D55" ca="1">_xlfn.IFS($B55="etf", _xll.YCI($A55, "ycharts_benchmark_category",TODAY()),$B55&lt;&gt;"etf",_xll.YCI("M:" &amp; $A55, "ycharts_benchmark_category",TODAY()))</f>
        <v>#VALUE!</v>
      </c>
      <c r="E55" t="e" cm="1">
        <f t="array" aca="1" ref="E55" ca="1">_xlfn.IFS($B55="etf", _xll.YCI($A55, "ycharts_benchmark_index_symbol",TODAY()),$B55&lt;&gt;"etf",_xll.YCI("M:" &amp; $A55, "ycharts_benchmark_index_symbol",TODAY()))</f>
        <v>#VALUE!</v>
      </c>
      <c r="F55" t="e" cm="1">
        <f t="array" aca="1" ref="F55" ca="1">_xlfn.IFS($B55="etf", _xll.YCI($E55, "security_name",TODAY()),$B55&lt;&gt;"etf",_xll.YCI( $E55, "security_name",TODAY()))</f>
        <v>#VALUE!</v>
      </c>
      <c r="G55" t="e" cm="1">
        <f t="array" aca="1" ref="G55" ca="1">_xlfn.IFS($B55="etf", _xll.YCI($A55, "prospectus_benchmark_index",TODAY()),$B55&lt;&gt;"etf",_xll.YCI("M:" &amp; $A55, "prospectus_benchmark_index",TODAY()))</f>
        <v>#VALUE!</v>
      </c>
      <c r="H55" s="2" t="e" cm="1">
        <f t="array" aca="1" ref="H55" ca="1">_xlfn.IFS($B55="etf", _xll.YCP($A55,"quarterly_total_return",'Database Query'!$E$14),$B55&lt;&gt;"etf",_xll.YCP("M:"&amp; $A55,"quarterly_total_return",'Database Query'!$E$14))</f>
        <v>#VALUE!</v>
      </c>
      <c r="I55" s="2" t="e" cm="1">
        <f t="array" aca="1" ref="I55" ca="1">-_xll.YCP($E55,"quarterly_return",'Database Query'!$E$14)+H55</f>
        <v>#VALUE!</v>
      </c>
      <c r="J55" s="2" t="e" cm="1">
        <f t="array" aca="1" ref="J55" ca="1">_xlfn.IFS($B55="etf", _xll.YCP($A55,"ytd_total_return",'Database Query'!$E$14),$B55&lt;&gt;"etf",_xll.YCP("M:"&amp; $A55,"ytd_total_return",'Database Query'!$E$14))</f>
        <v>#VALUE!</v>
      </c>
      <c r="K55" s="2" t="e" cm="1">
        <f t="array" aca="1" ref="K55" ca="1">-_xll.YCP($E55,"ytd_return",'Database Query'!$E$14)+J55</f>
        <v>#VALUE!</v>
      </c>
      <c r="L55" s="2" t="e" cm="1">
        <f t="array" aca="1" ref="L55" ca="1">_xlfn.IFS($B55="etf", _xll.YCP($A55,"one_year_total_return",'Database Query'!$E$14),$B55&lt;&gt;"etf",_xll.YCP("M:"&amp; $A55,"one_year_total_return",'Database Query'!$E$14))</f>
        <v>#VALUE!</v>
      </c>
      <c r="M55" s="2" t="e" cm="1">
        <f t="array" aca="1" ref="M55" ca="1">-_xll.YCP($E55,"one_year_return",'Database Query'!$E$14)+L55</f>
        <v>#VALUE!</v>
      </c>
      <c r="N55" s="2" t="e" cm="1">
        <f t="array" aca="1" ref="N55" ca="1">_xlfn.IFS($B55="etf", _xll.YCP($A55,"three_year_total_return",'Database Query'!$E$14),$B55&lt;&gt;"etf",_xll.YCP("M:"&amp; $A55,"three_year_total_return",'Database Query'!$E$14))</f>
        <v>#VALUE!</v>
      </c>
      <c r="O55" s="2" t="e" cm="1">
        <f t="array" aca="1" ref="O55" ca="1">-_xll.YCP($E55,"three_year_return",'Database Query'!$E$14)+N55</f>
        <v>#VALUE!</v>
      </c>
      <c r="P55" s="2" t="e" cm="1">
        <f t="array" aca="1" ref="P55" ca="1">_xlfn.IFS($B55="etf", _xll.YCP($A55,"five_year_total_return",'Database Query'!$E$14),$B55&lt;&gt;"etf",_xll.YCP("M:"&amp; $A55,"five_year_total_return",'Database Query'!$E$14))</f>
        <v>#VALUE!</v>
      </c>
      <c r="Q55" s="2" t="e" cm="1">
        <f t="array" aca="1" ref="Q55" ca="1">-_xll.YCP($E55,"five_year_return",'Database Query'!$E$14)+P55</f>
        <v>#VALUE!</v>
      </c>
    </row>
    <row r="56" spans="1:17" x14ac:dyDescent="0.25">
      <c r="A56" t="str">
        <v>DSFIX</v>
      </c>
      <c r="B56" t="e" cm="1">
        <f t="array" aca="1" ref="B56" ca="1">_xll.YCI(A56,"detailed_security_type",TODAY())</f>
        <v>#VALUE!</v>
      </c>
      <c r="C56" t="e" cm="1">
        <f t="array" aca="1" ref="C56" ca="1">_xlfn.IFS(B56="etf", _xll.YCI(A56, "security_name",TODAY()),B56&lt;&gt;"etf",_xll.YCI("M:" &amp; A56, "security_name",TODAY()))</f>
        <v>#VALUE!</v>
      </c>
      <c r="D56" t="e" cm="1">
        <f t="array" aca="1" ref="D56" ca="1">_xlfn.IFS($B56="etf", _xll.YCI($A56, "ycharts_benchmark_category",TODAY()),$B56&lt;&gt;"etf",_xll.YCI("M:" &amp; $A56, "ycharts_benchmark_category",TODAY()))</f>
        <v>#VALUE!</v>
      </c>
      <c r="E56" t="e" cm="1">
        <f t="array" aca="1" ref="E56" ca="1">_xlfn.IFS($B56="etf", _xll.YCI($A56, "ycharts_benchmark_index_symbol",TODAY()),$B56&lt;&gt;"etf",_xll.YCI("M:" &amp; $A56, "ycharts_benchmark_index_symbol",TODAY()))</f>
        <v>#VALUE!</v>
      </c>
      <c r="F56" t="e" cm="1">
        <f t="array" aca="1" ref="F56" ca="1">_xlfn.IFS($B56="etf", _xll.YCI($E56, "security_name",TODAY()),$B56&lt;&gt;"etf",_xll.YCI( $E56, "security_name",TODAY()))</f>
        <v>#VALUE!</v>
      </c>
      <c r="G56" t="e" cm="1">
        <f t="array" aca="1" ref="G56" ca="1">_xlfn.IFS($B56="etf", _xll.YCI($A56, "prospectus_benchmark_index",TODAY()),$B56&lt;&gt;"etf",_xll.YCI("M:" &amp; $A56, "prospectus_benchmark_index",TODAY()))</f>
        <v>#VALUE!</v>
      </c>
      <c r="H56" s="2" t="e" cm="1">
        <f t="array" aca="1" ref="H56" ca="1">_xlfn.IFS($B56="etf", _xll.YCP($A56,"quarterly_total_return",'Database Query'!$E$14),$B56&lt;&gt;"etf",_xll.YCP("M:"&amp; $A56,"quarterly_total_return",'Database Query'!$E$14))</f>
        <v>#VALUE!</v>
      </c>
      <c r="I56" s="2" t="e" cm="1">
        <f t="array" aca="1" ref="I56" ca="1">-_xll.YCP($E56,"quarterly_return",'Database Query'!$E$14)+H56</f>
        <v>#VALUE!</v>
      </c>
      <c r="J56" s="2" t="e" cm="1">
        <f t="array" aca="1" ref="J56" ca="1">_xlfn.IFS($B56="etf", _xll.YCP($A56,"ytd_total_return",'Database Query'!$E$14),$B56&lt;&gt;"etf",_xll.YCP("M:"&amp; $A56,"ytd_total_return",'Database Query'!$E$14))</f>
        <v>#VALUE!</v>
      </c>
      <c r="K56" s="2" t="e" cm="1">
        <f t="array" aca="1" ref="K56" ca="1">-_xll.YCP($E56,"ytd_return",'Database Query'!$E$14)+J56</f>
        <v>#VALUE!</v>
      </c>
      <c r="L56" s="2" t="e" cm="1">
        <f t="array" aca="1" ref="L56" ca="1">_xlfn.IFS($B56="etf", _xll.YCP($A56,"one_year_total_return",'Database Query'!$E$14),$B56&lt;&gt;"etf",_xll.YCP("M:"&amp; $A56,"one_year_total_return",'Database Query'!$E$14))</f>
        <v>#VALUE!</v>
      </c>
      <c r="M56" s="2" t="e" cm="1">
        <f t="array" aca="1" ref="M56" ca="1">-_xll.YCP($E56,"one_year_return",'Database Query'!$E$14)+L56</f>
        <v>#VALUE!</v>
      </c>
      <c r="N56" s="2" t="e" cm="1">
        <f t="array" aca="1" ref="N56" ca="1">_xlfn.IFS($B56="etf", _xll.YCP($A56,"three_year_total_return",'Database Query'!$E$14),$B56&lt;&gt;"etf",_xll.YCP("M:"&amp; $A56,"three_year_total_return",'Database Query'!$E$14))</f>
        <v>#VALUE!</v>
      </c>
      <c r="O56" s="2" t="e" cm="1">
        <f t="array" aca="1" ref="O56" ca="1">-_xll.YCP($E56,"three_year_return",'Database Query'!$E$14)+N56</f>
        <v>#VALUE!</v>
      </c>
      <c r="P56" s="2" t="e" cm="1">
        <f t="array" aca="1" ref="P56" ca="1">_xlfn.IFS($B56="etf", _xll.YCP($A56,"five_year_total_return",'Database Query'!$E$14),$B56&lt;&gt;"etf",_xll.YCP("M:"&amp; $A56,"five_year_total_return",'Database Query'!$E$14))</f>
        <v>#VALUE!</v>
      </c>
      <c r="Q56" s="2" t="e" cm="1">
        <f t="array" aca="1" ref="Q56" ca="1">-_xll.YCP($E56,"five_year_return",'Database Query'!$E$14)+P56</f>
        <v>#VALUE!</v>
      </c>
    </row>
    <row r="57" spans="1:17" x14ac:dyDescent="0.25">
      <c r="A57" t="str">
        <v>DVOIX</v>
      </c>
      <c r="B57" t="e" cm="1">
        <f t="array" aca="1" ref="B57" ca="1">_xll.YCI(A57,"detailed_security_type",TODAY())</f>
        <v>#VALUE!</v>
      </c>
      <c r="C57" t="e" cm="1">
        <f t="array" aca="1" ref="C57" ca="1">_xlfn.IFS(B57="etf", _xll.YCI(A57, "security_name",TODAY()),B57&lt;&gt;"etf",_xll.YCI("M:" &amp; A57, "security_name",TODAY()))</f>
        <v>#VALUE!</v>
      </c>
      <c r="D57" t="e" cm="1">
        <f t="array" aca="1" ref="D57" ca="1">_xlfn.IFS($B57="etf", _xll.YCI($A57, "ycharts_benchmark_category",TODAY()),$B57&lt;&gt;"etf",_xll.YCI("M:" &amp; $A57, "ycharts_benchmark_category",TODAY()))</f>
        <v>#VALUE!</v>
      </c>
      <c r="E57" t="e" cm="1">
        <f t="array" aca="1" ref="E57" ca="1">_xlfn.IFS($B57="etf", _xll.YCI($A57, "ycharts_benchmark_index_symbol",TODAY()),$B57&lt;&gt;"etf",_xll.YCI("M:" &amp; $A57, "ycharts_benchmark_index_symbol",TODAY()))</f>
        <v>#VALUE!</v>
      </c>
      <c r="F57" t="e" cm="1">
        <f t="array" aca="1" ref="F57" ca="1">_xlfn.IFS($B57="etf", _xll.YCI($E57, "security_name",TODAY()),$B57&lt;&gt;"etf",_xll.YCI( $E57, "security_name",TODAY()))</f>
        <v>#VALUE!</v>
      </c>
      <c r="G57" t="e" cm="1">
        <f t="array" aca="1" ref="G57" ca="1">_xlfn.IFS($B57="etf", _xll.YCI($A57, "prospectus_benchmark_index",TODAY()),$B57&lt;&gt;"etf",_xll.YCI("M:" &amp; $A57, "prospectus_benchmark_index",TODAY()))</f>
        <v>#VALUE!</v>
      </c>
      <c r="H57" s="2" t="e" cm="1">
        <f t="array" aca="1" ref="H57" ca="1">_xlfn.IFS($B57="etf", _xll.YCP($A57,"quarterly_total_return",'Database Query'!$E$14),$B57&lt;&gt;"etf",_xll.YCP("M:"&amp; $A57,"quarterly_total_return",'Database Query'!$E$14))</f>
        <v>#VALUE!</v>
      </c>
      <c r="I57" s="2" t="e" cm="1">
        <f t="array" aca="1" ref="I57" ca="1">-_xll.YCP($E57,"quarterly_return",'Database Query'!$E$14)+H57</f>
        <v>#VALUE!</v>
      </c>
      <c r="J57" s="2" t="e" cm="1">
        <f t="array" aca="1" ref="J57" ca="1">_xlfn.IFS($B57="etf", _xll.YCP($A57,"ytd_total_return",'Database Query'!$E$14),$B57&lt;&gt;"etf",_xll.YCP("M:"&amp; $A57,"ytd_total_return",'Database Query'!$E$14))</f>
        <v>#VALUE!</v>
      </c>
      <c r="K57" s="2" t="e" cm="1">
        <f t="array" aca="1" ref="K57" ca="1">-_xll.YCP($E57,"ytd_return",'Database Query'!$E$14)+J57</f>
        <v>#VALUE!</v>
      </c>
      <c r="L57" s="2" t="e" cm="1">
        <f t="array" aca="1" ref="L57" ca="1">_xlfn.IFS($B57="etf", _xll.YCP($A57,"one_year_total_return",'Database Query'!$E$14),$B57&lt;&gt;"etf",_xll.YCP("M:"&amp; $A57,"one_year_total_return",'Database Query'!$E$14))</f>
        <v>#VALUE!</v>
      </c>
      <c r="M57" s="2" t="e" cm="1">
        <f t="array" aca="1" ref="M57" ca="1">-_xll.YCP($E57,"one_year_return",'Database Query'!$E$14)+L57</f>
        <v>#VALUE!</v>
      </c>
      <c r="N57" s="2" t="e" cm="1">
        <f t="array" aca="1" ref="N57" ca="1">_xlfn.IFS($B57="etf", _xll.YCP($A57,"three_year_total_return",'Database Query'!$E$14),$B57&lt;&gt;"etf",_xll.YCP("M:"&amp; $A57,"three_year_total_return",'Database Query'!$E$14))</f>
        <v>#VALUE!</v>
      </c>
      <c r="O57" s="2" t="e" cm="1">
        <f t="array" aca="1" ref="O57" ca="1">-_xll.YCP($E57,"three_year_return",'Database Query'!$E$14)+N57</f>
        <v>#VALUE!</v>
      </c>
      <c r="P57" s="2" t="e" cm="1">
        <f t="array" aca="1" ref="P57" ca="1">_xlfn.IFS($B57="etf", _xll.YCP($A57,"five_year_total_return",'Database Query'!$E$14),$B57&lt;&gt;"etf",_xll.YCP("M:"&amp; $A57,"five_year_total_return",'Database Query'!$E$14))</f>
        <v>#VALUE!</v>
      </c>
      <c r="Q57" s="2" t="e" cm="1">
        <f t="array" aca="1" ref="Q57" ca="1">-_xll.YCP($E57,"five_year_return",'Database Query'!$E$14)+P57</f>
        <v>#VALUE!</v>
      </c>
    </row>
    <row r="58" spans="1:17" x14ac:dyDescent="0.25">
      <c r="A58" t="str">
        <v>DYGIX</v>
      </c>
      <c r="B58" t="e" cm="1">
        <f t="array" aca="1" ref="B58" ca="1">_xll.YCI(A58,"detailed_security_type",TODAY())</f>
        <v>#VALUE!</v>
      </c>
      <c r="C58" t="e" cm="1">
        <f t="array" aca="1" ref="C58" ca="1">_xlfn.IFS(B58="etf", _xll.YCI(A58, "security_name",TODAY()),B58&lt;&gt;"etf",_xll.YCI("M:" &amp; A58, "security_name",TODAY()))</f>
        <v>#VALUE!</v>
      </c>
      <c r="D58" t="e" cm="1">
        <f t="array" aca="1" ref="D58" ca="1">_xlfn.IFS($B58="etf", _xll.YCI($A58, "ycharts_benchmark_category",TODAY()),$B58&lt;&gt;"etf",_xll.YCI("M:" &amp; $A58, "ycharts_benchmark_category",TODAY()))</f>
        <v>#VALUE!</v>
      </c>
      <c r="E58" t="e" cm="1">
        <f t="array" aca="1" ref="E58" ca="1">_xlfn.IFS($B58="etf", _xll.YCI($A58, "ycharts_benchmark_index_symbol",TODAY()),$B58&lt;&gt;"etf",_xll.YCI("M:" &amp; $A58, "ycharts_benchmark_index_symbol",TODAY()))</f>
        <v>#VALUE!</v>
      </c>
      <c r="F58" t="e" cm="1">
        <f t="array" aca="1" ref="F58" ca="1">_xlfn.IFS($B58="etf", _xll.YCI($E58, "security_name",TODAY()),$B58&lt;&gt;"etf",_xll.YCI( $E58, "security_name",TODAY()))</f>
        <v>#VALUE!</v>
      </c>
      <c r="G58" t="e" cm="1">
        <f t="array" aca="1" ref="G58" ca="1">_xlfn.IFS($B58="etf", _xll.YCI($A58, "prospectus_benchmark_index",TODAY()),$B58&lt;&gt;"etf",_xll.YCI("M:" &amp; $A58, "prospectus_benchmark_index",TODAY()))</f>
        <v>#VALUE!</v>
      </c>
      <c r="H58" s="2" t="e" cm="1">
        <f t="array" aca="1" ref="H58" ca="1">_xlfn.IFS($B58="etf", _xll.YCP($A58,"quarterly_total_return",'Database Query'!$E$14),$B58&lt;&gt;"etf",_xll.YCP("M:"&amp; $A58,"quarterly_total_return",'Database Query'!$E$14))</f>
        <v>#VALUE!</v>
      </c>
      <c r="I58" s="2" t="e" cm="1">
        <f t="array" aca="1" ref="I58" ca="1">-_xll.YCP($E58,"quarterly_return",'Database Query'!$E$14)+H58</f>
        <v>#VALUE!</v>
      </c>
      <c r="J58" s="2" t="e" cm="1">
        <f t="array" aca="1" ref="J58" ca="1">_xlfn.IFS($B58="etf", _xll.YCP($A58,"ytd_total_return",'Database Query'!$E$14),$B58&lt;&gt;"etf",_xll.YCP("M:"&amp; $A58,"ytd_total_return",'Database Query'!$E$14))</f>
        <v>#VALUE!</v>
      </c>
      <c r="K58" s="2" t="e" cm="1">
        <f t="array" aca="1" ref="K58" ca="1">-_xll.YCP($E58,"ytd_return",'Database Query'!$E$14)+J58</f>
        <v>#VALUE!</v>
      </c>
      <c r="L58" s="2" t="e" cm="1">
        <f t="array" aca="1" ref="L58" ca="1">_xlfn.IFS($B58="etf", _xll.YCP($A58,"one_year_total_return",'Database Query'!$E$14),$B58&lt;&gt;"etf",_xll.YCP("M:"&amp; $A58,"one_year_total_return",'Database Query'!$E$14))</f>
        <v>#VALUE!</v>
      </c>
      <c r="M58" s="2" t="e" cm="1">
        <f t="array" aca="1" ref="M58" ca="1">-_xll.YCP($E58,"one_year_return",'Database Query'!$E$14)+L58</f>
        <v>#VALUE!</v>
      </c>
      <c r="N58" s="2" t="e" cm="1">
        <f t="array" aca="1" ref="N58" ca="1">_xlfn.IFS($B58="etf", _xll.YCP($A58,"three_year_total_return",'Database Query'!$E$14),$B58&lt;&gt;"etf",_xll.YCP("M:"&amp; $A58,"three_year_total_return",'Database Query'!$E$14))</f>
        <v>#VALUE!</v>
      </c>
      <c r="O58" s="2" t="e" cm="1">
        <f t="array" aca="1" ref="O58" ca="1">-_xll.YCP($E58,"three_year_return",'Database Query'!$E$14)+N58</f>
        <v>#VALUE!</v>
      </c>
      <c r="P58" s="2" t="e" cm="1">
        <f t="array" aca="1" ref="P58" ca="1">_xlfn.IFS($B58="etf", _xll.YCP($A58,"five_year_total_return",'Database Query'!$E$14),$B58&lt;&gt;"etf",_xll.YCP("M:"&amp; $A58,"five_year_total_return",'Database Query'!$E$14))</f>
        <v>#VALUE!</v>
      </c>
      <c r="Q58" s="2" t="e" cm="1">
        <f t="array" aca="1" ref="Q58" ca="1">-_xll.YCP($E58,"five_year_return",'Database Query'!$E$14)+P58</f>
        <v>#VALUE!</v>
      </c>
    </row>
    <row r="59" spans="1:17" x14ac:dyDescent="0.25">
      <c r="A59" t="str">
        <v>EEM</v>
      </c>
      <c r="B59" t="str" cm="1">
        <f t="array" aca="1" ref="B59" ca="1">_xll.YCI(A59,"detailed_security_type",TODAY())</f>
        <v>etf</v>
      </c>
      <c r="C59" t="str" cm="1">
        <f t="array" aca="1" ref="C59" ca="1">_xlfn.IFS(B59="etf", _xll.YCI(A59, "security_name",TODAY()),B59&lt;&gt;"etf",_xll.YCI("M:" &amp; A59, "security_name",TODAY()))</f>
        <v>iShares MSCI Emerging Markets ETF</v>
      </c>
      <c r="D59" t="str" cm="1">
        <f t="array" aca="1" ref="D59" ca="1">_xlfn.IFS($B59="etf", _xll.YCI($A59, "ycharts_benchmark_category",TODAY()),$B59&lt;&gt;"etf",_xll.YCI("M:" &amp; $A59, "ycharts_benchmark_category",TODAY()))</f>
        <v>Emerging Markets Equity</v>
      </c>
      <c r="E59" t="str" cm="1">
        <f t="array" aca="1" ref="E59" ca="1">_xlfn.IFS($B59="etf", _xll.YCI($A59, "ycharts_benchmark_index_symbol",TODAY()),$B59&lt;&gt;"etf",_xll.YCI("M:" &amp; $A59, "ycharts_benchmark_index_symbol",TODAY()))</f>
        <v>^MSEMTR</v>
      </c>
      <c r="F59" t="str" cm="1">
        <f t="array" aca="1" ref="F59" ca="1">_xlfn.IFS($B59="etf", _xll.YCI($E59, "security_name",TODAY()),$B59&lt;&gt;"etf",_xll.YCI( $E59, "security_name",TODAY()))</f>
        <v>MSCI Emerging Markets Total Return</v>
      </c>
      <c r="G59" t="str" cm="1">
        <f t="array" aca="1" ref="G59" ca="1">_xlfn.IFS($B59="etf", _xll.YCI($A59, "prospectus_benchmark_index",TODAY()),$B59&lt;&gt;"etf",_xll.YCI("M:" &amp; $A59, "prospectus_benchmark_index",TODAY()))</f>
        <v>MSCI EM NR USD</v>
      </c>
      <c r="H59" s="2" cm="1">
        <f t="array" aca="1" ref="H59" ca="1">_xlfn.IFS($B59="etf", _xll.YCP($A59,"quarterly_total_return",'Database Query'!$E$14),$B59&lt;&gt;"etf",_xll.YCP("M:"&amp; $A59,"quarterly_total_return",'Database Query'!$E$14))</f>
        <v>-7.2653999999999996E-2</v>
      </c>
      <c r="I59" s="2" cm="1">
        <f t="array" aca="1" ref="I59" ca="1">-_xll.YCP($E59,"quarterly_return",'Database Query'!$E$14)+H59</f>
        <v>5.7130000000000097E-3</v>
      </c>
      <c r="J59" s="2" cm="1">
        <f t="array" aca="1" ref="J59" ca="1">_xlfn.IFS($B59="etf", _xll.YCP($A59,"ytd_total_return",'Database Query'!$E$14),$B59&lt;&gt;"etf",_xll.YCP("M:"&amp; $A59,"ytd_total_return",'Database Query'!$E$14))</f>
        <v>6.4973000000000003E-2</v>
      </c>
      <c r="K59" s="2" cm="1">
        <f t="array" aca="1" ref="K59" ca="1">-_xll.YCP($E59,"ytd_return",'Database Query'!$E$14)+J59</f>
        <v>-1.5532999999999991E-2</v>
      </c>
      <c r="L59" s="2" cm="1">
        <f t="array" aca="1" ref="L59" ca="1">_xlfn.IFS($B59="etf", _xll.YCP($A59,"one_year_total_return",'Database Query'!$E$14),$B59&lt;&gt;"etf",_xll.YCP("M:"&amp; $A59,"one_year_total_return",'Database Query'!$E$14))</f>
        <v>6.4973000000000003E-2</v>
      </c>
      <c r="M59" s="2" cm="1">
        <f t="array" aca="1" ref="M59" ca="1">-_xll.YCP($E59,"one_year_return",'Database Query'!$E$14)+L59</f>
        <v>-1.5532999999999991E-2</v>
      </c>
      <c r="N59" s="2" cm="1">
        <f t="array" aca="1" ref="N59" ca="1">_xlfn.IFS($B59="etf", _xll.YCP($A59,"three_year_total_return",'Database Query'!$E$14),$B59&lt;&gt;"etf",_xll.YCP("M:"&amp; $A59,"three_year_total_return",'Database Query'!$E$14))</f>
        <v>-7.7881000000000006E-2</v>
      </c>
      <c r="O59" s="2" cm="1">
        <f t="array" aca="1" ref="O59" ca="1">-_xll.YCP($E59,"three_year_return",'Database Query'!$E$14)+N59</f>
        <v>-3.4166000000000009E-2</v>
      </c>
      <c r="P59" s="2" cm="1">
        <f t="array" aca="1" ref="P59" ca="1">_xlfn.IFS($B59="etf", _xll.YCP($A59,"five_year_total_return",'Database Query'!$E$14),$B59&lt;&gt;"etf",_xll.YCP("M:"&amp; $A59,"five_year_total_return",'Database Query'!$E$14))</f>
        <v>4.0175000000000002E-2</v>
      </c>
      <c r="Q59" s="2" cm="1">
        <f t="array" aca="1" ref="Q59" ca="1">-_xll.YCP($E59,"five_year_return",'Database Query'!$E$14)+P59</f>
        <v>-6.9577E-2</v>
      </c>
    </row>
    <row r="60" spans="1:17" x14ac:dyDescent="0.25">
      <c r="A60" t="str">
        <v>EFA</v>
      </c>
      <c r="B60" t="str" cm="1">
        <f t="array" aca="1" ref="B60" ca="1">_xll.YCI(A60,"detailed_security_type",TODAY())</f>
        <v>etf</v>
      </c>
      <c r="C60" t="str" cm="1">
        <f t="array" aca="1" ref="C60" ca="1">_xlfn.IFS(B60="etf", _xll.YCI(A60, "security_name",TODAY()),B60&lt;&gt;"etf",_xll.YCI("M:" &amp; A60, "security_name",TODAY()))</f>
        <v>iShares MSCI EAFE ETF</v>
      </c>
      <c r="D60" t="str" cm="1">
        <f t="array" aca="1" ref="D60" ca="1">_xlfn.IFS($B60="etf", _xll.YCI($A60, "ycharts_benchmark_category",TODAY()),$B60&lt;&gt;"etf",_xll.YCI("M:" &amp; $A60, "ycharts_benchmark_category",TODAY()))</f>
        <v>International Large-Cap Core</v>
      </c>
      <c r="E60" t="str" cm="1">
        <f t="array" aca="1" ref="E60" ca="1">_xlfn.IFS($B60="etf", _xll.YCI($A60, "ycharts_benchmark_index_symbol",TODAY()),$B60&lt;&gt;"etf",_xll.YCI("M:" &amp; $A60, "ycharts_benchmark_index_symbol",TODAY()))</f>
        <v>^MSACXUSNTR</v>
      </c>
      <c r="F60" t="str" cm="1">
        <f t="array" aca="1" ref="F60" ca="1">_xlfn.IFS($B60="etf", _xll.YCI($E60, "security_name",TODAY()),$B60&lt;&gt;"etf",_xll.YCI( $E60, "security_name",TODAY()))</f>
        <v>MSCI ACWI Ex USA Net Total Return</v>
      </c>
      <c r="G60" t="str" cm="1">
        <f t="array" aca="1" ref="G60" ca="1">_xlfn.IFS($B60="etf", _xll.YCI($A60, "prospectus_benchmark_index",TODAY()),$B60&lt;&gt;"etf",_xll.YCI("M:" &amp; $A60, "prospectus_benchmark_index",TODAY()))</f>
        <v>MSCI EAFE NR USD</v>
      </c>
      <c r="H60" s="2" cm="1">
        <f t="array" aca="1" ref="H60" ca="1">_xlfn.IFS($B60="etf", _xll.YCP($A60,"quarterly_total_return",'Database Query'!$E$14),$B60&lt;&gt;"etf",_xll.YCP("M:"&amp; $A60,"quarterly_total_return",'Database Query'!$E$14))</f>
        <v>-8.3557999999999993E-2</v>
      </c>
      <c r="I60" s="2" cm="1">
        <f t="array" aca="1" ref="I60" ca="1">-_xll.YCP($E60,"quarterly_return",'Database Query'!$E$14)+H60</f>
        <v>-7.5769999999999865E-3</v>
      </c>
      <c r="J60" s="2" cm="1">
        <f t="array" aca="1" ref="J60" ca="1">_xlfn.IFS($B60="etf", _xll.YCP($A60,"ytd_total_return",'Database Query'!$E$14),$B60&lt;&gt;"etf",_xll.YCP("M:"&amp; $A60,"ytd_total_return",'Database Query'!$E$14))</f>
        <v>3.5101E-2</v>
      </c>
      <c r="K60" s="2" cm="1">
        <f t="array" aca="1" ref="K60" ca="1">-_xll.YCP($E60,"ytd_return",'Database Query'!$E$14)+J60</f>
        <v>-2.0240000000000001E-2</v>
      </c>
      <c r="L60" s="2" cm="1">
        <f t="array" aca="1" ref="L60" ca="1">_xlfn.IFS($B60="etf", _xll.YCP($A60,"one_year_total_return",'Database Query'!$E$14),$B60&lt;&gt;"etf",_xll.YCP("M:"&amp; $A60,"one_year_total_return",'Database Query'!$E$14))</f>
        <v>3.5101E-2</v>
      </c>
      <c r="M60" s="2" cm="1">
        <f t="array" aca="1" ref="M60" ca="1">-_xll.YCP($E60,"one_year_return",'Database Query'!$E$14)+L60</f>
        <v>-2.0240000000000001E-2</v>
      </c>
      <c r="N60" s="2" cm="1">
        <f t="array" aca="1" ref="N60" ca="1">_xlfn.IFS($B60="etf", _xll.YCP($A60,"three_year_total_return",'Database Query'!$E$14),$B60&lt;&gt;"etf",_xll.YCP("M:"&amp; $A60,"three_year_total_return",'Database Query'!$E$14))</f>
        <v>4.9657E-2</v>
      </c>
      <c r="O60" s="2" cm="1">
        <f t="array" aca="1" ref="O60" ca="1">-_xll.YCP($E60,"three_year_return",'Database Query'!$E$14)+N60</f>
        <v>2.4775999999999999E-2</v>
      </c>
      <c r="P60" s="2" cm="1">
        <f t="array" aca="1" ref="P60" ca="1">_xlfn.IFS($B60="etf", _xll.YCP($A60,"five_year_total_return",'Database Query'!$E$14),$B60&lt;&gt;"etf",_xll.YCP("M:"&amp; $A60,"five_year_total_return",'Database Query'!$E$14))</f>
        <v>0.25873699999999999</v>
      </c>
      <c r="Q60" s="2" cm="1">
        <f t="array" aca="1" ref="Q60" ca="1">-_xll.YCP($E60,"five_year_return",'Database Query'!$E$14)+P60</f>
        <v>3.5955999999999988E-2</v>
      </c>
    </row>
    <row r="61" spans="1:17" x14ac:dyDescent="0.25">
      <c r="A61" t="str">
        <v>EIFAX</v>
      </c>
      <c r="B61" t="e" cm="1">
        <f t="array" aca="1" ref="B61" ca="1">_xll.YCI(A61,"detailed_security_type",TODAY())</f>
        <v>#VALUE!</v>
      </c>
      <c r="C61" t="e" cm="1">
        <f t="array" aca="1" ref="C61" ca="1">_xlfn.IFS(B61="etf", _xll.YCI(A61, "security_name",TODAY()),B61&lt;&gt;"etf",_xll.YCI("M:" &amp; A61, "security_name",TODAY()))</f>
        <v>#VALUE!</v>
      </c>
      <c r="D61" t="e" cm="1">
        <f t="array" aca="1" ref="D61" ca="1">_xlfn.IFS($B61="etf", _xll.YCI($A61, "ycharts_benchmark_category",TODAY()),$B61&lt;&gt;"etf",_xll.YCI("M:" &amp; $A61, "ycharts_benchmark_category",TODAY()))</f>
        <v>#VALUE!</v>
      </c>
      <c r="E61" t="e" cm="1">
        <f t="array" aca="1" ref="E61" ca="1">_xlfn.IFS($B61="etf", _xll.YCI($A61, "ycharts_benchmark_index_symbol",TODAY()),$B61&lt;&gt;"etf",_xll.YCI("M:" &amp; $A61, "ycharts_benchmark_index_symbol",TODAY()))</f>
        <v>#VALUE!</v>
      </c>
      <c r="F61" t="e" cm="1">
        <f t="array" aca="1" ref="F61" ca="1">_xlfn.IFS($B61="etf", _xll.YCI($E61, "security_name",TODAY()),$B61&lt;&gt;"etf",_xll.YCI( $E61, "security_name",TODAY()))</f>
        <v>#VALUE!</v>
      </c>
      <c r="G61" t="e" cm="1">
        <f t="array" aca="1" ref="G61" ca="1">_xlfn.IFS($B61="etf", _xll.YCI($A61, "prospectus_benchmark_index",TODAY()),$B61&lt;&gt;"etf",_xll.YCI("M:" &amp; $A61, "prospectus_benchmark_index",TODAY()))</f>
        <v>#VALUE!</v>
      </c>
      <c r="H61" s="2" t="e" cm="1">
        <f t="array" aca="1" ref="H61" ca="1">_xlfn.IFS($B61="etf", _xll.YCP($A61,"quarterly_total_return",'Database Query'!$E$14),$B61&lt;&gt;"etf",_xll.YCP("M:"&amp; $A61,"quarterly_total_return",'Database Query'!$E$14))</f>
        <v>#VALUE!</v>
      </c>
      <c r="I61" s="2" t="e" cm="1">
        <f t="array" aca="1" ref="I61" ca="1">-_xll.YCP($E61,"quarterly_return",'Database Query'!$E$14)+H61</f>
        <v>#VALUE!</v>
      </c>
      <c r="J61" s="2" t="e" cm="1">
        <f t="array" aca="1" ref="J61" ca="1">_xlfn.IFS($B61="etf", _xll.YCP($A61,"ytd_total_return",'Database Query'!$E$14),$B61&lt;&gt;"etf",_xll.YCP("M:"&amp; $A61,"ytd_total_return",'Database Query'!$E$14))</f>
        <v>#VALUE!</v>
      </c>
      <c r="K61" s="2" t="e" cm="1">
        <f t="array" aca="1" ref="K61" ca="1">-_xll.YCP($E61,"ytd_return",'Database Query'!$E$14)+J61</f>
        <v>#VALUE!</v>
      </c>
      <c r="L61" s="2" t="e" cm="1">
        <f t="array" aca="1" ref="L61" ca="1">_xlfn.IFS($B61="etf", _xll.YCP($A61,"one_year_total_return",'Database Query'!$E$14),$B61&lt;&gt;"etf",_xll.YCP("M:"&amp; $A61,"one_year_total_return",'Database Query'!$E$14))</f>
        <v>#VALUE!</v>
      </c>
      <c r="M61" s="2" t="e" cm="1">
        <f t="array" aca="1" ref="M61" ca="1">-_xll.YCP($E61,"one_year_return",'Database Query'!$E$14)+L61</f>
        <v>#VALUE!</v>
      </c>
      <c r="N61" s="2" t="e" cm="1">
        <f t="array" aca="1" ref="N61" ca="1">_xlfn.IFS($B61="etf", _xll.YCP($A61,"three_year_total_return",'Database Query'!$E$14),$B61&lt;&gt;"etf",_xll.YCP("M:"&amp; $A61,"three_year_total_return",'Database Query'!$E$14))</f>
        <v>#VALUE!</v>
      </c>
      <c r="O61" s="2" t="e" cm="1">
        <f t="array" aca="1" ref="O61" ca="1">-_xll.YCP($E61,"three_year_return",'Database Query'!$E$14)+N61</f>
        <v>#VALUE!</v>
      </c>
      <c r="P61" s="2" t="e" cm="1">
        <f t="array" aca="1" ref="P61" ca="1">_xlfn.IFS($B61="etf", _xll.YCP($A61,"five_year_total_return",'Database Query'!$E$14),$B61&lt;&gt;"etf",_xll.YCP("M:"&amp; $A61,"five_year_total_return",'Database Query'!$E$14))</f>
        <v>#VALUE!</v>
      </c>
      <c r="Q61" s="2" t="e" cm="1">
        <f t="array" aca="1" ref="Q61" ca="1">-_xll.YCP($E61,"five_year_return",'Database Query'!$E$14)+P61</f>
        <v>#VALUE!</v>
      </c>
    </row>
    <row r="62" spans="1:17" x14ac:dyDescent="0.25">
      <c r="A62" t="str">
        <v>EIGMX</v>
      </c>
      <c r="B62" t="e" cm="1">
        <f t="array" aca="1" ref="B62" ca="1">_xll.YCI(A62,"detailed_security_type",TODAY())</f>
        <v>#VALUE!</v>
      </c>
      <c r="C62" t="e" cm="1">
        <f t="array" aca="1" ref="C62" ca="1">_xlfn.IFS(B62="etf", _xll.YCI(A62, "security_name",TODAY()),B62&lt;&gt;"etf",_xll.YCI("M:" &amp; A62, "security_name",TODAY()))</f>
        <v>#VALUE!</v>
      </c>
      <c r="D62" t="e" cm="1">
        <f t="array" aca="1" ref="D62" ca="1">_xlfn.IFS($B62="etf", _xll.YCI($A62, "ycharts_benchmark_category",TODAY()),$B62&lt;&gt;"etf",_xll.YCI("M:" &amp; $A62, "ycharts_benchmark_category",TODAY()))</f>
        <v>#VALUE!</v>
      </c>
      <c r="E62" t="e" cm="1">
        <f t="array" aca="1" ref="E62" ca="1">_xlfn.IFS($B62="etf", _xll.YCI($A62, "ycharts_benchmark_index_symbol",TODAY()),$B62&lt;&gt;"etf",_xll.YCI("M:" &amp; $A62, "ycharts_benchmark_index_symbol",TODAY()))</f>
        <v>#VALUE!</v>
      </c>
      <c r="F62" t="e" cm="1">
        <f t="array" aca="1" ref="F62" ca="1">_xlfn.IFS($B62="etf", _xll.YCI($E62, "security_name",TODAY()),$B62&lt;&gt;"etf",_xll.YCI( $E62, "security_name",TODAY()))</f>
        <v>#VALUE!</v>
      </c>
      <c r="G62" t="e" cm="1">
        <f t="array" aca="1" ref="G62" ca="1">_xlfn.IFS($B62="etf", _xll.YCI($A62, "prospectus_benchmark_index",TODAY()),$B62&lt;&gt;"etf",_xll.YCI("M:" &amp; $A62, "prospectus_benchmark_index",TODAY()))</f>
        <v>#VALUE!</v>
      </c>
      <c r="H62" s="2" t="e" cm="1">
        <f t="array" aca="1" ref="H62" ca="1">_xlfn.IFS($B62="etf", _xll.YCP($A62,"quarterly_total_return",'Database Query'!$E$14),$B62&lt;&gt;"etf",_xll.YCP("M:"&amp; $A62,"quarterly_total_return",'Database Query'!$E$14))</f>
        <v>#VALUE!</v>
      </c>
      <c r="I62" s="2" t="e" cm="1">
        <f t="array" aca="1" ref="I62" ca="1">-_xll.YCP($E62,"quarterly_return",'Database Query'!$E$14)+H62</f>
        <v>#VALUE!</v>
      </c>
      <c r="J62" s="2" t="e" cm="1">
        <f t="array" aca="1" ref="J62" ca="1">_xlfn.IFS($B62="etf", _xll.YCP($A62,"ytd_total_return",'Database Query'!$E$14),$B62&lt;&gt;"etf",_xll.YCP("M:"&amp; $A62,"ytd_total_return",'Database Query'!$E$14))</f>
        <v>#VALUE!</v>
      </c>
      <c r="K62" s="2" t="e" cm="1">
        <f t="array" aca="1" ref="K62" ca="1">-_xll.YCP($E62,"ytd_return",'Database Query'!$E$14)+J62</f>
        <v>#VALUE!</v>
      </c>
      <c r="L62" s="2" t="e" cm="1">
        <f t="array" aca="1" ref="L62" ca="1">_xlfn.IFS($B62="etf", _xll.YCP($A62,"one_year_total_return",'Database Query'!$E$14),$B62&lt;&gt;"etf",_xll.YCP("M:"&amp; $A62,"one_year_total_return",'Database Query'!$E$14))</f>
        <v>#VALUE!</v>
      </c>
      <c r="M62" s="2" t="e" cm="1">
        <f t="array" aca="1" ref="M62" ca="1">-_xll.YCP($E62,"one_year_return",'Database Query'!$E$14)+L62</f>
        <v>#VALUE!</v>
      </c>
      <c r="N62" s="2" t="e" cm="1">
        <f t="array" aca="1" ref="N62" ca="1">_xlfn.IFS($B62="etf", _xll.YCP($A62,"three_year_total_return",'Database Query'!$E$14),$B62&lt;&gt;"etf",_xll.YCP("M:"&amp; $A62,"three_year_total_return",'Database Query'!$E$14))</f>
        <v>#VALUE!</v>
      </c>
      <c r="O62" s="2" t="e" cm="1">
        <f t="array" aca="1" ref="O62" ca="1">-_xll.YCP($E62,"three_year_return",'Database Query'!$E$14)+N62</f>
        <v>#VALUE!</v>
      </c>
      <c r="P62" s="2" t="e" cm="1">
        <f t="array" aca="1" ref="P62" ca="1">_xlfn.IFS($B62="etf", _xll.YCP($A62,"five_year_total_return",'Database Query'!$E$14),$B62&lt;&gt;"etf",_xll.YCP("M:"&amp; $A62,"five_year_total_return",'Database Query'!$E$14))</f>
        <v>#VALUE!</v>
      </c>
      <c r="Q62" s="2" t="e" cm="1">
        <f t="array" aca="1" ref="Q62" ca="1">-_xll.YCP($E62,"five_year_return",'Database Query'!$E$14)+P62</f>
        <v>#VALUE!</v>
      </c>
    </row>
    <row r="63" spans="1:17" x14ac:dyDescent="0.25">
      <c r="A63" t="str">
        <v>EIISX</v>
      </c>
      <c r="B63" t="e" cm="1">
        <f t="array" aca="1" ref="B63" ca="1">_xll.YCI(A63,"detailed_security_type",TODAY())</f>
        <v>#VALUE!</v>
      </c>
      <c r="C63" t="e" cm="1">
        <f t="array" aca="1" ref="C63" ca="1">_xlfn.IFS(B63="etf", _xll.YCI(A63, "security_name",TODAY()),B63&lt;&gt;"etf",_xll.YCI("M:" &amp; A63, "security_name",TODAY()))</f>
        <v>#VALUE!</v>
      </c>
      <c r="D63" t="e" cm="1">
        <f t="array" aca="1" ref="D63" ca="1">_xlfn.IFS($B63="etf", _xll.YCI($A63, "ycharts_benchmark_category",TODAY()),$B63&lt;&gt;"etf",_xll.YCI("M:" &amp; $A63, "ycharts_benchmark_category",TODAY()))</f>
        <v>#VALUE!</v>
      </c>
      <c r="E63" t="e" cm="1">
        <f t="array" aca="1" ref="E63" ca="1">_xlfn.IFS($B63="etf", _xll.YCI($A63, "ycharts_benchmark_index_symbol",TODAY()),$B63&lt;&gt;"etf",_xll.YCI("M:" &amp; $A63, "ycharts_benchmark_index_symbol",TODAY()))</f>
        <v>#VALUE!</v>
      </c>
      <c r="F63" t="e" cm="1">
        <f t="array" aca="1" ref="F63" ca="1">_xlfn.IFS($B63="etf", _xll.YCI($E63, "security_name",TODAY()),$B63&lt;&gt;"etf",_xll.YCI( $E63, "security_name",TODAY()))</f>
        <v>#VALUE!</v>
      </c>
      <c r="G63" t="e" cm="1">
        <f t="array" aca="1" ref="G63" ca="1">_xlfn.IFS($B63="etf", _xll.YCI($A63, "prospectus_benchmark_index",TODAY()),$B63&lt;&gt;"etf",_xll.YCI("M:" &amp; $A63, "prospectus_benchmark_index",TODAY()))</f>
        <v>#VALUE!</v>
      </c>
      <c r="H63" s="2" t="e" cm="1">
        <f t="array" aca="1" ref="H63" ca="1">_xlfn.IFS($B63="etf", _xll.YCP($A63,"quarterly_total_return",'Database Query'!$E$14),$B63&lt;&gt;"etf",_xll.YCP("M:"&amp; $A63,"quarterly_total_return",'Database Query'!$E$14))</f>
        <v>#VALUE!</v>
      </c>
      <c r="I63" s="2" t="e" cm="1">
        <f t="array" aca="1" ref="I63" ca="1">-_xll.YCP($E63,"quarterly_return",'Database Query'!$E$14)+H63</f>
        <v>#VALUE!</v>
      </c>
      <c r="J63" s="2" t="e" cm="1">
        <f t="array" aca="1" ref="J63" ca="1">_xlfn.IFS($B63="etf", _xll.YCP($A63,"ytd_total_return",'Database Query'!$E$14),$B63&lt;&gt;"etf",_xll.YCP("M:"&amp; $A63,"ytd_total_return",'Database Query'!$E$14))</f>
        <v>#VALUE!</v>
      </c>
      <c r="K63" s="2" t="e" cm="1">
        <f t="array" aca="1" ref="K63" ca="1">-_xll.YCP($E63,"ytd_return",'Database Query'!$E$14)+J63</f>
        <v>#VALUE!</v>
      </c>
      <c r="L63" s="2" t="e" cm="1">
        <f t="array" aca="1" ref="L63" ca="1">_xlfn.IFS($B63="etf", _xll.YCP($A63,"one_year_total_return",'Database Query'!$E$14),$B63&lt;&gt;"etf",_xll.YCP("M:"&amp; $A63,"one_year_total_return",'Database Query'!$E$14))</f>
        <v>#VALUE!</v>
      </c>
      <c r="M63" s="2" t="e" cm="1">
        <f t="array" aca="1" ref="M63" ca="1">-_xll.YCP($E63,"one_year_return",'Database Query'!$E$14)+L63</f>
        <v>#VALUE!</v>
      </c>
      <c r="N63" s="2" t="e" cm="1">
        <f t="array" aca="1" ref="N63" ca="1">_xlfn.IFS($B63="etf", _xll.YCP($A63,"three_year_total_return",'Database Query'!$E$14),$B63&lt;&gt;"etf",_xll.YCP("M:"&amp; $A63,"three_year_total_return",'Database Query'!$E$14))</f>
        <v>#VALUE!</v>
      </c>
      <c r="O63" s="2" t="e" cm="1">
        <f t="array" aca="1" ref="O63" ca="1">-_xll.YCP($E63,"three_year_return",'Database Query'!$E$14)+N63</f>
        <v>#VALUE!</v>
      </c>
      <c r="P63" s="2" t="e" cm="1">
        <f t="array" aca="1" ref="P63" ca="1">_xlfn.IFS($B63="etf", _xll.YCP($A63,"five_year_total_return",'Database Query'!$E$14),$B63&lt;&gt;"etf",_xll.YCP("M:"&amp; $A63,"five_year_total_return",'Database Query'!$E$14))</f>
        <v>#VALUE!</v>
      </c>
      <c r="Q63" s="2" t="e" cm="1">
        <f t="array" aca="1" ref="Q63" ca="1">-_xll.YCP($E63,"five_year_return",'Database Query'!$E$14)+P63</f>
        <v>#VALUE!</v>
      </c>
    </row>
    <row r="64" spans="1:17" x14ac:dyDescent="0.25">
      <c r="A64" t="str">
        <v>EIPCX</v>
      </c>
      <c r="B64" t="e" cm="1">
        <f t="array" aca="1" ref="B64" ca="1">_xll.YCI(A64,"detailed_security_type",TODAY())</f>
        <v>#VALUE!</v>
      </c>
      <c r="C64" t="e" cm="1">
        <f t="array" aca="1" ref="C64" ca="1">_xlfn.IFS(B64="etf", _xll.YCI(A64, "security_name",TODAY()),B64&lt;&gt;"etf",_xll.YCI("M:" &amp; A64, "security_name",TODAY()))</f>
        <v>#VALUE!</v>
      </c>
      <c r="D64" t="e" cm="1">
        <f t="array" aca="1" ref="D64" ca="1">_xlfn.IFS($B64="etf", _xll.YCI($A64, "ycharts_benchmark_category",TODAY()),$B64&lt;&gt;"etf",_xll.YCI("M:" &amp; $A64, "ycharts_benchmark_category",TODAY()))</f>
        <v>#VALUE!</v>
      </c>
      <c r="E64" t="e" cm="1">
        <f t="array" aca="1" ref="E64" ca="1">_xlfn.IFS($B64="etf", _xll.YCI($A64, "ycharts_benchmark_index_symbol",TODAY()),$B64&lt;&gt;"etf",_xll.YCI("M:" &amp; $A64, "ycharts_benchmark_index_symbol",TODAY()))</f>
        <v>#VALUE!</v>
      </c>
      <c r="F64" t="e" cm="1">
        <f t="array" aca="1" ref="F64" ca="1">_xlfn.IFS($B64="etf", _xll.YCI($E64, "security_name",TODAY()),$B64&lt;&gt;"etf",_xll.YCI( $E64, "security_name",TODAY()))</f>
        <v>#VALUE!</v>
      </c>
      <c r="G64" t="e" cm="1">
        <f t="array" aca="1" ref="G64" ca="1">_xlfn.IFS($B64="etf", _xll.YCI($A64, "prospectus_benchmark_index",TODAY()),$B64&lt;&gt;"etf",_xll.YCI("M:" &amp; $A64, "prospectus_benchmark_index",TODAY()))</f>
        <v>#VALUE!</v>
      </c>
      <c r="H64" s="2" t="e" cm="1">
        <f t="array" aca="1" ref="H64" ca="1">_xlfn.IFS($B64="etf", _xll.YCP($A64,"quarterly_total_return",'Database Query'!$E$14),$B64&lt;&gt;"etf",_xll.YCP("M:"&amp; $A64,"quarterly_total_return",'Database Query'!$E$14))</f>
        <v>#VALUE!</v>
      </c>
      <c r="I64" s="2" t="e" cm="1">
        <f t="array" aca="1" ref="I64" ca="1">-_xll.YCP($E64,"quarterly_return",'Database Query'!$E$14)+H64</f>
        <v>#VALUE!</v>
      </c>
      <c r="J64" s="2" t="e" cm="1">
        <f t="array" aca="1" ref="J64" ca="1">_xlfn.IFS($B64="etf", _xll.YCP($A64,"ytd_total_return",'Database Query'!$E$14),$B64&lt;&gt;"etf",_xll.YCP("M:"&amp; $A64,"ytd_total_return",'Database Query'!$E$14))</f>
        <v>#VALUE!</v>
      </c>
      <c r="K64" s="2" t="e" cm="1">
        <f t="array" aca="1" ref="K64" ca="1">-_xll.YCP($E64,"ytd_return",'Database Query'!$E$14)+J64</f>
        <v>#VALUE!</v>
      </c>
      <c r="L64" s="2" t="e" cm="1">
        <f t="array" aca="1" ref="L64" ca="1">_xlfn.IFS($B64="etf", _xll.YCP($A64,"one_year_total_return",'Database Query'!$E$14),$B64&lt;&gt;"etf",_xll.YCP("M:"&amp; $A64,"one_year_total_return",'Database Query'!$E$14))</f>
        <v>#VALUE!</v>
      </c>
      <c r="M64" s="2" t="e" cm="1">
        <f t="array" aca="1" ref="M64" ca="1">-_xll.YCP($E64,"one_year_return",'Database Query'!$E$14)+L64</f>
        <v>#VALUE!</v>
      </c>
      <c r="N64" s="2" t="e" cm="1">
        <f t="array" aca="1" ref="N64" ca="1">_xlfn.IFS($B64="etf", _xll.YCP($A64,"three_year_total_return",'Database Query'!$E$14),$B64&lt;&gt;"etf",_xll.YCP("M:"&amp; $A64,"three_year_total_return",'Database Query'!$E$14))</f>
        <v>#VALUE!</v>
      </c>
      <c r="O64" s="2" t="e" cm="1">
        <f t="array" aca="1" ref="O64" ca="1">-_xll.YCP($E64,"three_year_return",'Database Query'!$E$14)+N64</f>
        <v>#VALUE!</v>
      </c>
      <c r="P64" s="2" t="e" cm="1">
        <f t="array" aca="1" ref="P64" ca="1">_xlfn.IFS($B64="etf", _xll.YCP($A64,"five_year_total_return",'Database Query'!$E$14),$B64&lt;&gt;"etf",_xll.YCP("M:"&amp; $A64,"five_year_total_return",'Database Query'!$E$14))</f>
        <v>#VALUE!</v>
      </c>
      <c r="Q64" s="2" t="e" cm="1">
        <f t="array" aca="1" ref="Q64" ca="1">-_xll.YCP($E64,"five_year_return",'Database Query'!$E$14)+P64</f>
        <v>#VALUE!</v>
      </c>
    </row>
    <row r="65" spans="1:17" x14ac:dyDescent="0.25">
      <c r="A65" t="str">
        <v>EMB</v>
      </c>
      <c r="B65" t="str" cm="1">
        <f t="array" aca="1" ref="B65" ca="1">_xll.YCI(A65,"detailed_security_type",TODAY())</f>
        <v>etf</v>
      </c>
      <c r="C65" t="str" cm="1">
        <f t="array" aca="1" ref="C65" ca="1">_xlfn.IFS(B65="etf", _xll.YCI(A65, "security_name",TODAY()),B65&lt;&gt;"etf",_xll.YCI("M:" &amp; A65, "security_name",TODAY()))</f>
        <v>iShares JPMorgan USD Emerging Markets Bond ETF</v>
      </c>
      <c r="D65" t="str" cm="1">
        <f t="array" aca="1" ref="D65" ca="1">_xlfn.IFS($B65="etf", _xll.YCI($A65, "ycharts_benchmark_category",TODAY()),$B65&lt;&gt;"etf",_xll.YCI("M:" &amp; $A65, "ycharts_benchmark_category",TODAY()))</f>
        <v>Emerging Markets Bond</v>
      </c>
      <c r="E65" t="str" cm="1">
        <f t="array" aca="1" ref="E65" ca="1">_xlfn.IFS($B65="etf", _xll.YCI($A65, "ycharts_benchmark_index_symbol",TODAY()),$B65&lt;&gt;"etf",_xll.YCI("M:" &amp; $A65, "ycharts_benchmark_index_symbol",TODAY()))</f>
        <v>^BBEMUSDATR</v>
      </c>
      <c r="F65" t="str" cm="1">
        <f t="array" aca="1" ref="F65" ca="1">_xlfn.IFS($B65="etf", _xll.YCI($E65, "security_name",TODAY()),$B65&lt;&gt;"etf",_xll.YCI( $E65, "security_name",TODAY()))</f>
        <v>Bloomberg EM USD Aggregate</v>
      </c>
      <c r="G65" t="str" cm="1">
        <f t="array" aca="1" ref="G65" ca="1">_xlfn.IFS($B65="etf", _xll.YCI($A65, "prospectus_benchmark_index",TODAY()),$B65&lt;&gt;"etf",_xll.YCI("M:" &amp; $A65, "prospectus_benchmark_index",TODAY()))</f>
        <v>JPM EMBI Global Core TR USD</v>
      </c>
      <c r="H65" s="2" cm="1">
        <f t="array" aca="1" ref="H65" ca="1">_xlfn.IFS($B65="etf", _xll.YCP($A65,"quarterly_total_return",'Database Query'!$E$14),$B65&lt;&gt;"etf",_xll.YCP("M:"&amp; $A65,"quarterly_total_return",'Database Query'!$E$14))</f>
        <v>-2.8662E-2</v>
      </c>
      <c r="I65" s="2" cm="1">
        <f t="array" aca="1" ref="I65" ca="1">-_xll.YCP($E65,"quarterly_return",'Database Query'!$E$14)+H65</f>
        <v>-1.3998E-2</v>
      </c>
      <c r="J65" s="2" cm="1">
        <f t="array" aca="1" ref="J65" ca="1">_xlfn.IFS($B65="etf", _xll.YCP($A65,"ytd_total_return",'Database Query'!$E$14),$B65&lt;&gt;"etf",_xll.YCP("M:"&amp; $A65,"ytd_total_return",'Database Query'!$E$14))</f>
        <v>5.5391999999999997E-2</v>
      </c>
      <c r="K65" s="2" cm="1">
        <f t="array" aca="1" ref="K65" ca="1">-_xll.YCP($E65,"ytd_return",'Database Query'!$E$14)+J65</f>
        <v>-1.0421E-2</v>
      </c>
      <c r="L65" s="2" cm="1">
        <f t="array" aca="1" ref="L65" ca="1">_xlfn.IFS($B65="etf", _xll.YCP($A65,"one_year_total_return",'Database Query'!$E$14),$B65&lt;&gt;"etf",_xll.YCP("M:"&amp; $A65,"one_year_total_return",'Database Query'!$E$14))</f>
        <v>5.5391999999999997E-2</v>
      </c>
      <c r="M65" s="2" cm="1">
        <f t="array" aca="1" ref="M65" ca="1">-_xll.YCP($E65,"one_year_return",'Database Query'!$E$14)+L65</f>
        <v>-1.0421E-2</v>
      </c>
      <c r="N65" s="2" cm="1">
        <f t="array" aca="1" ref="N65" ca="1">_xlfn.IFS($B65="etf", _xll.YCP($A65,"three_year_total_return",'Database Query'!$E$14),$B65&lt;&gt;"etf",_xll.YCP("M:"&amp; $A65,"three_year_total_return",'Database Query'!$E$14))</f>
        <v>-5.0337E-2</v>
      </c>
      <c r="O65" s="2" cm="1">
        <f t="array" aca="1" ref="O65" ca="1">-_xll.YCP($E65,"three_year_return",'Database Query'!$E$14)+N65</f>
        <v>-3.5567000000000001E-2</v>
      </c>
      <c r="P65" s="2" cm="1">
        <f t="array" aca="1" ref="P65" ca="1">_xlfn.IFS($B65="etf", _xll.YCP($A65,"five_year_total_return",'Database Query'!$E$14),$B65&lt;&gt;"etf",_xll.YCP("M:"&amp; $A65,"five_year_total_return",'Database Query'!$E$14))</f>
        <v>-2.1246000000000001E-2</v>
      </c>
      <c r="Q65" s="2" cm="1">
        <f t="array" aca="1" ref="Q65" ca="1">-_xll.YCP($E65,"five_year_return",'Database Query'!$E$14)+P65</f>
        <v>-5.3366999999999998E-2</v>
      </c>
    </row>
    <row r="66" spans="1:17" x14ac:dyDescent="0.25">
      <c r="A66" t="str">
        <v>ESGE</v>
      </c>
      <c r="B66" t="str" cm="1">
        <f t="array" aca="1" ref="B66" ca="1">_xll.YCI(A66,"detailed_security_type",TODAY())</f>
        <v>etf</v>
      </c>
      <c r="C66" t="str" cm="1">
        <f t="array" aca="1" ref="C66" ca="1">_xlfn.IFS(B66="etf", _xll.YCI(A66, "security_name",TODAY()),B66&lt;&gt;"etf",_xll.YCI("M:" &amp; A66, "security_name",TODAY()))</f>
        <v>iShares ESG Aware MSCI EM ETF</v>
      </c>
      <c r="D66" t="str" cm="1">
        <f t="array" aca="1" ref="D66" ca="1">_xlfn.IFS($B66="etf", _xll.YCI($A66, "ycharts_benchmark_category",TODAY()),$B66&lt;&gt;"etf",_xll.YCI("M:" &amp; $A66, "ycharts_benchmark_category",TODAY()))</f>
        <v>Emerging Markets Equity</v>
      </c>
      <c r="E66" t="str" cm="1">
        <f t="array" aca="1" ref="E66" ca="1">_xlfn.IFS($B66="etf", _xll.YCI($A66, "ycharts_benchmark_index_symbol",TODAY()),$B66&lt;&gt;"etf",_xll.YCI("M:" &amp; $A66, "ycharts_benchmark_index_symbol",TODAY()))</f>
        <v>^MSEMTR</v>
      </c>
      <c r="F66" t="str" cm="1">
        <f t="array" aca="1" ref="F66" ca="1">_xlfn.IFS($B66="etf", _xll.YCI($E66, "security_name",TODAY()),$B66&lt;&gt;"etf",_xll.YCI( $E66, "security_name",TODAY()))</f>
        <v>MSCI Emerging Markets Total Return</v>
      </c>
      <c r="G66" t="str" cm="1">
        <f t="array" aca="1" ref="G66" ca="1">_xlfn.IFS($B66="etf", _xll.YCI($A66, "prospectus_benchmark_index",TODAY()),$B66&lt;&gt;"etf",_xll.YCI("M:" &amp; $A66, "prospectus_benchmark_index",TODAY()))</f>
        <v>MSCI EM EXTENDED ESG FOCUS NR USD</v>
      </c>
      <c r="H66" s="2" cm="1">
        <f t="array" aca="1" ref="H66" ca="1">_xlfn.IFS($B66="etf", _xll.YCP($A66,"quarterly_total_return",'Database Query'!$E$14),$B66&lt;&gt;"etf",_xll.YCP("M:"&amp; $A66,"quarterly_total_return",'Database Query'!$E$14))</f>
        <v>-6.8106E-2</v>
      </c>
      <c r="I66" s="2" cm="1">
        <f t="array" aca="1" ref="I66" ca="1">-_xll.YCP($E66,"quarterly_return",'Database Query'!$E$14)+H66</f>
        <v>1.0261000000000006E-2</v>
      </c>
      <c r="J66" s="2" cm="1">
        <f t="array" aca="1" ref="J66" ca="1">_xlfn.IFS($B66="etf", _xll.YCP($A66,"ytd_total_return",'Database Query'!$E$14),$B66&lt;&gt;"etf",_xll.YCP("M:"&amp; $A66,"ytd_total_return",'Database Query'!$E$14))</f>
        <v>6.6355999999999998E-2</v>
      </c>
      <c r="K66" s="2" cm="1">
        <f t="array" aca="1" ref="K66" ca="1">-_xll.YCP($E66,"ytd_return",'Database Query'!$E$14)+J66</f>
        <v>-1.4149999999999996E-2</v>
      </c>
      <c r="L66" s="2" cm="1">
        <f t="array" aca="1" ref="L66" ca="1">_xlfn.IFS($B66="etf", _xll.YCP($A66,"one_year_total_return",'Database Query'!$E$14),$B66&lt;&gt;"etf",_xll.YCP("M:"&amp; $A66,"one_year_total_return",'Database Query'!$E$14))</f>
        <v>6.6355999999999998E-2</v>
      </c>
      <c r="M66" s="2" cm="1">
        <f t="array" aca="1" ref="M66" ca="1">-_xll.YCP($E66,"one_year_return",'Database Query'!$E$14)+L66</f>
        <v>-1.4149999999999996E-2</v>
      </c>
      <c r="N66" s="2" cm="1">
        <f t="array" aca="1" ref="N66" ca="1">_xlfn.IFS($B66="etf", _xll.YCP($A66,"three_year_total_return",'Database Query'!$E$14),$B66&lt;&gt;"etf",_xll.YCP("M:"&amp; $A66,"three_year_total_return",'Database Query'!$E$14))</f>
        <v>-9.3589000000000006E-2</v>
      </c>
      <c r="O66" s="2" cm="1">
        <f t="array" aca="1" ref="O66" ca="1">-_xll.YCP($E66,"three_year_return",'Database Query'!$E$14)+N66</f>
        <v>-4.9874000000000009E-2</v>
      </c>
      <c r="P66" s="2" cm="1">
        <f t="array" aca="1" ref="P66" ca="1">_xlfn.IFS($B66="etf", _xll.YCP($A66,"five_year_total_return",'Database Query'!$E$14),$B66&lt;&gt;"etf",_xll.YCP("M:"&amp; $A66,"five_year_total_return",'Database Query'!$E$14))</f>
        <v>4.4595999999999997E-2</v>
      </c>
      <c r="Q66" s="2" cm="1">
        <f t="array" aca="1" ref="Q66" ca="1">-_xll.YCP($E66,"five_year_return",'Database Query'!$E$14)+P66</f>
        <v>-6.5156000000000006E-2</v>
      </c>
    </row>
    <row r="67" spans="1:17" x14ac:dyDescent="0.25">
      <c r="A67" t="str">
        <v>ESIIX</v>
      </c>
      <c r="B67" t="e" cm="1">
        <f t="array" aca="1" ref="B67" ca="1">_xll.YCI(A67,"detailed_security_type",TODAY())</f>
        <v>#VALUE!</v>
      </c>
      <c r="C67" t="e" cm="1">
        <f t="array" aca="1" ref="C67" ca="1">_xlfn.IFS(B67="etf", _xll.YCI(A67, "security_name",TODAY()),B67&lt;&gt;"etf",_xll.YCI("M:" &amp; A67, "security_name",TODAY()))</f>
        <v>#VALUE!</v>
      </c>
      <c r="D67" t="e" cm="1">
        <f t="array" aca="1" ref="D67" ca="1">_xlfn.IFS($B67="etf", _xll.YCI($A67, "ycharts_benchmark_category",TODAY()),$B67&lt;&gt;"etf",_xll.YCI("M:" &amp; $A67, "ycharts_benchmark_category",TODAY()))</f>
        <v>#VALUE!</v>
      </c>
      <c r="E67" t="e" cm="1">
        <f t="array" aca="1" ref="E67" ca="1">_xlfn.IFS($B67="etf", _xll.YCI($A67, "ycharts_benchmark_index_symbol",TODAY()),$B67&lt;&gt;"etf",_xll.YCI("M:" &amp; $A67, "ycharts_benchmark_index_symbol",TODAY()))</f>
        <v>#VALUE!</v>
      </c>
      <c r="F67" t="e" cm="1">
        <f t="array" aca="1" ref="F67" ca="1">_xlfn.IFS($B67="etf", _xll.YCI($E67, "security_name",TODAY()),$B67&lt;&gt;"etf",_xll.YCI( $E67, "security_name",TODAY()))</f>
        <v>#VALUE!</v>
      </c>
      <c r="G67" t="e" cm="1">
        <f t="array" aca="1" ref="G67" ca="1">_xlfn.IFS($B67="etf", _xll.YCI($A67, "prospectus_benchmark_index",TODAY()),$B67&lt;&gt;"etf",_xll.YCI("M:" &amp; $A67, "prospectus_benchmark_index",TODAY()))</f>
        <v>#VALUE!</v>
      </c>
      <c r="H67" s="2" t="e" cm="1">
        <f t="array" aca="1" ref="H67" ca="1">_xlfn.IFS($B67="etf", _xll.YCP($A67,"quarterly_total_return",'Database Query'!$E$14),$B67&lt;&gt;"etf",_xll.YCP("M:"&amp; $A67,"quarterly_total_return",'Database Query'!$E$14))</f>
        <v>#VALUE!</v>
      </c>
      <c r="I67" s="2" t="e" cm="1">
        <f t="array" aca="1" ref="I67" ca="1">-_xll.YCP($E67,"quarterly_return",'Database Query'!$E$14)+H67</f>
        <v>#VALUE!</v>
      </c>
      <c r="J67" s="2" t="e" cm="1">
        <f t="array" aca="1" ref="J67" ca="1">_xlfn.IFS($B67="etf", _xll.YCP($A67,"ytd_total_return",'Database Query'!$E$14),$B67&lt;&gt;"etf",_xll.YCP("M:"&amp; $A67,"ytd_total_return",'Database Query'!$E$14))</f>
        <v>#VALUE!</v>
      </c>
      <c r="K67" s="2" t="e" cm="1">
        <f t="array" aca="1" ref="K67" ca="1">-_xll.YCP($E67,"ytd_return",'Database Query'!$E$14)+J67</f>
        <v>#VALUE!</v>
      </c>
      <c r="L67" s="2" t="e" cm="1">
        <f t="array" aca="1" ref="L67" ca="1">_xlfn.IFS($B67="etf", _xll.YCP($A67,"one_year_total_return",'Database Query'!$E$14),$B67&lt;&gt;"etf",_xll.YCP("M:"&amp; $A67,"one_year_total_return",'Database Query'!$E$14))</f>
        <v>#VALUE!</v>
      </c>
      <c r="M67" s="2" t="e" cm="1">
        <f t="array" aca="1" ref="M67" ca="1">-_xll.YCP($E67,"one_year_return",'Database Query'!$E$14)+L67</f>
        <v>#VALUE!</v>
      </c>
      <c r="N67" s="2" t="e" cm="1">
        <f t="array" aca="1" ref="N67" ca="1">_xlfn.IFS($B67="etf", _xll.YCP($A67,"three_year_total_return",'Database Query'!$E$14),$B67&lt;&gt;"etf",_xll.YCP("M:"&amp; $A67,"three_year_total_return",'Database Query'!$E$14))</f>
        <v>#VALUE!</v>
      </c>
      <c r="O67" s="2" t="e" cm="1">
        <f t="array" aca="1" ref="O67" ca="1">-_xll.YCP($E67,"three_year_return",'Database Query'!$E$14)+N67</f>
        <v>#VALUE!</v>
      </c>
      <c r="P67" s="2" t="e" cm="1">
        <f t="array" aca="1" ref="P67" ca="1">_xlfn.IFS($B67="etf", _xll.YCP($A67,"five_year_total_return",'Database Query'!$E$14),$B67&lt;&gt;"etf",_xll.YCP("M:"&amp; $A67,"five_year_total_return",'Database Query'!$E$14))</f>
        <v>#VALUE!</v>
      </c>
      <c r="Q67" s="2" t="e" cm="1">
        <f t="array" aca="1" ref="Q67" ca="1">-_xll.YCP($E67,"five_year_return",'Database Query'!$E$14)+P67</f>
        <v>#VALUE!</v>
      </c>
    </row>
    <row r="68" spans="1:17" x14ac:dyDescent="0.25">
      <c r="A68" t="str">
        <v>FBND</v>
      </c>
      <c r="B68" t="str" cm="1">
        <f t="array" aca="1" ref="B68" ca="1">_xll.YCI(A68,"detailed_security_type",TODAY())</f>
        <v>etf</v>
      </c>
      <c r="C68" t="str" cm="1">
        <f t="array" aca="1" ref="C68" ca="1">_xlfn.IFS(B68="etf", _xll.YCI(A68, "security_name",TODAY()),B68&lt;&gt;"etf",_xll.YCI("M:" &amp; A68, "security_name",TODAY()))</f>
        <v>Fidelity Total Bond ETF</v>
      </c>
      <c r="D68" t="str" cm="1">
        <f t="array" aca="1" ref="D68" ca="1">_xlfn.IFS($B68="etf", _xll.YCI($A68, "ycharts_benchmark_category",TODAY()),$B68&lt;&gt;"etf",_xll.YCI("M:" &amp; $A68, "ycharts_benchmark_category",TODAY()))</f>
        <v>US Aggregate Bond</v>
      </c>
      <c r="E68" t="str" cm="1">
        <f t="array" aca="1" ref="E68" ca="1">_xlfn.IFS($B68="etf", _xll.YCI($A68, "ycharts_benchmark_index_symbol",TODAY()),$B68&lt;&gt;"etf",_xll.YCI("M:" &amp; $A68, "ycharts_benchmark_index_symbol",TODAY()))</f>
        <v>^BBUSATR</v>
      </c>
      <c r="F68" t="str" cm="1">
        <f t="array" aca="1" ref="F68" ca="1">_xlfn.IFS($B68="etf", _xll.YCI($E68, "security_name",TODAY()),$B68&lt;&gt;"etf",_xll.YCI( $E68, "security_name",TODAY()))</f>
        <v>Bloomberg US Aggregate</v>
      </c>
      <c r="G68" t="str" cm="1">
        <f t="array" aca="1" ref="G68" ca="1">_xlfn.IFS($B68="etf", _xll.YCI($A68, "prospectus_benchmark_index",TODAY()),$B68&lt;&gt;"etf",_xll.YCI("M:" &amp; $A68, "prospectus_benchmark_index",TODAY()))</f>
        <v>Bloomberg US Agg Bond TR USD</v>
      </c>
      <c r="H68" s="2" cm="1">
        <f t="array" aca="1" ref="H68" ca="1">_xlfn.IFS($B68="etf", _xll.YCP($A68,"quarterly_total_return",'Database Query'!$E$14),$B68&lt;&gt;"etf",_xll.YCP("M:"&amp; $A68,"quarterly_total_return",'Database Query'!$E$14))</f>
        <v>-2.8656000000000001E-2</v>
      </c>
      <c r="I68" s="2" cm="1">
        <f t="array" aca="1" ref="I68" ca="1">-_xll.YCP($E68,"quarterly_return",'Database Query'!$E$14)+H68</f>
        <v>1.9609999999999975E-3</v>
      </c>
      <c r="J68" s="2" cm="1">
        <f t="array" aca="1" ref="J68" ca="1">_xlfn.IFS($B68="etf", _xll.YCP($A68,"ytd_total_return",'Database Query'!$E$14),$B68&lt;&gt;"etf",_xll.YCP("M:"&amp; $A68,"ytd_total_return",'Database Query'!$E$14))</f>
        <v>2.1232000000000001E-2</v>
      </c>
      <c r="K68" s="2" cm="1">
        <f t="array" aca="1" ref="K68" ca="1">-_xll.YCP($E68,"ytd_return",'Database Query'!$E$14)+J68</f>
        <v>8.7300000000000016E-3</v>
      </c>
      <c r="L68" s="2" cm="1">
        <f t="array" aca="1" ref="L68" ca="1">_xlfn.IFS($B68="etf", _xll.YCP($A68,"one_year_total_return",'Database Query'!$E$14),$B68&lt;&gt;"etf",_xll.YCP("M:"&amp; $A68,"one_year_total_return",'Database Query'!$E$14))</f>
        <v>2.1232000000000001E-2</v>
      </c>
      <c r="M68" s="2" cm="1">
        <f t="array" aca="1" ref="M68" ca="1">-_xll.YCP($E68,"one_year_return",'Database Query'!$E$14)+L68</f>
        <v>8.7300000000000016E-3</v>
      </c>
      <c r="N68" s="2" cm="1">
        <f t="array" aca="1" ref="N68" ca="1">_xlfn.IFS($B68="etf", _xll.YCP($A68,"three_year_total_return",'Database Query'!$E$14),$B68&lt;&gt;"etf",_xll.YCP("M:"&amp; $A68,"three_year_total_return",'Database Query'!$E$14))</f>
        <v>-4.6032999999999998E-2</v>
      </c>
      <c r="O68" s="2" cm="1">
        <f t="array" aca="1" ref="O68" ca="1">-_xll.YCP($E68,"three_year_return",'Database Query'!$E$14)+N68</f>
        <v>2.4495999999999997E-2</v>
      </c>
      <c r="P68" s="2" cm="1">
        <f t="array" aca="1" ref="P68" ca="1">_xlfn.IFS($B68="etf", _xll.YCP($A68,"five_year_total_return",'Database Query'!$E$14),$B68&lt;&gt;"etf",_xll.YCP("M:"&amp; $A68,"five_year_total_return",'Database Query'!$E$14))</f>
        <v>3.9294999999999997E-2</v>
      </c>
      <c r="Q68" s="2" cm="1">
        <f t="array" aca="1" ref="Q68" ca="1">-_xll.YCP($E68,"five_year_return",'Database Query'!$E$14)+P68</f>
        <v>5.5460999999999996E-2</v>
      </c>
    </row>
    <row r="69" spans="1:17" x14ac:dyDescent="0.25">
      <c r="A69" t="str">
        <v>FCNTX</v>
      </c>
      <c r="B69" t="e" cm="1">
        <f t="array" aca="1" ref="B69" ca="1">_xll.YCI(A69,"detailed_security_type",TODAY())</f>
        <v>#VALUE!</v>
      </c>
      <c r="C69" t="e" cm="1">
        <f t="array" aca="1" ref="C69" ca="1">_xlfn.IFS(B69="etf", _xll.YCI(A69, "security_name",TODAY()),B69&lt;&gt;"etf",_xll.YCI("M:" &amp; A69, "security_name",TODAY()))</f>
        <v>#VALUE!</v>
      </c>
      <c r="D69" t="e" cm="1">
        <f t="array" aca="1" ref="D69" ca="1">_xlfn.IFS($B69="etf", _xll.YCI($A69, "ycharts_benchmark_category",TODAY()),$B69&lt;&gt;"etf",_xll.YCI("M:" &amp; $A69, "ycharts_benchmark_category",TODAY()))</f>
        <v>#VALUE!</v>
      </c>
      <c r="E69" t="e" cm="1">
        <f t="array" aca="1" ref="E69" ca="1">_xlfn.IFS($B69="etf", _xll.YCI($A69, "ycharts_benchmark_index_symbol",TODAY()),$B69&lt;&gt;"etf",_xll.YCI("M:" &amp; $A69, "ycharts_benchmark_index_symbol",TODAY()))</f>
        <v>#VALUE!</v>
      </c>
      <c r="F69" t="e" cm="1">
        <f t="array" aca="1" ref="F69" ca="1">_xlfn.IFS($B69="etf", _xll.YCI($E69, "security_name",TODAY()),$B69&lt;&gt;"etf",_xll.YCI( $E69, "security_name",TODAY()))</f>
        <v>#VALUE!</v>
      </c>
      <c r="G69" t="e" cm="1">
        <f t="array" aca="1" ref="G69" ca="1">_xlfn.IFS($B69="etf", _xll.YCI($A69, "prospectus_benchmark_index",TODAY()),$B69&lt;&gt;"etf",_xll.YCI("M:" &amp; $A69, "prospectus_benchmark_index",TODAY()))</f>
        <v>#VALUE!</v>
      </c>
      <c r="H69" s="2" t="e" cm="1">
        <f t="array" aca="1" ref="H69" ca="1">_xlfn.IFS($B69="etf", _xll.YCP($A69,"quarterly_total_return",'Database Query'!$E$14),$B69&lt;&gt;"etf",_xll.YCP("M:"&amp; $A69,"quarterly_total_return",'Database Query'!$E$14))</f>
        <v>#VALUE!</v>
      </c>
      <c r="I69" s="2" t="e" cm="1">
        <f t="array" aca="1" ref="I69" ca="1">-_xll.YCP($E69,"quarterly_return",'Database Query'!$E$14)+H69</f>
        <v>#VALUE!</v>
      </c>
      <c r="J69" s="2" t="e" cm="1">
        <f t="array" aca="1" ref="J69" ca="1">_xlfn.IFS($B69="etf", _xll.YCP($A69,"ytd_total_return",'Database Query'!$E$14),$B69&lt;&gt;"etf",_xll.YCP("M:"&amp; $A69,"ytd_total_return",'Database Query'!$E$14))</f>
        <v>#VALUE!</v>
      </c>
      <c r="K69" s="2" t="e" cm="1">
        <f t="array" aca="1" ref="K69" ca="1">-_xll.YCP($E69,"ytd_return",'Database Query'!$E$14)+J69</f>
        <v>#VALUE!</v>
      </c>
      <c r="L69" s="2" t="e" cm="1">
        <f t="array" aca="1" ref="L69" ca="1">_xlfn.IFS($B69="etf", _xll.YCP($A69,"one_year_total_return",'Database Query'!$E$14),$B69&lt;&gt;"etf",_xll.YCP("M:"&amp; $A69,"one_year_total_return",'Database Query'!$E$14))</f>
        <v>#VALUE!</v>
      </c>
      <c r="M69" s="2" t="e" cm="1">
        <f t="array" aca="1" ref="M69" ca="1">-_xll.YCP($E69,"one_year_return",'Database Query'!$E$14)+L69</f>
        <v>#VALUE!</v>
      </c>
      <c r="N69" s="2" t="e" cm="1">
        <f t="array" aca="1" ref="N69" ca="1">_xlfn.IFS($B69="etf", _xll.YCP($A69,"three_year_total_return",'Database Query'!$E$14),$B69&lt;&gt;"etf",_xll.YCP("M:"&amp; $A69,"three_year_total_return",'Database Query'!$E$14))</f>
        <v>#VALUE!</v>
      </c>
      <c r="O69" s="2" t="e" cm="1">
        <f t="array" aca="1" ref="O69" ca="1">-_xll.YCP($E69,"three_year_return",'Database Query'!$E$14)+N69</f>
        <v>#VALUE!</v>
      </c>
      <c r="P69" s="2" t="e" cm="1">
        <f t="array" aca="1" ref="P69" ca="1">_xlfn.IFS($B69="etf", _xll.YCP($A69,"five_year_total_return",'Database Query'!$E$14),$B69&lt;&gt;"etf",_xll.YCP("M:"&amp; $A69,"five_year_total_return",'Database Query'!$E$14))</f>
        <v>#VALUE!</v>
      </c>
      <c r="Q69" s="2" t="e" cm="1">
        <f t="array" aca="1" ref="Q69" ca="1">-_xll.YCP($E69,"five_year_return",'Database Query'!$E$14)+P69</f>
        <v>#VALUE!</v>
      </c>
    </row>
    <row r="70" spans="1:17" x14ac:dyDescent="0.25">
      <c r="A70" t="str">
        <v>FEGIX</v>
      </c>
      <c r="B70" t="e" cm="1">
        <f t="array" aca="1" ref="B70" ca="1">_xll.YCI(A70,"detailed_security_type",TODAY())</f>
        <v>#VALUE!</v>
      </c>
      <c r="C70" t="e" cm="1">
        <f t="array" aca="1" ref="C70" ca="1">_xlfn.IFS(B70="etf", _xll.YCI(A70, "security_name",TODAY()),B70&lt;&gt;"etf",_xll.YCI("M:" &amp; A70, "security_name",TODAY()))</f>
        <v>#VALUE!</v>
      </c>
      <c r="D70" t="e" cm="1">
        <f t="array" aca="1" ref="D70" ca="1">_xlfn.IFS($B70="etf", _xll.YCI($A70, "ycharts_benchmark_category",TODAY()),$B70&lt;&gt;"etf",_xll.YCI("M:" &amp; $A70, "ycharts_benchmark_category",TODAY()))</f>
        <v>#VALUE!</v>
      </c>
      <c r="E70" t="e" cm="1">
        <f t="array" aca="1" ref="E70" ca="1">_xlfn.IFS($B70="etf", _xll.YCI($A70, "ycharts_benchmark_index_symbol",TODAY()),$B70&lt;&gt;"etf",_xll.YCI("M:" &amp; $A70, "ycharts_benchmark_index_symbol",TODAY()))</f>
        <v>#VALUE!</v>
      </c>
      <c r="F70" t="e" cm="1">
        <f t="array" aca="1" ref="F70" ca="1">_xlfn.IFS($B70="etf", _xll.YCI($E70, "security_name",TODAY()),$B70&lt;&gt;"etf",_xll.YCI( $E70, "security_name",TODAY()))</f>
        <v>#VALUE!</v>
      </c>
      <c r="G70" t="e" cm="1">
        <f t="array" aca="1" ref="G70" ca="1">_xlfn.IFS($B70="etf", _xll.YCI($A70, "prospectus_benchmark_index",TODAY()),$B70&lt;&gt;"etf",_xll.YCI("M:" &amp; $A70, "prospectus_benchmark_index",TODAY()))</f>
        <v>#VALUE!</v>
      </c>
      <c r="H70" s="2" t="e" cm="1">
        <f t="array" aca="1" ref="H70" ca="1">_xlfn.IFS($B70="etf", _xll.YCP($A70,"quarterly_total_return",'Database Query'!$E$14),$B70&lt;&gt;"etf",_xll.YCP("M:"&amp; $A70,"quarterly_total_return",'Database Query'!$E$14))</f>
        <v>#VALUE!</v>
      </c>
      <c r="I70" s="2" t="e" cm="1">
        <f t="array" aca="1" ref="I70" ca="1">-_xll.YCP($E70,"quarterly_return",'Database Query'!$E$14)+H70</f>
        <v>#VALUE!</v>
      </c>
      <c r="J70" s="2" t="e" cm="1">
        <f t="array" aca="1" ref="J70" ca="1">_xlfn.IFS($B70="etf", _xll.YCP($A70,"ytd_total_return",'Database Query'!$E$14),$B70&lt;&gt;"etf",_xll.YCP("M:"&amp; $A70,"ytd_total_return",'Database Query'!$E$14))</f>
        <v>#VALUE!</v>
      </c>
      <c r="K70" s="2" t="e" cm="1">
        <f t="array" aca="1" ref="K70" ca="1">-_xll.YCP($E70,"ytd_return",'Database Query'!$E$14)+J70</f>
        <v>#VALUE!</v>
      </c>
      <c r="L70" s="2" t="e" cm="1">
        <f t="array" aca="1" ref="L70" ca="1">_xlfn.IFS($B70="etf", _xll.YCP($A70,"one_year_total_return",'Database Query'!$E$14),$B70&lt;&gt;"etf",_xll.YCP("M:"&amp; $A70,"one_year_total_return",'Database Query'!$E$14))</f>
        <v>#VALUE!</v>
      </c>
      <c r="M70" s="2" t="e" cm="1">
        <f t="array" aca="1" ref="M70" ca="1">-_xll.YCP($E70,"one_year_return",'Database Query'!$E$14)+L70</f>
        <v>#VALUE!</v>
      </c>
      <c r="N70" s="2" t="e" cm="1">
        <f t="array" aca="1" ref="N70" ca="1">_xlfn.IFS($B70="etf", _xll.YCP($A70,"three_year_total_return",'Database Query'!$E$14),$B70&lt;&gt;"etf",_xll.YCP("M:"&amp; $A70,"three_year_total_return",'Database Query'!$E$14))</f>
        <v>#VALUE!</v>
      </c>
      <c r="O70" s="2" t="e" cm="1">
        <f t="array" aca="1" ref="O70" ca="1">-_xll.YCP($E70,"three_year_return",'Database Query'!$E$14)+N70</f>
        <v>#VALUE!</v>
      </c>
      <c r="P70" s="2" t="e" cm="1">
        <f t="array" aca="1" ref="P70" ca="1">_xlfn.IFS($B70="etf", _xll.YCP($A70,"five_year_total_return",'Database Query'!$E$14),$B70&lt;&gt;"etf",_xll.YCP("M:"&amp; $A70,"five_year_total_return",'Database Query'!$E$14))</f>
        <v>#VALUE!</v>
      </c>
      <c r="Q70" s="2" t="e" cm="1">
        <f t="array" aca="1" ref="Q70" ca="1">-_xll.YCP($E70,"five_year_return",'Database Query'!$E$14)+P70</f>
        <v>#VALUE!</v>
      </c>
    </row>
    <row r="71" spans="1:17" x14ac:dyDescent="0.25">
      <c r="A71" t="str">
        <v>FEMKX</v>
      </c>
      <c r="B71" t="e" cm="1">
        <f t="array" aca="1" ref="B71" ca="1">_xll.YCI(A71,"detailed_security_type",TODAY())</f>
        <v>#VALUE!</v>
      </c>
      <c r="C71" t="e" cm="1">
        <f t="array" aca="1" ref="C71" ca="1">_xlfn.IFS(B71="etf", _xll.YCI(A71, "security_name",TODAY()),B71&lt;&gt;"etf",_xll.YCI("M:" &amp; A71, "security_name",TODAY()))</f>
        <v>#VALUE!</v>
      </c>
      <c r="D71" t="e" cm="1">
        <f t="array" aca="1" ref="D71" ca="1">_xlfn.IFS($B71="etf", _xll.YCI($A71, "ycharts_benchmark_category",TODAY()),$B71&lt;&gt;"etf",_xll.YCI("M:" &amp; $A71, "ycharts_benchmark_category",TODAY()))</f>
        <v>#VALUE!</v>
      </c>
      <c r="E71" t="e" cm="1">
        <f t="array" aca="1" ref="E71" ca="1">_xlfn.IFS($B71="etf", _xll.YCI($A71, "ycharts_benchmark_index_symbol",TODAY()),$B71&lt;&gt;"etf",_xll.YCI("M:" &amp; $A71, "ycharts_benchmark_index_symbol",TODAY()))</f>
        <v>#VALUE!</v>
      </c>
      <c r="F71" t="e" cm="1">
        <f t="array" aca="1" ref="F71" ca="1">_xlfn.IFS($B71="etf", _xll.YCI($E71, "security_name",TODAY()),$B71&lt;&gt;"etf",_xll.YCI( $E71, "security_name",TODAY()))</f>
        <v>#VALUE!</v>
      </c>
      <c r="G71" t="e" cm="1">
        <f t="array" aca="1" ref="G71" ca="1">_xlfn.IFS($B71="etf", _xll.YCI($A71, "prospectus_benchmark_index",TODAY()),$B71&lt;&gt;"etf",_xll.YCI("M:" &amp; $A71, "prospectus_benchmark_index",TODAY()))</f>
        <v>#VALUE!</v>
      </c>
      <c r="H71" s="2" t="e" cm="1">
        <f t="array" aca="1" ref="H71" ca="1">_xlfn.IFS($B71="etf", _xll.YCP($A71,"quarterly_total_return",'Database Query'!$E$14),$B71&lt;&gt;"etf",_xll.YCP("M:"&amp; $A71,"quarterly_total_return",'Database Query'!$E$14))</f>
        <v>#VALUE!</v>
      </c>
      <c r="I71" s="2" t="e" cm="1">
        <f t="array" aca="1" ref="I71" ca="1">-_xll.YCP($E71,"quarterly_return",'Database Query'!$E$14)+H71</f>
        <v>#VALUE!</v>
      </c>
      <c r="J71" s="2" t="e" cm="1">
        <f t="array" aca="1" ref="J71" ca="1">_xlfn.IFS($B71="etf", _xll.YCP($A71,"ytd_total_return",'Database Query'!$E$14),$B71&lt;&gt;"etf",_xll.YCP("M:"&amp; $A71,"ytd_total_return",'Database Query'!$E$14))</f>
        <v>#VALUE!</v>
      </c>
      <c r="K71" s="2" t="e" cm="1">
        <f t="array" aca="1" ref="K71" ca="1">-_xll.YCP($E71,"ytd_return",'Database Query'!$E$14)+J71</f>
        <v>#VALUE!</v>
      </c>
      <c r="L71" s="2" t="e" cm="1">
        <f t="array" aca="1" ref="L71" ca="1">_xlfn.IFS($B71="etf", _xll.YCP($A71,"one_year_total_return",'Database Query'!$E$14),$B71&lt;&gt;"etf",_xll.YCP("M:"&amp; $A71,"one_year_total_return",'Database Query'!$E$14))</f>
        <v>#VALUE!</v>
      </c>
      <c r="M71" s="2" t="e" cm="1">
        <f t="array" aca="1" ref="M71" ca="1">-_xll.YCP($E71,"one_year_return",'Database Query'!$E$14)+L71</f>
        <v>#VALUE!</v>
      </c>
      <c r="N71" s="2" t="e" cm="1">
        <f t="array" aca="1" ref="N71" ca="1">_xlfn.IFS($B71="etf", _xll.YCP($A71,"three_year_total_return",'Database Query'!$E$14),$B71&lt;&gt;"etf",_xll.YCP("M:"&amp; $A71,"three_year_total_return",'Database Query'!$E$14))</f>
        <v>#VALUE!</v>
      </c>
      <c r="O71" s="2" t="e" cm="1">
        <f t="array" aca="1" ref="O71" ca="1">-_xll.YCP($E71,"three_year_return",'Database Query'!$E$14)+N71</f>
        <v>#VALUE!</v>
      </c>
      <c r="P71" s="2" t="e" cm="1">
        <f t="array" aca="1" ref="P71" ca="1">_xlfn.IFS($B71="etf", _xll.YCP($A71,"five_year_total_return",'Database Query'!$E$14),$B71&lt;&gt;"etf",_xll.YCP("M:"&amp; $A71,"five_year_total_return",'Database Query'!$E$14))</f>
        <v>#VALUE!</v>
      </c>
      <c r="Q71" s="2" t="e" cm="1">
        <f t="array" aca="1" ref="Q71" ca="1">-_xll.YCP($E71,"five_year_return",'Database Query'!$E$14)+P71</f>
        <v>#VALUE!</v>
      </c>
    </row>
    <row r="72" spans="1:17" x14ac:dyDescent="0.25">
      <c r="A72" t="str">
        <v>FGUMX</v>
      </c>
      <c r="B72" t="e" cm="1">
        <f t="array" aca="1" ref="B72" ca="1">_xll.YCI(A72,"detailed_security_type",TODAY())</f>
        <v>#VALUE!</v>
      </c>
      <c r="C72" t="e" cm="1">
        <f t="array" aca="1" ref="C72" ca="1">_xlfn.IFS(B72="etf", _xll.YCI(A72, "security_name",TODAY()),B72&lt;&gt;"etf",_xll.YCI("M:" &amp; A72, "security_name",TODAY()))</f>
        <v>#VALUE!</v>
      </c>
      <c r="D72" t="e" cm="1">
        <f t="array" aca="1" ref="D72" ca="1">_xlfn.IFS($B72="etf", _xll.YCI($A72, "ycharts_benchmark_category",TODAY()),$B72&lt;&gt;"etf",_xll.YCI("M:" &amp; $A72, "ycharts_benchmark_category",TODAY()))</f>
        <v>#VALUE!</v>
      </c>
      <c r="E72" t="e" cm="1">
        <f t="array" aca="1" ref="E72" ca="1">_xlfn.IFS($B72="etf", _xll.YCI($A72, "ycharts_benchmark_index_symbol",TODAY()),$B72&lt;&gt;"etf",_xll.YCI("M:" &amp; $A72, "ycharts_benchmark_index_symbol",TODAY()))</f>
        <v>#VALUE!</v>
      </c>
      <c r="F72" t="e" cm="1">
        <f t="array" aca="1" ref="F72" ca="1">_xlfn.IFS($B72="etf", _xll.YCI($E72, "security_name",TODAY()),$B72&lt;&gt;"etf",_xll.YCI( $E72, "security_name",TODAY()))</f>
        <v>#VALUE!</v>
      </c>
      <c r="G72" t="e" cm="1">
        <f t="array" aca="1" ref="G72" ca="1">_xlfn.IFS($B72="etf", _xll.YCI($A72, "prospectus_benchmark_index",TODAY()),$B72&lt;&gt;"etf",_xll.YCI("M:" &amp; $A72, "prospectus_benchmark_index",TODAY()))</f>
        <v>#VALUE!</v>
      </c>
      <c r="H72" s="2" t="e" cm="1">
        <f t="array" aca="1" ref="H72" ca="1">_xlfn.IFS($B72="etf", _xll.YCP($A72,"quarterly_total_return",'Database Query'!$E$14),$B72&lt;&gt;"etf",_xll.YCP("M:"&amp; $A72,"quarterly_total_return",'Database Query'!$E$14))</f>
        <v>#VALUE!</v>
      </c>
      <c r="I72" s="2" t="e" cm="1">
        <f t="array" aca="1" ref="I72" ca="1">-_xll.YCP($E72,"quarterly_return",'Database Query'!$E$14)+H72</f>
        <v>#VALUE!</v>
      </c>
      <c r="J72" s="2" t="e" cm="1">
        <f t="array" aca="1" ref="J72" ca="1">_xlfn.IFS($B72="etf", _xll.YCP($A72,"ytd_total_return",'Database Query'!$E$14),$B72&lt;&gt;"etf",_xll.YCP("M:"&amp; $A72,"ytd_total_return",'Database Query'!$E$14))</f>
        <v>#VALUE!</v>
      </c>
      <c r="K72" s="2" t="e" cm="1">
        <f t="array" aca="1" ref="K72" ca="1">-_xll.YCP($E72,"ytd_return",'Database Query'!$E$14)+J72</f>
        <v>#VALUE!</v>
      </c>
      <c r="L72" s="2" t="e" cm="1">
        <f t="array" aca="1" ref="L72" ca="1">_xlfn.IFS($B72="etf", _xll.YCP($A72,"one_year_total_return",'Database Query'!$E$14),$B72&lt;&gt;"etf",_xll.YCP("M:"&amp; $A72,"one_year_total_return",'Database Query'!$E$14))</f>
        <v>#VALUE!</v>
      </c>
      <c r="M72" s="2" t="e" cm="1">
        <f t="array" aca="1" ref="M72" ca="1">-_xll.YCP($E72,"one_year_return",'Database Query'!$E$14)+L72</f>
        <v>#VALUE!</v>
      </c>
      <c r="N72" s="2" t="e" cm="1">
        <f t="array" aca="1" ref="N72" ca="1">_xlfn.IFS($B72="etf", _xll.YCP($A72,"three_year_total_return",'Database Query'!$E$14),$B72&lt;&gt;"etf",_xll.YCP("M:"&amp; $A72,"three_year_total_return",'Database Query'!$E$14))</f>
        <v>#VALUE!</v>
      </c>
      <c r="O72" s="2" t="e" cm="1">
        <f t="array" aca="1" ref="O72" ca="1">-_xll.YCP($E72,"three_year_return",'Database Query'!$E$14)+N72</f>
        <v>#VALUE!</v>
      </c>
      <c r="P72" s="2" t="e" cm="1">
        <f t="array" aca="1" ref="P72" ca="1">_xlfn.IFS($B72="etf", _xll.YCP($A72,"five_year_total_return",'Database Query'!$E$14),$B72&lt;&gt;"etf",_xll.YCP("M:"&amp; $A72,"five_year_total_return",'Database Query'!$E$14))</f>
        <v>#VALUE!</v>
      </c>
      <c r="Q72" s="2" t="e" cm="1">
        <f t="array" aca="1" ref="Q72" ca="1">-_xll.YCP($E72,"five_year_return",'Database Query'!$E$14)+P72</f>
        <v>#VALUE!</v>
      </c>
    </row>
    <row r="73" spans="1:17" x14ac:dyDescent="0.25">
      <c r="A73" t="str">
        <v>FIADX</v>
      </c>
      <c r="B73" t="e" cm="1">
        <f t="array" aca="1" ref="B73" ca="1">_xll.YCI(A73,"detailed_security_type",TODAY())</f>
        <v>#VALUE!</v>
      </c>
      <c r="C73" t="e" cm="1">
        <f t="array" aca="1" ref="C73" ca="1">_xlfn.IFS(B73="etf", _xll.YCI(A73, "security_name",TODAY()),B73&lt;&gt;"etf",_xll.YCI("M:" &amp; A73, "security_name",TODAY()))</f>
        <v>#VALUE!</v>
      </c>
      <c r="D73" t="e" cm="1">
        <f t="array" aca="1" ref="D73" ca="1">_xlfn.IFS($B73="etf", _xll.YCI($A73, "ycharts_benchmark_category",TODAY()),$B73&lt;&gt;"etf",_xll.YCI("M:" &amp; $A73, "ycharts_benchmark_category",TODAY()))</f>
        <v>#VALUE!</v>
      </c>
      <c r="E73" t="e" cm="1">
        <f t="array" aca="1" ref="E73" ca="1">_xlfn.IFS($B73="etf", _xll.YCI($A73, "ycharts_benchmark_index_symbol",TODAY()),$B73&lt;&gt;"etf",_xll.YCI("M:" &amp; $A73, "ycharts_benchmark_index_symbol",TODAY()))</f>
        <v>#VALUE!</v>
      </c>
      <c r="F73" t="e" cm="1">
        <f t="array" aca="1" ref="F73" ca="1">_xlfn.IFS($B73="etf", _xll.YCI($E73, "security_name",TODAY()),$B73&lt;&gt;"etf",_xll.YCI( $E73, "security_name",TODAY()))</f>
        <v>#VALUE!</v>
      </c>
      <c r="G73" t="e" cm="1">
        <f t="array" aca="1" ref="G73" ca="1">_xlfn.IFS($B73="etf", _xll.YCI($A73, "prospectus_benchmark_index",TODAY()),$B73&lt;&gt;"etf",_xll.YCI("M:" &amp; $A73, "prospectus_benchmark_index",TODAY()))</f>
        <v>#VALUE!</v>
      </c>
      <c r="H73" s="2" t="e" cm="1">
        <f t="array" aca="1" ref="H73" ca="1">_xlfn.IFS($B73="etf", _xll.YCP($A73,"quarterly_total_return",'Database Query'!$E$14),$B73&lt;&gt;"etf",_xll.YCP("M:"&amp; $A73,"quarterly_total_return",'Database Query'!$E$14))</f>
        <v>#VALUE!</v>
      </c>
      <c r="I73" s="2" t="e" cm="1">
        <f t="array" aca="1" ref="I73" ca="1">-_xll.YCP($E73,"quarterly_return",'Database Query'!$E$14)+H73</f>
        <v>#VALUE!</v>
      </c>
      <c r="J73" s="2" t="e" cm="1">
        <f t="array" aca="1" ref="J73" ca="1">_xlfn.IFS($B73="etf", _xll.YCP($A73,"ytd_total_return",'Database Query'!$E$14),$B73&lt;&gt;"etf",_xll.YCP("M:"&amp; $A73,"ytd_total_return",'Database Query'!$E$14))</f>
        <v>#VALUE!</v>
      </c>
      <c r="K73" s="2" t="e" cm="1">
        <f t="array" aca="1" ref="K73" ca="1">-_xll.YCP($E73,"ytd_return",'Database Query'!$E$14)+J73</f>
        <v>#VALUE!</v>
      </c>
      <c r="L73" s="2" t="e" cm="1">
        <f t="array" aca="1" ref="L73" ca="1">_xlfn.IFS($B73="etf", _xll.YCP($A73,"one_year_total_return",'Database Query'!$E$14),$B73&lt;&gt;"etf",_xll.YCP("M:"&amp; $A73,"one_year_total_return",'Database Query'!$E$14))</f>
        <v>#VALUE!</v>
      </c>
      <c r="M73" s="2" t="e" cm="1">
        <f t="array" aca="1" ref="M73" ca="1">-_xll.YCP($E73,"one_year_return",'Database Query'!$E$14)+L73</f>
        <v>#VALUE!</v>
      </c>
      <c r="N73" s="2" t="e" cm="1">
        <f t="array" aca="1" ref="N73" ca="1">_xlfn.IFS($B73="etf", _xll.YCP($A73,"three_year_total_return",'Database Query'!$E$14),$B73&lt;&gt;"etf",_xll.YCP("M:"&amp; $A73,"three_year_total_return",'Database Query'!$E$14))</f>
        <v>#VALUE!</v>
      </c>
      <c r="O73" s="2" t="e" cm="1">
        <f t="array" aca="1" ref="O73" ca="1">-_xll.YCP($E73,"three_year_return",'Database Query'!$E$14)+N73</f>
        <v>#VALUE!</v>
      </c>
      <c r="P73" s="2" t="e" cm="1">
        <f t="array" aca="1" ref="P73" ca="1">_xlfn.IFS($B73="etf", _xll.YCP($A73,"five_year_total_return",'Database Query'!$E$14),$B73&lt;&gt;"etf",_xll.YCP("M:"&amp; $A73,"five_year_total_return",'Database Query'!$E$14))</f>
        <v>#VALUE!</v>
      </c>
      <c r="Q73" s="2" t="e" cm="1">
        <f t="array" aca="1" ref="Q73" ca="1">-_xll.YCP($E73,"five_year_return",'Database Query'!$E$14)+P73</f>
        <v>#VALUE!</v>
      </c>
    </row>
    <row r="74" spans="1:17" x14ac:dyDescent="0.25">
      <c r="A74" t="str">
        <v>FIDGX</v>
      </c>
      <c r="B74" t="e" cm="1">
        <f t="array" aca="1" ref="B74" ca="1">_xll.YCI(A74,"detailed_security_type",TODAY())</f>
        <v>#VALUE!</v>
      </c>
      <c r="C74" t="e" cm="1">
        <f t="array" aca="1" ref="C74" ca="1">_xlfn.IFS(B74="etf", _xll.YCI(A74, "security_name",TODAY()),B74&lt;&gt;"etf",_xll.YCI("M:" &amp; A74, "security_name",TODAY()))</f>
        <v>#VALUE!</v>
      </c>
      <c r="D74" t="e" cm="1">
        <f t="array" aca="1" ref="D74" ca="1">_xlfn.IFS($B74="etf", _xll.YCI($A74, "ycharts_benchmark_category",TODAY()),$B74&lt;&gt;"etf",_xll.YCI("M:" &amp; $A74, "ycharts_benchmark_category",TODAY()))</f>
        <v>#VALUE!</v>
      </c>
      <c r="E74" t="e" cm="1">
        <f t="array" aca="1" ref="E74" ca="1">_xlfn.IFS($B74="etf", _xll.YCI($A74, "ycharts_benchmark_index_symbol",TODAY()),$B74&lt;&gt;"etf",_xll.YCI("M:" &amp; $A74, "ycharts_benchmark_index_symbol",TODAY()))</f>
        <v>#VALUE!</v>
      </c>
      <c r="F74" t="e" cm="1">
        <f t="array" aca="1" ref="F74" ca="1">_xlfn.IFS($B74="etf", _xll.YCI($E74, "security_name",TODAY()),$B74&lt;&gt;"etf",_xll.YCI( $E74, "security_name",TODAY()))</f>
        <v>#VALUE!</v>
      </c>
      <c r="G74" t="e" cm="1">
        <f t="array" aca="1" ref="G74" ca="1">_xlfn.IFS($B74="etf", _xll.YCI($A74, "prospectus_benchmark_index",TODAY()),$B74&lt;&gt;"etf",_xll.YCI("M:" &amp; $A74, "prospectus_benchmark_index",TODAY()))</f>
        <v>#VALUE!</v>
      </c>
      <c r="H74" s="2" t="e" cm="1">
        <f t="array" aca="1" ref="H74" ca="1">_xlfn.IFS($B74="etf", _xll.YCP($A74,"quarterly_total_return",'Database Query'!$E$14),$B74&lt;&gt;"etf",_xll.YCP("M:"&amp; $A74,"quarterly_total_return",'Database Query'!$E$14))</f>
        <v>#VALUE!</v>
      </c>
      <c r="I74" s="2" t="e" cm="1">
        <f t="array" aca="1" ref="I74" ca="1">-_xll.YCP($E74,"quarterly_return",'Database Query'!$E$14)+H74</f>
        <v>#VALUE!</v>
      </c>
      <c r="J74" s="2" t="e" cm="1">
        <f t="array" aca="1" ref="J74" ca="1">_xlfn.IFS($B74="etf", _xll.YCP($A74,"ytd_total_return",'Database Query'!$E$14),$B74&lt;&gt;"etf",_xll.YCP("M:"&amp; $A74,"ytd_total_return",'Database Query'!$E$14))</f>
        <v>#VALUE!</v>
      </c>
      <c r="K74" s="2" t="e" cm="1">
        <f t="array" aca="1" ref="K74" ca="1">-_xll.YCP($E74,"ytd_return",'Database Query'!$E$14)+J74</f>
        <v>#VALUE!</v>
      </c>
      <c r="L74" s="2" t="e" cm="1">
        <f t="array" aca="1" ref="L74" ca="1">_xlfn.IFS($B74="etf", _xll.YCP($A74,"one_year_total_return",'Database Query'!$E$14),$B74&lt;&gt;"etf",_xll.YCP("M:"&amp; $A74,"one_year_total_return",'Database Query'!$E$14))</f>
        <v>#VALUE!</v>
      </c>
      <c r="M74" s="2" t="e" cm="1">
        <f t="array" aca="1" ref="M74" ca="1">-_xll.YCP($E74,"one_year_return",'Database Query'!$E$14)+L74</f>
        <v>#VALUE!</v>
      </c>
      <c r="N74" s="2" t="e" cm="1">
        <f t="array" aca="1" ref="N74" ca="1">_xlfn.IFS($B74="etf", _xll.YCP($A74,"three_year_total_return",'Database Query'!$E$14),$B74&lt;&gt;"etf",_xll.YCP("M:"&amp; $A74,"three_year_total_return",'Database Query'!$E$14))</f>
        <v>#VALUE!</v>
      </c>
      <c r="O74" s="2" t="e" cm="1">
        <f t="array" aca="1" ref="O74" ca="1">-_xll.YCP($E74,"three_year_return",'Database Query'!$E$14)+N74</f>
        <v>#VALUE!</v>
      </c>
      <c r="P74" s="2" t="e" cm="1">
        <f t="array" aca="1" ref="P74" ca="1">_xlfn.IFS($B74="etf", _xll.YCP($A74,"five_year_total_return",'Database Query'!$E$14),$B74&lt;&gt;"etf",_xll.YCP("M:"&amp; $A74,"five_year_total_return",'Database Query'!$E$14))</f>
        <v>#VALUE!</v>
      </c>
      <c r="Q74" s="2" t="e" cm="1">
        <f t="array" aca="1" ref="Q74" ca="1">-_xll.YCP($E74,"five_year_return",'Database Query'!$E$14)+P74</f>
        <v>#VALUE!</v>
      </c>
    </row>
    <row r="75" spans="1:17" x14ac:dyDescent="0.25">
      <c r="A75" t="str">
        <v>FIJEX</v>
      </c>
      <c r="B75" t="e" cm="1">
        <f t="array" aca="1" ref="B75" ca="1">_xll.YCI(A75,"detailed_security_type",TODAY())</f>
        <v>#VALUE!</v>
      </c>
      <c r="C75" t="e" cm="1">
        <f t="array" aca="1" ref="C75" ca="1">_xlfn.IFS(B75="etf", _xll.YCI(A75, "security_name",TODAY()),B75&lt;&gt;"etf",_xll.YCI("M:" &amp; A75, "security_name",TODAY()))</f>
        <v>#VALUE!</v>
      </c>
      <c r="D75" t="e" cm="1">
        <f t="array" aca="1" ref="D75" ca="1">_xlfn.IFS($B75="etf", _xll.YCI($A75, "ycharts_benchmark_category",TODAY()),$B75&lt;&gt;"etf",_xll.YCI("M:" &amp; $A75, "ycharts_benchmark_category",TODAY()))</f>
        <v>#VALUE!</v>
      </c>
      <c r="E75" t="e" cm="1">
        <f t="array" aca="1" ref="E75" ca="1">_xlfn.IFS($B75="etf", _xll.YCI($A75, "ycharts_benchmark_index_symbol",TODAY()),$B75&lt;&gt;"etf",_xll.YCI("M:" &amp; $A75, "ycharts_benchmark_index_symbol",TODAY()))</f>
        <v>#VALUE!</v>
      </c>
      <c r="F75" t="e" cm="1">
        <f t="array" aca="1" ref="F75" ca="1">_xlfn.IFS($B75="etf", _xll.YCI($E75, "security_name",TODAY()),$B75&lt;&gt;"etf",_xll.YCI( $E75, "security_name",TODAY()))</f>
        <v>#VALUE!</v>
      </c>
      <c r="G75" t="e" cm="1">
        <f t="array" aca="1" ref="G75" ca="1">_xlfn.IFS($B75="etf", _xll.YCI($A75, "prospectus_benchmark_index",TODAY()),$B75&lt;&gt;"etf",_xll.YCI("M:" &amp; $A75, "prospectus_benchmark_index",TODAY()))</f>
        <v>#VALUE!</v>
      </c>
      <c r="H75" s="2" t="e" cm="1">
        <f t="array" aca="1" ref="H75" ca="1">_xlfn.IFS($B75="etf", _xll.YCP($A75,"quarterly_total_return",'Database Query'!$E$14),$B75&lt;&gt;"etf",_xll.YCP("M:"&amp; $A75,"quarterly_total_return",'Database Query'!$E$14))</f>
        <v>#VALUE!</v>
      </c>
      <c r="I75" s="2" t="e" cm="1">
        <f t="array" aca="1" ref="I75" ca="1">-_xll.YCP($E75,"quarterly_return",'Database Query'!$E$14)+H75</f>
        <v>#VALUE!</v>
      </c>
      <c r="J75" s="2" t="e" cm="1">
        <f t="array" aca="1" ref="J75" ca="1">_xlfn.IFS($B75="etf", _xll.YCP($A75,"ytd_total_return",'Database Query'!$E$14),$B75&lt;&gt;"etf",_xll.YCP("M:"&amp; $A75,"ytd_total_return",'Database Query'!$E$14))</f>
        <v>#VALUE!</v>
      </c>
      <c r="K75" s="2" t="e" cm="1">
        <f t="array" aca="1" ref="K75" ca="1">-_xll.YCP($E75,"ytd_return",'Database Query'!$E$14)+J75</f>
        <v>#VALUE!</v>
      </c>
      <c r="L75" s="2" t="e" cm="1">
        <f t="array" aca="1" ref="L75" ca="1">_xlfn.IFS($B75="etf", _xll.YCP($A75,"one_year_total_return",'Database Query'!$E$14),$B75&lt;&gt;"etf",_xll.YCP("M:"&amp; $A75,"one_year_total_return",'Database Query'!$E$14))</f>
        <v>#VALUE!</v>
      </c>
      <c r="M75" s="2" t="e" cm="1">
        <f t="array" aca="1" ref="M75" ca="1">-_xll.YCP($E75,"one_year_return",'Database Query'!$E$14)+L75</f>
        <v>#VALUE!</v>
      </c>
      <c r="N75" s="2" t="e" cm="1">
        <f t="array" aca="1" ref="N75" ca="1">_xlfn.IFS($B75="etf", _xll.YCP($A75,"three_year_total_return",'Database Query'!$E$14),$B75&lt;&gt;"etf",_xll.YCP("M:"&amp; $A75,"three_year_total_return",'Database Query'!$E$14))</f>
        <v>#VALUE!</v>
      </c>
      <c r="O75" s="2" t="e" cm="1">
        <f t="array" aca="1" ref="O75" ca="1">-_xll.YCP($E75,"three_year_return",'Database Query'!$E$14)+N75</f>
        <v>#VALUE!</v>
      </c>
      <c r="P75" s="2" t="e" cm="1">
        <f t="array" aca="1" ref="P75" ca="1">_xlfn.IFS($B75="etf", _xll.YCP($A75,"five_year_total_return",'Database Query'!$E$14),$B75&lt;&gt;"etf",_xll.YCP("M:"&amp; $A75,"five_year_total_return",'Database Query'!$E$14))</f>
        <v>#VALUE!</v>
      </c>
      <c r="Q75" s="2" t="e" cm="1">
        <f t="array" aca="1" ref="Q75" ca="1">-_xll.YCP($E75,"five_year_return",'Database Query'!$E$14)+P75</f>
        <v>#VALUE!</v>
      </c>
    </row>
    <row r="76" spans="1:17" x14ac:dyDescent="0.25">
      <c r="A76" t="str">
        <v>FIKQX</v>
      </c>
      <c r="B76" t="e" cm="1">
        <f t="array" aca="1" ref="B76" ca="1">_xll.YCI(A76,"detailed_security_type",TODAY())</f>
        <v>#VALUE!</v>
      </c>
      <c r="C76" t="e" cm="1">
        <f t="array" aca="1" ref="C76" ca="1">_xlfn.IFS(B76="etf", _xll.YCI(A76, "security_name",TODAY()),B76&lt;&gt;"etf",_xll.YCI("M:" &amp; A76, "security_name",TODAY()))</f>
        <v>#VALUE!</v>
      </c>
      <c r="D76" t="e" cm="1">
        <f t="array" aca="1" ref="D76" ca="1">_xlfn.IFS($B76="etf", _xll.YCI($A76, "ycharts_benchmark_category",TODAY()),$B76&lt;&gt;"etf",_xll.YCI("M:" &amp; $A76, "ycharts_benchmark_category",TODAY()))</f>
        <v>#VALUE!</v>
      </c>
      <c r="E76" t="e" cm="1">
        <f t="array" aca="1" ref="E76" ca="1">_xlfn.IFS($B76="etf", _xll.YCI($A76, "ycharts_benchmark_index_symbol",TODAY()),$B76&lt;&gt;"etf",_xll.YCI("M:" &amp; $A76, "ycharts_benchmark_index_symbol",TODAY()))</f>
        <v>#VALUE!</v>
      </c>
      <c r="F76" t="e" cm="1">
        <f t="array" aca="1" ref="F76" ca="1">_xlfn.IFS($B76="etf", _xll.YCI($E76, "security_name",TODAY()),$B76&lt;&gt;"etf",_xll.YCI( $E76, "security_name",TODAY()))</f>
        <v>#VALUE!</v>
      </c>
      <c r="G76" t="e" cm="1">
        <f t="array" aca="1" ref="G76" ca="1">_xlfn.IFS($B76="etf", _xll.YCI($A76, "prospectus_benchmark_index",TODAY()),$B76&lt;&gt;"etf",_xll.YCI("M:" &amp; $A76, "prospectus_benchmark_index",TODAY()))</f>
        <v>#VALUE!</v>
      </c>
      <c r="H76" s="2" t="e" cm="1">
        <f t="array" aca="1" ref="H76" ca="1">_xlfn.IFS($B76="etf", _xll.YCP($A76,"quarterly_total_return",'Database Query'!$E$14),$B76&lt;&gt;"etf",_xll.YCP("M:"&amp; $A76,"quarterly_total_return",'Database Query'!$E$14))</f>
        <v>#VALUE!</v>
      </c>
      <c r="I76" s="2" t="e" cm="1">
        <f t="array" aca="1" ref="I76" ca="1">-_xll.YCP($E76,"quarterly_return",'Database Query'!$E$14)+H76</f>
        <v>#VALUE!</v>
      </c>
      <c r="J76" s="2" t="e" cm="1">
        <f t="array" aca="1" ref="J76" ca="1">_xlfn.IFS($B76="etf", _xll.YCP($A76,"ytd_total_return",'Database Query'!$E$14),$B76&lt;&gt;"etf",_xll.YCP("M:"&amp; $A76,"ytd_total_return",'Database Query'!$E$14))</f>
        <v>#VALUE!</v>
      </c>
      <c r="K76" s="2" t="e" cm="1">
        <f t="array" aca="1" ref="K76" ca="1">-_xll.YCP($E76,"ytd_return",'Database Query'!$E$14)+J76</f>
        <v>#VALUE!</v>
      </c>
      <c r="L76" s="2" t="e" cm="1">
        <f t="array" aca="1" ref="L76" ca="1">_xlfn.IFS($B76="etf", _xll.YCP($A76,"one_year_total_return",'Database Query'!$E$14),$B76&lt;&gt;"etf",_xll.YCP("M:"&amp; $A76,"one_year_total_return",'Database Query'!$E$14))</f>
        <v>#VALUE!</v>
      </c>
      <c r="M76" s="2" t="e" cm="1">
        <f t="array" aca="1" ref="M76" ca="1">-_xll.YCP($E76,"one_year_return",'Database Query'!$E$14)+L76</f>
        <v>#VALUE!</v>
      </c>
      <c r="N76" s="2" t="e" cm="1">
        <f t="array" aca="1" ref="N76" ca="1">_xlfn.IFS($B76="etf", _xll.YCP($A76,"three_year_total_return",'Database Query'!$E$14),$B76&lt;&gt;"etf",_xll.YCP("M:"&amp; $A76,"three_year_total_return",'Database Query'!$E$14))</f>
        <v>#VALUE!</v>
      </c>
      <c r="O76" s="2" t="e" cm="1">
        <f t="array" aca="1" ref="O76" ca="1">-_xll.YCP($E76,"three_year_return",'Database Query'!$E$14)+N76</f>
        <v>#VALUE!</v>
      </c>
      <c r="P76" s="2" t="e" cm="1">
        <f t="array" aca="1" ref="P76" ca="1">_xlfn.IFS($B76="etf", _xll.YCP($A76,"five_year_total_return",'Database Query'!$E$14),$B76&lt;&gt;"etf",_xll.YCP("M:"&amp; $A76,"five_year_total_return",'Database Query'!$E$14))</f>
        <v>#VALUE!</v>
      </c>
      <c r="Q76" s="2" t="e" cm="1">
        <f t="array" aca="1" ref="Q76" ca="1">-_xll.YCP($E76,"five_year_return",'Database Query'!$E$14)+P76</f>
        <v>#VALUE!</v>
      </c>
    </row>
    <row r="77" spans="1:17" x14ac:dyDescent="0.25">
      <c r="A77" t="str">
        <v>FISPX</v>
      </c>
      <c r="B77" t="e" cm="1">
        <f t="array" aca="1" ref="B77" ca="1">_xll.YCI(A77,"detailed_security_type",TODAY())</f>
        <v>#VALUE!</v>
      </c>
      <c r="C77" t="e" cm="1">
        <f t="array" aca="1" ref="C77" ca="1">_xlfn.IFS(B77="etf", _xll.YCI(A77, "security_name",TODAY()),B77&lt;&gt;"etf",_xll.YCI("M:" &amp; A77, "security_name",TODAY()))</f>
        <v>#VALUE!</v>
      </c>
      <c r="D77" t="e" cm="1">
        <f t="array" aca="1" ref="D77" ca="1">_xlfn.IFS($B77="etf", _xll.YCI($A77, "ycharts_benchmark_category",TODAY()),$B77&lt;&gt;"etf",_xll.YCI("M:" &amp; $A77, "ycharts_benchmark_category",TODAY()))</f>
        <v>#VALUE!</v>
      </c>
      <c r="E77" t="e" cm="1">
        <f t="array" aca="1" ref="E77" ca="1">_xlfn.IFS($B77="etf", _xll.YCI($A77, "ycharts_benchmark_index_symbol",TODAY()),$B77&lt;&gt;"etf",_xll.YCI("M:" &amp; $A77, "ycharts_benchmark_index_symbol",TODAY()))</f>
        <v>#VALUE!</v>
      </c>
      <c r="F77" t="e" cm="1">
        <f t="array" aca="1" ref="F77" ca="1">_xlfn.IFS($B77="etf", _xll.YCI($E77, "security_name",TODAY()),$B77&lt;&gt;"etf",_xll.YCI( $E77, "security_name",TODAY()))</f>
        <v>#VALUE!</v>
      </c>
      <c r="G77" t="e" cm="1">
        <f t="array" aca="1" ref="G77" ca="1">_xlfn.IFS($B77="etf", _xll.YCI($A77, "prospectus_benchmark_index",TODAY()),$B77&lt;&gt;"etf",_xll.YCI("M:" &amp; $A77, "prospectus_benchmark_index",TODAY()))</f>
        <v>#VALUE!</v>
      </c>
      <c r="H77" s="2" t="e" cm="1">
        <f t="array" aca="1" ref="H77" ca="1">_xlfn.IFS($B77="etf", _xll.YCP($A77,"quarterly_total_return",'Database Query'!$E$14),$B77&lt;&gt;"etf",_xll.YCP("M:"&amp; $A77,"quarterly_total_return",'Database Query'!$E$14))</f>
        <v>#VALUE!</v>
      </c>
      <c r="I77" s="2" t="e" cm="1">
        <f t="array" aca="1" ref="I77" ca="1">-_xll.YCP($E77,"quarterly_return",'Database Query'!$E$14)+H77</f>
        <v>#VALUE!</v>
      </c>
      <c r="J77" s="2" t="e" cm="1">
        <f t="array" aca="1" ref="J77" ca="1">_xlfn.IFS($B77="etf", _xll.YCP($A77,"ytd_total_return",'Database Query'!$E$14),$B77&lt;&gt;"etf",_xll.YCP("M:"&amp; $A77,"ytd_total_return",'Database Query'!$E$14))</f>
        <v>#VALUE!</v>
      </c>
      <c r="K77" s="2" t="e" cm="1">
        <f t="array" aca="1" ref="K77" ca="1">-_xll.YCP($E77,"ytd_return",'Database Query'!$E$14)+J77</f>
        <v>#VALUE!</v>
      </c>
      <c r="L77" s="2" t="e" cm="1">
        <f t="array" aca="1" ref="L77" ca="1">_xlfn.IFS($B77="etf", _xll.YCP($A77,"one_year_total_return",'Database Query'!$E$14),$B77&lt;&gt;"etf",_xll.YCP("M:"&amp; $A77,"one_year_total_return",'Database Query'!$E$14))</f>
        <v>#VALUE!</v>
      </c>
      <c r="M77" s="2" t="e" cm="1">
        <f t="array" aca="1" ref="M77" ca="1">-_xll.YCP($E77,"one_year_return",'Database Query'!$E$14)+L77</f>
        <v>#VALUE!</v>
      </c>
      <c r="N77" s="2" t="e" cm="1">
        <f t="array" aca="1" ref="N77" ca="1">_xlfn.IFS($B77="etf", _xll.YCP($A77,"three_year_total_return",'Database Query'!$E$14),$B77&lt;&gt;"etf",_xll.YCP("M:"&amp; $A77,"three_year_total_return",'Database Query'!$E$14))</f>
        <v>#VALUE!</v>
      </c>
      <c r="O77" s="2" t="e" cm="1">
        <f t="array" aca="1" ref="O77" ca="1">-_xll.YCP($E77,"three_year_return",'Database Query'!$E$14)+N77</f>
        <v>#VALUE!</v>
      </c>
      <c r="P77" s="2" t="e" cm="1">
        <f t="array" aca="1" ref="P77" ca="1">_xlfn.IFS($B77="etf", _xll.YCP($A77,"five_year_total_return",'Database Query'!$E$14),$B77&lt;&gt;"etf",_xll.YCP("M:"&amp; $A77,"five_year_total_return",'Database Query'!$E$14))</f>
        <v>#VALUE!</v>
      </c>
      <c r="Q77" s="2" t="e" cm="1">
        <f t="array" aca="1" ref="Q77" ca="1">-_xll.YCP($E77,"five_year_return",'Database Query'!$E$14)+P77</f>
        <v>#VALUE!</v>
      </c>
    </row>
    <row r="78" spans="1:17" x14ac:dyDescent="0.25">
      <c r="A78" t="str">
        <v>FISVX</v>
      </c>
      <c r="B78" t="e" cm="1">
        <f t="array" aca="1" ref="B78" ca="1">_xll.YCI(A78,"detailed_security_type",TODAY())</f>
        <v>#VALUE!</v>
      </c>
      <c r="C78" t="e" cm="1">
        <f t="array" aca="1" ref="C78" ca="1">_xlfn.IFS(B78="etf", _xll.YCI(A78, "security_name",TODAY()),B78&lt;&gt;"etf",_xll.YCI("M:" &amp; A78, "security_name",TODAY()))</f>
        <v>#VALUE!</v>
      </c>
      <c r="D78" t="e" cm="1">
        <f t="array" aca="1" ref="D78" ca="1">_xlfn.IFS($B78="etf", _xll.YCI($A78, "ycharts_benchmark_category",TODAY()),$B78&lt;&gt;"etf",_xll.YCI("M:" &amp; $A78, "ycharts_benchmark_category",TODAY()))</f>
        <v>#VALUE!</v>
      </c>
      <c r="E78" t="e" cm="1">
        <f t="array" aca="1" ref="E78" ca="1">_xlfn.IFS($B78="etf", _xll.YCI($A78, "ycharts_benchmark_index_symbol",TODAY()),$B78&lt;&gt;"etf",_xll.YCI("M:" &amp; $A78, "ycharts_benchmark_index_symbol",TODAY()))</f>
        <v>#VALUE!</v>
      </c>
      <c r="F78" t="e" cm="1">
        <f t="array" aca="1" ref="F78" ca="1">_xlfn.IFS($B78="etf", _xll.YCI($E78, "security_name",TODAY()),$B78&lt;&gt;"etf",_xll.YCI( $E78, "security_name",TODAY()))</f>
        <v>#VALUE!</v>
      </c>
      <c r="G78" t="e" cm="1">
        <f t="array" aca="1" ref="G78" ca="1">_xlfn.IFS($B78="etf", _xll.YCI($A78, "prospectus_benchmark_index",TODAY()),$B78&lt;&gt;"etf",_xll.YCI("M:" &amp; $A78, "prospectus_benchmark_index",TODAY()))</f>
        <v>#VALUE!</v>
      </c>
      <c r="H78" s="2" t="e" cm="1">
        <f t="array" aca="1" ref="H78" ca="1">_xlfn.IFS($B78="etf", _xll.YCP($A78,"quarterly_total_return",'Database Query'!$E$14),$B78&lt;&gt;"etf",_xll.YCP("M:"&amp; $A78,"quarterly_total_return",'Database Query'!$E$14))</f>
        <v>#VALUE!</v>
      </c>
      <c r="I78" s="2" t="e" cm="1">
        <f t="array" aca="1" ref="I78" ca="1">-_xll.YCP($E78,"quarterly_return",'Database Query'!$E$14)+H78</f>
        <v>#VALUE!</v>
      </c>
      <c r="J78" s="2" t="e" cm="1">
        <f t="array" aca="1" ref="J78" ca="1">_xlfn.IFS($B78="etf", _xll.YCP($A78,"ytd_total_return",'Database Query'!$E$14),$B78&lt;&gt;"etf",_xll.YCP("M:"&amp; $A78,"ytd_total_return",'Database Query'!$E$14))</f>
        <v>#VALUE!</v>
      </c>
      <c r="K78" s="2" t="e" cm="1">
        <f t="array" aca="1" ref="K78" ca="1">-_xll.YCP($E78,"ytd_return",'Database Query'!$E$14)+J78</f>
        <v>#VALUE!</v>
      </c>
      <c r="L78" s="2" t="e" cm="1">
        <f t="array" aca="1" ref="L78" ca="1">_xlfn.IFS($B78="etf", _xll.YCP($A78,"one_year_total_return",'Database Query'!$E$14),$B78&lt;&gt;"etf",_xll.YCP("M:"&amp; $A78,"one_year_total_return",'Database Query'!$E$14))</f>
        <v>#VALUE!</v>
      </c>
      <c r="M78" s="2" t="e" cm="1">
        <f t="array" aca="1" ref="M78" ca="1">-_xll.YCP($E78,"one_year_return",'Database Query'!$E$14)+L78</f>
        <v>#VALUE!</v>
      </c>
      <c r="N78" s="2" t="e" cm="1">
        <f t="array" aca="1" ref="N78" ca="1">_xlfn.IFS($B78="etf", _xll.YCP($A78,"three_year_total_return",'Database Query'!$E$14),$B78&lt;&gt;"etf",_xll.YCP("M:"&amp; $A78,"three_year_total_return",'Database Query'!$E$14))</f>
        <v>#VALUE!</v>
      </c>
      <c r="O78" s="2" t="e" cm="1">
        <f t="array" aca="1" ref="O78" ca="1">-_xll.YCP($E78,"three_year_return",'Database Query'!$E$14)+N78</f>
        <v>#VALUE!</v>
      </c>
      <c r="P78" s="2" t="e" cm="1">
        <f t="array" aca="1" ref="P78" ca="1">_xlfn.IFS($B78="etf", _xll.YCP($A78,"five_year_total_return",'Database Query'!$E$14),$B78&lt;&gt;"etf",_xll.YCP("M:"&amp; $A78,"five_year_total_return",'Database Query'!$E$14))</f>
        <v>#VALUE!</v>
      </c>
      <c r="Q78" s="2" t="e" cm="1">
        <f t="array" aca="1" ref="Q78" ca="1">-_xll.YCP($E78,"five_year_return",'Database Query'!$E$14)+P78</f>
        <v>#VALUE!</v>
      </c>
    </row>
    <row r="79" spans="1:17" x14ac:dyDescent="0.25">
      <c r="A79" t="str">
        <v>FITLX</v>
      </c>
      <c r="B79" t="e" cm="1">
        <f t="array" aca="1" ref="B79" ca="1">_xll.YCI(A79,"detailed_security_type",TODAY())</f>
        <v>#VALUE!</v>
      </c>
      <c r="C79" t="e" cm="1">
        <f t="array" aca="1" ref="C79" ca="1">_xlfn.IFS(B79="etf", _xll.YCI(A79, "security_name",TODAY()),B79&lt;&gt;"etf",_xll.YCI("M:" &amp; A79, "security_name",TODAY()))</f>
        <v>#VALUE!</v>
      </c>
      <c r="D79" t="e" cm="1">
        <f t="array" aca="1" ref="D79" ca="1">_xlfn.IFS($B79="etf", _xll.YCI($A79, "ycharts_benchmark_category",TODAY()),$B79&lt;&gt;"etf",_xll.YCI("M:" &amp; $A79, "ycharts_benchmark_category",TODAY()))</f>
        <v>#VALUE!</v>
      </c>
      <c r="E79" t="e" cm="1">
        <f t="array" aca="1" ref="E79" ca="1">_xlfn.IFS($B79="etf", _xll.YCI($A79, "ycharts_benchmark_index_symbol",TODAY()),$B79&lt;&gt;"etf",_xll.YCI("M:" &amp; $A79, "ycharts_benchmark_index_symbol",TODAY()))</f>
        <v>#VALUE!</v>
      </c>
      <c r="F79" t="e" cm="1">
        <f t="array" aca="1" ref="F79" ca="1">_xlfn.IFS($B79="etf", _xll.YCI($E79, "security_name",TODAY()),$B79&lt;&gt;"etf",_xll.YCI( $E79, "security_name",TODAY()))</f>
        <v>#VALUE!</v>
      </c>
      <c r="G79" t="e" cm="1">
        <f t="array" aca="1" ref="G79" ca="1">_xlfn.IFS($B79="etf", _xll.YCI($A79, "prospectus_benchmark_index",TODAY()),$B79&lt;&gt;"etf",_xll.YCI("M:" &amp; $A79, "prospectus_benchmark_index",TODAY()))</f>
        <v>#VALUE!</v>
      </c>
      <c r="H79" s="2" t="e" cm="1">
        <f t="array" aca="1" ref="H79" ca="1">_xlfn.IFS($B79="etf", _xll.YCP($A79,"quarterly_total_return",'Database Query'!$E$14),$B79&lt;&gt;"etf",_xll.YCP("M:"&amp; $A79,"quarterly_total_return",'Database Query'!$E$14))</f>
        <v>#VALUE!</v>
      </c>
      <c r="I79" s="2" t="e" cm="1">
        <f t="array" aca="1" ref="I79" ca="1">-_xll.YCP($E79,"quarterly_return",'Database Query'!$E$14)+H79</f>
        <v>#VALUE!</v>
      </c>
      <c r="J79" s="2" t="e" cm="1">
        <f t="array" aca="1" ref="J79" ca="1">_xlfn.IFS($B79="etf", _xll.YCP($A79,"ytd_total_return",'Database Query'!$E$14),$B79&lt;&gt;"etf",_xll.YCP("M:"&amp; $A79,"ytd_total_return",'Database Query'!$E$14))</f>
        <v>#VALUE!</v>
      </c>
      <c r="K79" s="2" t="e" cm="1">
        <f t="array" aca="1" ref="K79" ca="1">-_xll.YCP($E79,"ytd_return",'Database Query'!$E$14)+J79</f>
        <v>#VALUE!</v>
      </c>
      <c r="L79" s="2" t="e" cm="1">
        <f t="array" aca="1" ref="L79" ca="1">_xlfn.IFS($B79="etf", _xll.YCP($A79,"one_year_total_return",'Database Query'!$E$14),$B79&lt;&gt;"etf",_xll.YCP("M:"&amp; $A79,"one_year_total_return",'Database Query'!$E$14))</f>
        <v>#VALUE!</v>
      </c>
      <c r="M79" s="2" t="e" cm="1">
        <f t="array" aca="1" ref="M79" ca="1">-_xll.YCP($E79,"one_year_return",'Database Query'!$E$14)+L79</f>
        <v>#VALUE!</v>
      </c>
      <c r="N79" s="2" t="e" cm="1">
        <f t="array" aca="1" ref="N79" ca="1">_xlfn.IFS($B79="etf", _xll.YCP($A79,"three_year_total_return",'Database Query'!$E$14),$B79&lt;&gt;"etf",_xll.YCP("M:"&amp; $A79,"three_year_total_return",'Database Query'!$E$14))</f>
        <v>#VALUE!</v>
      </c>
      <c r="O79" s="2" t="e" cm="1">
        <f t="array" aca="1" ref="O79" ca="1">-_xll.YCP($E79,"three_year_return",'Database Query'!$E$14)+N79</f>
        <v>#VALUE!</v>
      </c>
      <c r="P79" s="2" t="e" cm="1">
        <f t="array" aca="1" ref="P79" ca="1">_xlfn.IFS($B79="etf", _xll.YCP($A79,"five_year_total_return",'Database Query'!$E$14),$B79&lt;&gt;"etf",_xll.YCP("M:"&amp; $A79,"five_year_total_return",'Database Query'!$E$14))</f>
        <v>#VALUE!</v>
      </c>
      <c r="Q79" s="2" t="e" cm="1">
        <f t="array" aca="1" ref="Q79" ca="1">-_xll.YCP($E79,"five_year_return",'Database Query'!$E$14)+P79</f>
        <v>#VALUE!</v>
      </c>
    </row>
    <row r="80" spans="1:17" x14ac:dyDescent="0.25">
      <c r="A80" t="str">
        <v>FKEMX</v>
      </c>
      <c r="B80" t="e" cm="1">
        <f t="array" aca="1" ref="B80" ca="1">_xll.YCI(A80,"detailed_security_type",TODAY())</f>
        <v>#VALUE!</v>
      </c>
      <c r="C80" t="e" cm="1">
        <f t="array" aca="1" ref="C80" ca="1">_xlfn.IFS(B80="etf", _xll.YCI(A80, "security_name",TODAY()),B80&lt;&gt;"etf",_xll.YCI("M:" &amp; A80, "security_name",TODAY()))</f>
        <v>#VALUE!</v>
      </c>
      <c r="D80" t="e" cm="1">
        <f t="array" aca="1" ref="D80" ca="1">_xlfn.IFS($B80="etf", _xll.YCI($A80, "ycharts_benchmark_category",TODAY()),$B80&lt;&gt;"etf",_xll.YCI("M:" &amp; $A80, "ycharts_benchmark_category",TODAY()))</f>
        <v>#VALUE!</v>
      </c>
      <c r="E80" t="e" cm="1">
        <f t="array" aca="1" ref="E80" ca="1">_xlfn.IFS($B80="etf", _xll.YCI($A80, "ycharts_benchmark_index_symbol",TODAY()),$B80&lt;&gt;"etf",_xll.YCI("M:" &amp; $A80, "ycharts_benchmark_index_symbol",TODAY()))</f>
        <v>#VALUE!</v>
      </c>
      <c r="F80" t="e" cm="1">
        <f t="array" aca="1" ref="F80" ca="1">_xlfn.IFS($B80="etf", _xll.YCI($E80, "security_name",TODAY()),$B80&lt;&gt;"etf",_xll.YCI( $E80, "security_name",TODAY()))</f>
        <v>#VALUE!</v>
      </c>
      <c r="G80" t="e" cm="1">
        <f t="array" aca="1" ref="G80" ca="1">_xlfn.IFS($B80="etf", _xll.YCI($A80, "prospectus_benchmark_index",TODAY()),$B80&lt;&gt;"etf",_xll.YCI("M:" &amp; $A80, "prospectus_benchmark_index",TODAY()))</f>
        <v>#VALUE!</v>
      </c>
      <c r="H80" s="2" t="e" cm="1">
        <f t="array" aca="1" ref="H80" ca="1">_xlfn.IFS($B80="etf", _xll.YCP($A80,"quarterly_total_return",'Database Query'!$E$14),$B80&lt;&gt;"etf",_xll.YCP("M:"&amp; $A80,"quarterly_total_return",'Database Query'!$E$14))</f>
        <v>#VALUE!</v>
      </c>
      <c r="I80" s="2" t="e" cm="1">
        <f t="array" aca="1" ref="I80" ca="1">-_xll.YCP($E80,"quarterly_return",'Database Query'!$E$14)+H80</f>
        <v>#VALUE!</v>
      </c>
      <c r="J80" s="2" t="e" cm="1">
        <f t="array" aca="1" ref="J80" ca="1">_xlfn.IFS($B80="etf", _xll.YCP($A80,"ytd_total_return",'Database Query'!$E$14),$B80&lt;&gt;"etf",_xll.YCP("M:"&amp; $A80,"ytd_total_return",'Database Query'!$E$14))</f>
        <v>#VALUE!</v>
      </c>
      <c r="K80" s="2" t="e" cm="1">
        <f t="array" aca="1" ref="K80" ca="1">-_xll.YCP($E80,"ytd_return",'Database Query'!$E$14)+J80</f>
        <v>#VALUE!</v>
      </c>
      <c r="L80" s="2" t="e" cm="1">
        <f t="array" aca="1" ref="L80" ca="1">_xlfn.IFS($B80="etf", _xll.YCP($A80,"one_year_total_return",'Database Query'!$E$14),$B80&lt;&gt;"etf",_xll.YCP("M:"&amp; $A80,"one_year_total_return",'Database Query'!$E$14))</f>
        <v>#VALUE!</v>
      </c>
      <c r="M80" s="2" t="e" cm="1">
        <f t="array" aca="1" ref="M80" ca="1">-_xll.YCP($E80,"one_year_return",'Database Query'!$E$14)+L80</f>
        <v>#VALUE!</v>
      </c>
      <c r="N80" s="2" t="e" cm="1">
        <f t="array" aca="1" ref="N80" ca="1">_xlfn.IFS($B80="etf", _xll.YCP($A80,"three_year_total_return",'Database Query'!$E$14),$B80&lt;&gt;"etf",_xll.YCP("M:"&amp; $A80,"three_year_total_return",'Database Query'!$E$14))</f>
        <v>#VALUE!</v>
      </c>
      <c r="O80" s="2" t="e" cm="1">
        <f t="array" aca="1" ref="O80" ca="1">-_xll.YCP($E80,"three_year_return",'Database Query'!$E$14)+N80</f>
        <v>#VALUE!</v>
      </c>
      <c r="P80" s="2" t="e" cm="1">
        <f t="array" aca="1" ref="P80" ca="1">_xlfn.IFS($B80="etf", _xll.YCP($A80,"five_year_total_return",'Database Query'!$E$14),$B80&lt;&gt;"etf",_xll.YCP("M:"&amp; $A80,"five_year_total_return",'Database Query'!$E$14))</f>
        <v>#VALUE!</v>
      </c>
      <c r="Q80" s="2" t="e" cm="1">
        <f t="array" aca="1" ref="Q80" ca="1">-_xll.YCP($E80,"five_year_return",'Database Query'!$E$14)+P80</f>
        <v>#VALUE!</v>
      </c>
    </row>
    <row r="81" spans="1:17" x14ac:dyDescent="0.25">
      <c r="A81" t="str">
        <v>FLBDX</v>
      </c>
      <c r="B81" t="e" cm="1">
        <f t="array" aca="1" ref="B81" ca="1">_xll.YCI(A81,"detailed_security_type",TODAY())</f>
        <v>#VALUE!</v>
      </c>
      <c r="C81" t="e" cm="1">
        <f t="array" aca="1" ref="C81" ca="1">_xlfn.IFS(B81="etf", _xll.YCI(A81, "security_name",TODAY()),B81&lt;&gt;"etf",_xll.YCI("M:" &amp; A81, "security_name",TODAY()))</f>
        <v>#VALUE!</v>
      </c>
      <c r="D81" t="e" cm="1">
        <f t="array" aca="1" ref="D81" ca="1">_xlfn.IFS($B81="etf", _xll.YCI($A81, "ycharts_benchmark_category",TODAY()),$B81&lt;&gt;"etf",_xll.YCI("M:" &amp; $A81, "ycharts_benchmark_category",TODAY()))</f>
        <v>#VALUE!</v>
      </c>
      <c r="E81" t="e" cm="1">
        <f t="array" aca="1" ref="E81" ca="1">_xlfn.IFS($B81="etf", _xll.YCI($A81, "ycharts_benchmark_index_symbol",TODAY()),$B81&lt;&gt;"etf",_xll.YCI("M:" &amp; $A81, "ycharts_benchmark_index_symbol",TODAY()))</f>
        <v>#VALUE!</v>
      </c>
      <c r="F81" t="e" cm="1">
        <f t="array" aca="1" ref="F81" ca="1">_xlfn.IFS($B81="etf", _xll.YCI($E81, "security_name",TODAY()),$B81&lt;&gt;"etf",_xll.YCI( $E81, "security_name",TODAY()))</f>
        <v>#VALUE!</v>
      </c>
      <c r="G81" t="e" cm="1">
        <f t="array" aca="1" ref="G81" ca="1">_xlfn.IFS($B81="etf", _xll.YCI($A81, "prospectus_benchmark_index",TODAY()),$B81&lt;&gt;"etf",_xll.YCI("M:" &amp; $A81, "prospectus_benchmark_index",TODAY()))</f>
        <v>#VALUE!</v>
      </c>
      <c r="H81" s="2" t="e" cm="1">
        <f t="array" aca="1" ref="H81" ca="1">_xlfn.IFS($B81="etf", _xll.YCP($A81,"quarterly_total_return",'Database Query'!$E$14),$B81&lt;&gt;"etf",_xll.YCP("M:"&amp; $A81,"quarterly_total_return",'Database Query'!$E$14))</f>
        <v>#VALUE!</v>
      </c>
      <c r="I81" s="2" t="e" cm="1">
        <f t="array" aca="1" ref="I81" ca="1">-_xll.YCP($E81,"quarterly_return",'Database Query'!$E$14)+H81</f>
        <v>#VALUE!</v>
      </c>
      <c r="J81" s="2" t="e" cm="1">
        <f t="array" aca="1" ref="J81" ca="1">_xlfn.IFS($B81="etf", _xll.YCP($A81,"ytd_total_return",'Database Query'!$E$14),$B81&lt;&gt;"etf",_xll.YCP("M:"&amp; $A81,"ytd_total_return",'Database Query'!$E$14))</f>
        <v>#VALUE!</v>
      </c>
      <c r="K81" s="2" t="e" cm="1">
        <f t="array" aca="1" ref="K81" ca="1">-_xll.YCP($E81,"ytd_return",'Database Query'!$E$14)+J81</f>
        <v>#VALUE!</v>
      </c>
      <c r="L81" s="2" t="e" cm="1">
        <f t="array" aca="1" ref="L81" ca="1">_xlfn.IFS($B81="etf", _xll.YCP($A81,"one_year_total_return",'Database Query'!$E$14),$B81&lt;&gt;"etf",_xll.YCP("M:"&amp; $A81,"one_year_total_return",'Database Query'!$E$14))</f>
        <v>#VALUE!</v>
      </c>
      <c r="M81" s="2" t="e" cm="1">
        <f t="array" aca="1" ref="M81" ca="1">-_xll.YCP($E81,"one_year_return",'Database Query'!$E$14)+L81</f>
        <v>#VALUE!</v>
      </c>
      <c r="N81" s="2" t="e" cm="1">
        <f t="array" aca="1" ref="N81" ca="1">_xlfn.IFS($B81="etf", _xll.YCP($A81,"three_year_total_return",'Database Query'!$E$14),$B81&lt;&gt;"etf",_xll.YCP("M:"&amp; $A81,"three_year_total_return",'Database Query'!$E$14))</f>
        <v>#VALUE!</v>
      </c>
      <c r="O81" s="2" t="e" cm="1">
        <f t="array" aca="1" ref="O81" ca="1">-_xll.YCP($E81,"three_year_return",'Database Query'!$E$14)+N81</f>
        <v>#VALUE!</v>
      </c>
      <c r="P81" s="2" t="e" cm="1">
        <f t="array" aca="1" ref="P81" ca="1">_xlfn.IFS($B81="etf", _xll.YCP($A81,"five_year_total_return",'Database Query'!$E$14),$B81&lt;&gt;"etf",_xll.YCP("M:"&amp; $A81,"five_year_total_return",'Database Query'!$E$14))</f>
        <v>#VALUE!</v>
      </c>
      <c r="Q81" s="2" t="e" cm="1">
        <f t="array" aca="1" ref="Q81" ca="1">-_xll.YCP($E81,"five_year_return",'Database Query'!$E$14)+P81</f>
        <v>#VALUE!</v>
      </c>
    </row>
    <row r="82" spans="1:17" x14ac:dyDescent="0.25">
      <c r="A82" t="str">
        <v>FLCGX</v>
      </c>
      <c r="B82" t="e" cm="1">
        <f t="array" aca="1" ref="B82" ca="1">_xll.YCI(A82,"detailed_security_type",TODAY())</f>
        <v>#VALUE!</v>
      </c>
      <c r="C82" t="e" cm="1">
        <f t="array" aca="1" ref="C82" ca="1">_xlfn.IFS(B82="etf", _xll.YCI(A82, "security_name",TODAY()),B82&lt;&gt;"etf",_xll.YCI("M:" &amp; A82, "security_name",TODAY()))</f>
        <v>#VALUE!</v>
      </c>
      <c r="D82" t="e" cm="1">
        <f t="array" aca="1" ref="D82" ca="1">_xlfn.IFS($B82="etf", _xll.YCI($A82, "ycharts_benchmark_category",TODAY()),$B82&lt;&gt;"etf",_xll.YCI("M:" &amp; $A82, "ycharts_benchmark_category",TODAY()))</f>
        <v>#VALUE!</v>
      </c>
      <c r="E82" t="e" cm="1">
        <f t="array" aca="1" ref="E82" ca="1">_xlfn.IFS($B82="etf", _xll.YCI($A82, "ycharts_benchmark_index_symbol",TODAY()),$B82&lt;&gt;"etf",_xll.YCI("M:" &amp; $A82, "ycharts_benchmark_index_symbol",TODAY()))</f>
        <v>#VALUE!</v>
      </c>
      <c r="F82" t="e" cm="1">
        <f t="array" aca="1" ref="F82" ca="1">_xlfn.IFS($B82="etf", _xll.YCI($E82, "security_name",TODAY()),$B82&lt;&gt;"etf",_xll.YCI( $E82, "security_name",TODAY()))</f>
        <v>#VALUE!</v>
      </c>
      <c r="G82" t="e" cm="1">
        <f t="array" aca="1" ref="G82" ca="1">_xlfn.IFS($B82="etf", _xll.YCI($A82, "prospectus_benchmark_index",TODAY()),$B82&lt;&gt;"etf",_xll.YCI("M:" &amp; $A82, "prospectus_benchmark_index",TODAY()))</f>
        <v>#VALUE!</v>
      </c>
      <c r="H82" s="2" t="e" cm="1">
        <f t="array" aca="1" ref="H82" ca="1">_xlfn.IFS($B82="etf", _xll.YCP($A82,"quarterly_total_return",'Database Query'!$E$14),$B82&lt;&gt;"etf",_xll.YCP("M:"&amp; $A82,"quarterly_total_return",'Database Query'!$E$14))</f>
        <v>#VALUE!</v>
      </c>
      <c r="I82" s="2" t="e" cm="1">
        <f t="array" aca="1" ref="I82" ca="1">-_xll.YCP($E82,"quarterly_return",'Database Query'!$E$14)+H82</f>
        <v>#VALUE!</v>
      </c>
      <c r="J82" s="2" t="e" cm="1">
        <f t="array" aca="1" ref="J82" ca="1">_xlfn.IFS($B82="etf", _xll.YCP($A82,"ytd_total_return",'Database Query'!$E$14),$B82&lt;&gt;"etf",_xll.YCP("M:"&amp; $A82,"ytd_total_return",'Database Query'!$E$14))</f>
        <v>#VALUE!</v>
      </c>
      <c r="K82" s="2" t="e" cm="1">
        <f t="array" aca="1" ref="K82" ca="1">-_xll.YCP($E82,"ytd_return",'Database Query'!$E$14)+J82</f>
        <v>#VALUE!</v>
      </c>
      <c r="L82" s="2" t="e" cm="1">
        <f t="array" aca="1" ref="L82" ca="1">_xlfn.IFS($B82="etf", _xll.YCP($A82,"one_year_total_return",'Database Query'!$E$14),$B82&lt;&gt;"etf",_xll.YCP("M:"&amp; $A82,"one_year_total_return",'Database Query'!$E$14))</f>
        <v>#VALUE!</v>
      </c>
      <c r="M82" s="2" t="e" cm="1">
        <f t="array" aca="1" ref="M82" ca="1">-_xll.YCP($E82,"one_year_return",'Database Query'!$E$14)+L82</f>
        <v>#VALUE!</v>
      </c>
      <c r="N82" s="2" t="e" cm="1">
        <f t="array" aca="1" ref="N82" ca="1">_xlfn.IFS($B82="etf", _xll.YCP($A82,"three_year_total_return",'Database Query'!$E$14),$B82&lt;&gt;"etf",_xll.YCP("M:"&amp; $A82,"three_year_total_return",'Database Query'!$E$14))</f>
        <v>#VALUE!</v>
      </c>
      <c r="O82" s="2" t="e" cm="1">
        <f t="array" aca="1" ref="O82" ca="1">-_xll.YCP($E82,"three_year_return",'Database Query'!$E$14)+N82</f>
        <v>#VALUE!</v>
      </c>
      <c r="P82" s="2" t="e" cm="1">
        <f t="array" aca="1" ref="P82" ca="1">_xlfn.IFS($B82="etf", _xll.YCP($A82,"five_year_total_return",'Database Query'!$E$14),$B82&lt;&gt;"etf",_xll.YCP("M:"&amp; $A82,"five_year_total_return",'Database Query'!$E$14))</f>
        <v>#VALUE!</v>
      </c>
      <c r="Q82" s="2" t="e" cm="1">
        <f t="array" aca="1" ref="Q82" ca="1">-_xll.YCP($E82,"five_year_return",'Database Query'!$E$14)+P82</f>
        <v>#VALUE!</v>
      </c>
    </row>
    <row r="83" spans="1:17" x14ac:dyDescent="0.25">
      <c r="A83" t="str">
        <v>FLDFX</v>
      </c>
      <c r="B83" t="e" cm="1">
        <f t="array" aca="1" ref="B83" ca="1">_xll.YCI(A83,"detailed_security_type",TODAY())</f>
        <v>#VALUE!</v>
      </c>
      <c r="C83" t="e" cm="1">
        <f t="array" aca="1" ref="C83" ca="1">_xlfn.IFS(B83="etf", _xll.YCI(A83, "security_name",TODAY()),B83&lt;&gt;"etf",_xll.YCI("M:" &amp; A83, "security_name",TODAY()))</f>
        <v>#VALUE!</v>
      </c>
      <c r="D83" t="e" cm="1">
        <f t="array" aca="1" ref="D83" ca="1">_xlfn.IFS($B83="etf", _xll.YCI($A83, "ycharts_benchmark_category",TODAY()),$B83&lt;&gt;"etf",_xll.YCI("M:" &amp; $A83, "ycharts_benchmark_category",TODAY()))</f>
        <v>#VALUE!</v>
      </c>
      <c r="E83" t="e" cm="1">
        <f t="array" aca="1" ref="E83" ca="1">_xlfn.IFS($B83="etf", _xll.YCI($A83, "ycharts_benchmark_index_symbol",TODAY()),$B83&lt;&gt;"etf",_xll.YCI("M:" &amp; $A83, "ycharts_benchmark_index_symbol",TODAY()))</f>
        <v>#VALUE!</v>
      </c>
      <c r="F83" t="e" cm="1">
        <f t="array" aca="1" ref="F83" ca="1">_xlfn.IFS($B83="etf", _xll.YCI($E83, "security_name",TODAY()),$B83&lt;&gt;"etf",_xll.YCI( $E83, "security_name",TODAY()))</f>
        <v>#VALUE!</v>
      </c>
      <c r="G83" t="e" cm="1">
        <f t="array" aca="1" ref="G83" ca="1">_xlfn.IFS($B83="etf", _xll.YCI($A83, "prospectus_benchmark_index",TODAY()),$B83&lt;&gt;"etf",_xll.YCI("M:" &amp; $A83, "prospectus_benchmark_index",TODAY()))</f>
        <v>#VALUE!</v>
      </c>
      <c r="H83" s="2" t="e" cm="1">
        <f t="array" aca="1" ref="H83" ca="1">_xlfn.IFS($B83="etf", _xll.YCP($A83,"quarterly_total_return",'Database Query'!$E$14),$B83&lt;&gt;"etf",_xll.YCP("M:"&amp; $A83,"quarterly_total_return",'Database Query'!$E$14))</f>
        <v>#VALUE!</v>
      </c>
      <c r="I83" s="2" t="e" cm="1">
        <f t="array" aca="1" ref="I83" ca="1">-_xll.YCP($E83,"quarterly_return",'Database Query'!$E$14)+H83</f>
        <v>#VALUE!</v>
      </c>
      <c r="J83" s="2" t="e" cm="1">
        <f t="array" aca="1" ref="J83" ca="1">_xlfn.IFS($B83="etf", _xll.YCP($A83,"ytd_total_return",'Database Query'!$E$14),$B83&lt;&gt;"etf",_xll.YCP("M:"&amp; $A83,"ytd_total_return",'Database Query'!$E$14))</f>
        <v>#VALUE!</v>
      </c>
      <c r="K83" s="2" t="e" cm="1">
        <f t="array" aca="1" ref="K83" ca="1">-_xll.YCP($E83,"ytd_return",'Database Query'!$E$14)+J83</f>
        <v>#VALUE!</v>
      </c>
      <c r="L83" s="2" t="e" cm="1">
        <f t="array" aca="1" ref="L83" ca="1">_xlfn.IFS($B83="etf", _xll.YCP($A83,"one_year_total_return",'Database Query'!$E$14),$B83&lt;&gt;"etf",_xll.YCP("M:"&amp; $A83,"one_year_total_return",'Database Query'!$E$14))</f>
        <v>#VALUE!</v>
      </c>
      <c r="M83" s="2" t="e" cm="1">
        <f t="array" aca="1" ref="M83" ca="1">-_xll.YCP($E83,"one_year_return",'Database Query'!$E$14)+L83</f>
        <v>#VALUE!</v>
      </c>
      <c r="N83" s="2" t="e" cm="1">
        <f t="array" aca="1" ref="N83" ca="1">_xlfn.IFS($B83="etf", _xll.YCP($A83,"three_year_total_return",'Database Query'!$E$14),$B83&lt;&gt;"etf",_xll.YCP("M:"&amp; $A83,"three_year_total_return",'Database Query'!$E$14))</f>
        <v>#VALUE!</v>
      </c>
      <c r="O83" s="2" t="e" cm="1">
        <f t="array" aca="1" ref="O83" ca="1">-_xll.YCP($E83,"three_year_return",'Database Query'!$E$14)+N83</f>
        <v>#VALUE!</v>
      </c>
      <c r="P83" s="2" t="e" cm="1">
        <f t="array" aca="1" ref="P83" ca="1">_xlfn.IFS($B83="etf", _xll.YCP($A83,"five_year_total_return",'Database Query'!$E$14),$B83&lt;&gt;"etf",_xll.YCP("M:"&amp; $A83,"five_year_total_return",'Database Query'!$E$14))</f>
        <v>#VALUE!</v>
      </c>
      <c r="Q83" s="2" t="e" cm="1">
        <f t="array" aca="1" ref="Q83" ca="1">-_xll.YCP($E83,"five_year_return",'Database Query'!$E$14)+P83</f>
        <v>#VALUE!</v>
      </c>
    </row>
    <row r="84" spans="1:17" x14ac:dyDescent="0.25">
      <c r="A84" t="str">
        <v>FLDGX</v>
      </c>
      <c r="B84" t="e" cm="1">
        <f t="array" aca="1" ref="B84" ca="1">_xll.YCI(A84,"detailed_security_type",TODAY())</f>
        <v>#VALUE!</v>
      </c>
      <c r="C84" t="e" cm="1">
        <f t="array" aca="1" ref="C84" ca="1">_xlfn.IFS(B84="etf", _xll.YCI(A84, "security_name",TODAY()),B84&lt;&gt;"etf",_xll.YCI("M:" &amp; A84, "security_name",TODAY()))</f>
        <v>#VALUE!</v>
      </c>
      <c r="D84" t="e" cm="1">
        <f t="array" aca="1" ref="D84" ca="1">_xlfn.IFS($B84="etf", _xll.YCI($A84, "ycharts_benchmark_category",TODAY()),$B84&lt;&gt;"etf",_xll.YCI("M:" &amp; $A84, "ycharts_benchmark_category",TODAY()))</f>
        <v>#VALUE!</v>
      </c>
      <c r="E84" t="e" cm="1">
        <f t="array" aca="1" ref="E84" ca="1">_xlfn.IFS($B84="etf", _xll.YCI($A84, "ycharts_benchmark_index_symbol",TODAY()),$B84&lt;&gt;"etf",_xll.YCI("M:" &amp; $A84, "ycharts_benchmark_index_symbol",TODAY()))</f>
        <v>#VALUE!</v>
      </c>
      <c r="F84" t="e" cm="1">
        <f t="array" aca="1" ref="F84" ca="1">_xlfn.IFS($B84="etf", _xll.YCI($E84, "security_name",TODAY()),$B84&lt;&gt;"etf",_xll.YCI( $E84, "security_name",TODAY()))</f>
        <v>#VALUE!</v>
      </c>
      <c r="G84" t="e" cm="1">
        <f t="array" aca="1" ref="G84" ca="1">_xlfn.IFS($B84="etf", _xll.YCI($A84, "prospectus_benchmark_index",TODAY()),$B84&lt;&gt;"etf",_xll.YCI("M:" &amp; $A84, "prospectus_benchmark_index",TODAY()))</f>
        <v>#VALUE!</v>
      </c>
      <c r="H84" s="2" t="e" cm="1">
        <f t="array" aca="1" ref="H84" ca="1">_xlfn.IFS($B84="etf", _xll.YCP($A84,"quarterly_total_return",'Database Query'!$E$14),$B84&lt;&gt;"etf",_xll.YCP("M:"&amp; $A84,"quarterly_total_return",'Database Query'!$E$14))</f>
        <v>#VALUE!</v>
      </c>
      <c r="I84" s="2" t="e" cm="1">
        <f t="array" aca="1" ref="I84" ca="1">-_xll.YCP($E84,"quarterly_return",'Database Query'!$E$14)+H84</f>
        <v>#VALUE!</v>
      </c>
      <c r="J84" s="2" t="e" cm="1">
        <f t="array" aca="1" ref="J84" ca="1">_xlfn.IFS($B84="etf", _xll.YCP($A84,"ytd_total_return",'Database Query'!$E$14),$B84&lt;&gt;"etf",_xll.YCP("M:"&amp; $A84,"ytd_total_return",'Database Query'!$E$14))</f>
        <v>#VALUE!</v>
      </c>
      <c r="K84" s="2" t="e" cm="1">
        <f t="array" aca="1" ref="K84" ca="1">-_xll.YCP($E84,"ytd_return",'Database Query'!$E$14)+J84</f>
        <v>#VALUE!</v>
      </c>
      <c r="L84" s="2" t="e" cm="1">
        <f t="array" aca="1" ref="L84" ca="1">_xlfn.IFS($B84="etf", _xll.YCP($A84,"one_year_total_return",'Database Query'!$E$14),$B84&lt;&gt;"etf",_xll.YCP("M:"&amp; $A84,"one_year_total_return",'Database Query'!$E$14))</f>
        <v>#VALUE!</v>
      </c>
      <c r="M84" s="2" t="e" cm="1">
        <f t="array" aca="1" ref="M84" ca="1">-_xll.YCP($E84,"one_year_return",'Database Query'!$E$14)+L84</f>
        <v>#VALUE!</v>
      </c>
      <c r="N84" s="2" t="e" cm="1">
        <f t="array" aca="1" ref="N84" ca="1">_xlfn.IFS($B84="etf", _xll.YCP($A84,"three_year_total_return",'Database Query'!$E$14),$B84&lt;&gt;"etf",_xll.YCP("M:"&amp; $A84,"three_year_total_return",'Database Query'!$E$14))</f>
        <v>#VALUE!</v>
      </c>
      <c r="O84" s="2" t="e" cm="1">
        <f t="array" aca="1" ref="O84" ca="1">-_xll.YCP($E84,"three_year_return",'Database Query'!$E$14)+N84</f>
        <v>#VALUE!</v>
      </c>
      <c r="P84" s="2" t="e" cm="1">
        <f t="array" aca="1" ref="P84" ca="1">_xlfn.IFS($B84="etf", _xll.YCP($A84,"five_year_total_return",'Database Query'!$E$14),$B84&lt;&gt;"etf",_xll.YCP("M:"&amp; $A84,"five_year_total_return",'Database Query'!$E$14))</f>
        <v>#VALUE!</v>
      </c>
      <c r="Q84" s="2" t="e" cm="1">
        <f t="array" aca="1" ref="Q84" ca="1">-_xll.YCP($E84,"five_year_return",'Database Query'!$E$14)+P84</f>
        <v>#VALUE!</v>
      </c>
    </row>
    <row r="85" spans="1:17" x14ac:dyDescent="0.25">
      <c r="A85" t="str">
        <v>FLDOX</v>
      </c>
      <c r="B85" t="e" cm="1">
        <f t="array" aca="1" ref="B85" ca="1">_xll.YCI(A85,"detailed_security_type",TODAY())</f>
        <v>#VALUE!</v>
      </c>
      <c r="C85" t="e" cm="1">
        <f t="array" aca="1" ref="C85" ca="1">_xlfn.IFS(B85="etf", _xll.YCI(A85, "security_name",TODAY()),B85&lt;&gt;"etf",_xll.YCI("M:" &amp; A85, "security_name",TODAY()))</f>
        <v>#VALUE!</v>
      </c>
      <c r="D85" t="e" cm="1">
        <f t="array" aca="1" ref="D85" ca="1">_xlfn.IFS($B85="etf", _xll.YCI($A85, "ycharts_benchmark_category",TODAY()),$B85&lt;&gt;"etf",_xll.YCI("M:" &amp; $A85, "ycharts_benchmark_category",TODAY()))</f>
        <v>#VALUE!</v>
      </c>
      <c r="E85" t="e" cm="1">
        <f t="array" aca="1" ref="E85" ca="1">_xlfn.IFS($B85="etf", _xll.YCI($A85, "ycharts_benchmark_index_symbol",TODAY()),$B85&lt;&gt;"etf",_xll.YCI("M:" &amp; $A85, "ycharts_benchmark_index_symbol",TODAY()))</f>
        <v>#VALUE!</v>
      </c>
      <c r="F85" t="e" cm="1">
        <f t="array" aca="1" ref="F85" ca="1">_xlfn.IFS($B85="etf", _xll.YCI($E85, "security_name",TODAY()),$B85&lt;&gt;"etf",_xll.YCI( $E85, "security_name",TODAY()))</f>
        <v>#VALUE!</v>
      </c>
      <c r="G85" t="e" cm="1">
        <f t="array" aca="1" ref="G85" ca="1">_xlfn.IFS($B85="etf", _xll.YCI($A85, "prospectus_benchmark_index",TODAY()),$B85&lt;&gt;"etf",_xll.YCI("M:" &amp; $A85, "prospectus_benchmark_index",TODAY()))</f>
        <v>#VALUE!</v>
      </c>
      <c r="H85" s="2" t="e" cm="1">
        <f t="array" aca="1" ref="H85" ca="1">_xlfn.IFS($B85="etf", _xll.YCP($A85,"quarterly_total_return",'Database Query'!$E$14),$B85&lt;&gt;"etf",_xll.YCP("M:"&amp; $A85,"quarterly_total_return",'Database Query'!$E$14))</f>
        <v>#VALUE!</v>
      </c>
      <c r="I85" s="2" t="e" cm="1">
        <f t="array" aca="1" ref="I85" ca="1">-_xll.YCP($E85,"quarterly_return",'Database Query'!$E$14)+H85</f>
        <v>#VALUE!</v>
      </c>
      <c r="J85" s="2" t="e" cm="1">
        <f t="array" aca="1" ref="J85" ca="1">_xlfn.IFS($B85="etf", _xll.YCP($A85,"ytd_total_return",'Database Query'!$E$14),$B85&lt;&gt;"etf",_xll.YCP("M:"&amp; $A85,"ytd_total_return",'Database Query'!$E$14))</f>
        <v>#VALUE!</v>
      </c>
      <c r="K85" s="2" t="e" cm="1">
        <f t="array" aca="1" ref="K85" ca="1">-_xll.YCP($E85,"ytd_return",'Database Query'!$E$14)+J85</f>
        <v>#VALUE!</v>
      </c>
      <c r="L85" s="2" t="e" cm="1">
        <f t="array" aca="1" ref="L85" ca="1">_xlfn.IFS($B85="etf", _xll.YCP($A85,"one_year_total_return",'Database Query'!$E$14),$B85&lt;&gt;"etf",_xll.YCP("M:"&amp; $A85,"one_year_total_return",'Database Query'!$E$14))</f>
        <v>#VALUE!</v>
      </c>
      <c r="M85" s="2" t="e" cm="1">
        <f t="array" aca="1" ref="M85" ca="1">-_xll.YCP($E85,"one_year_return",'Database Query'!$E$14)+L85</f>
        <v>#VALUE!</v>
      </c>
      <c r="N85" s="2" t="e" cm="1">
        <f t="array" aca="1" ref="N85" ca="1">_xlfn.IFS($B85="etf", _xll.YCP($A85,"three_year_total_return",'Database Query'!$E$14),$B85&lt;&gt;"etf",_xll.YCP("M:"&amp; $A85,"three_year_total_return",'Database Query'!$E$14))</f>
        <v>#VALUE!</v>
      </c>
      <c r="O85" s="2" t="e" cm="1">
        <f t="array" aca="1" ref="O85" ca="1">-_xll.YCP($E85,"three_year_return",'Database Query'!$E$14)+N85</f>
        <v>#VALUE!</v>
      </c>
      <c r="P85" s="2" t="e" cm="1">
        <f t="array" aca="1" ref="P85" ca="1">_xlfn.IFS($B85="etf", _xll.YCP($A85,"five_year_total_return",'Database Query'!$E$14),$B85&lt;&gt;"etf",_xll.YCP("M:"&amp; $A85,"five_year_total_return",'Database Query'!$E$14))</f>
        <v>#VALUE!</v>
      </c>
      <c r="Q85" s="2" t="e" cm="1">
        <f t="array" aca="1" ref="Q85" ca="1">-_xll.YCP($E85,"five_year_return",'Database Query'!$E$14)+P85</f>
        <v>#VALUE!</v>
      </c>
    </row>
    <row r="86" spans="1:17" x14ac:dyDescent="0.25">
      <c r="A86" t="str">
        <v>FLFGX</v>
      </c>
      <c r="B86" t="e" cm="1">
        <f t="array" aca="1" ref="B86" ca="1">_xll.YCI(A86,"detailed_security_type",TODAY())</f>
        <v>#VALUE!</v>
      </c>
      <c r="C86" t="e" cm="1">
        <f t="array" aca="1" ref="C86" ca="1">_xlfn.IFS(B86="etf", _xll.YCI(A86, "security_name",TODAY()),B86&lt;&gt;"etf",_xll.YCI("M:" &amp; A86, "security_name",TODAY()))</f>
        <v>#VALUE!</v>
      </c>
      <c r="D86" t="e" cm="1">
        <f t="array" aca="1" ref="D86" ca="1">_xlfn.IFS($B86="etf", _xll.YCI($A86, "ycharts_benchmark_category",TODAY()),$B86&lt;&gt;"etf",_xll.YCI("M:" &amp; $A86, "ycharts_benchmark_category",TODAY()))</f>
        <v>#VALUE!</v>
      </c>
      <c r="E86" t="e" cm="1">
        <f t="array" aca="1" ref="E86" ca="1">_xlfn.IFS($B86="etf", _xll.YCI($A86, "ycharts_benchmark_index_symbol",TODAY()),$B86&lt;&gt;"etf",_xll.YCI("M:" &amp; $A86, "ycharts_benchmark_index_symbol",TODAY()))</f>
        <v>#VALUE!</v>
      </c>
      <c r="F86" t="e" cm="1">
        <f t="array" aca="1" ref="F86" ca="1">_xlfn.IFS($B86="etf", _xll.YCI($E86, "security_name",TODAY()),$B86&lt;&gt;"etf",_xll.YCI( $E86, "security_name",TODAY()))</f>
        <v>#VALUE!</v>
      </c>
      <c r="G86" t="e" cm="1">
        <f t="array" aca="1" ref="G86" ca="1">_xlfn.IFS($B86="etf", _xll.YCI($A86, "prospectus_benchmark_index",TODAY()),$B86&lt;&gt;"etf",_xll.YCI("M:" &amp; $A86, "prospectus_benchmark_index",TODAY()))</f>
        <v>#VALUE!</v>
      </c>
      <c r="H86" s="2" t="e" cm="1">
        <f t="array" aca="1" ref="H86" ca="1">_xlfn.IFS($B86="etf", _xll.YCP($A86,"quarterly_total_return",'Database Query'!$E$14),$B86&lt;&gt;"etf",_xll.YCP("M:"&amp; $A86,"quarterly_total_return",'Database Query'!$E$14))</f>
        <v>#VALUE!</v>
      </c>
      <c r="I86" s="2" t="e" cm="1">
        <f t="array" aca="1" ref="I86" ca="1">-_xll.YCP($E86,"quarterly_return",'Database Query'!$E$14)+H86</f>
        <v>#VALUE!</v>
      </c>
      <c r="J86" s="2" t="e" cm="1">
        <f t="array" aca="1" ref="J86" ca="1">_xlfn.IFS($B86="etf", _xll.YCP($A86,"ytd_total_return",'Database Query'!$E$14),$B86&lt;&gt;"etf",_xll.YCP("M:"&amp; $A86,"ytd_total_return",'Database Query'!$E$14))</f>
        <v>#VALUE!</v>
      </c>
      <c r="K86" s="2" t="e" cm="1">
        <f t="array" aca="1" ref="K86" ca="1">-_xll.YCP($E86,"ytd_return",'Database Query'!$E$14)+J86</f>
        <v>#VALUE!</v>
      </c>
      <c r="L86" s="2" t="e" cm="1">
        <f t="array" aca="1" ref="L86" ca="1">_xlfn.IFS($B86="etf", _xll.YCP($A86,"one_year_total_return",'Database Query'!$E$14),$B86&lt;&gt;"etf",_xll.YCP("M:"&amp; $A86,"one_year_total_return",'Database Query'!$E$14))</f>
        <v>#VALUE!</v>
      </c>
      <c r="M86" s="2" t="e" cm="1">
        <f t="array" aca="1" ref="M86" ca="1">-_xll.YCP($E86,"one_year_return",'Database Query'!$E$14)+L86</f>
        <v>#VALUE!</v>
      </c>
      <c r="N86" s="2" t="e" cm="1">
        <f t="array" aca="1" ref="N86" ca="1">_xlfn.IFS($B86="etf", _xll.YCP($A86,"three_year_total_return",'Database Query'!$E$14),$B86&lt;&gt;"etf",_xll.YCP("M:"&amp; $A86,"three_year_total_return",'Database Query'!$E$14))</f>
        <v>#VALUE!</v>
      </c>
      <c r="O86" s="2" t="e" cm="1">
        <f t="array" aca="1" ref="O86" ca="1">-_xll.YCP($E86,"three_year_return",'Database Query'!$E$14)+N86</f>
        <v>#VALUE!</v>
      </c>
      <c r="P86" s="2" t="e" cm="1">
        <f t="array" aca="1" ref="P86" ca="1">_xlfn.IFS($B86="etf", _xll.YCP($A86,"five_year_total_return",'Database Query'!$E$14),$B86&lt;&gt;"etf",_xll.YCP("M:"&amp; $A86,"five_year_total_return",'Database Query'!$E$14))</f>
        <v>#VALUE!</v>
      </c>
      <c r="Q86" s="2" t="e" cm="1">
        <f t="array" aca="1" ref="Q86" ca="1">-_xll.YCP($E86,"five_year_return",'Database Query'!$E$14)+P86</f>
        <v>#VALUE!</v>
      </c>
    </row>
    <row r="87" spans="1:17" x14ac:dyDescent="0.25">
      <c r="A87" t="str">
        <v>FLMFX</v>
      </c>
      <c r="B87" t="e" cm="1">
        <f t="array" aca="1" ref="B87" ca="1">_xll.YCI(A87,"detailed_security_type",TODAY())</f>
        <v>#VALUE!</v>
      </c>
      <c r="C87" t="e" cm="1">
        <f t="array" aca="1" ref="C87" ca="1">_xlfn.IFS(B87="etf", _xll.YCI(A87, "security_name",TODAY()),B87&lt;&gt;"etf",_xll.YCI("M:" &amp; A87, "security_name",TODAY()))</f>
        <v>#VALUE!</v>
      </c>
      <c r="D87" t="e" cm="1">
        <f t="array" aca="1" ref="D87" ca="1">_xlfn.IFS($B87="etf", _xll.YCI($A87, "ycharts_benchmark_category",TODAY()),$B87&lt;&gt;"etf",_xll.YCI("M:" &amp; $A87, "ycharts_benchmark_category",TODAY()))</f>
        <v>#VALUE!</v>
      </c>
      <c r="E87" t="e" cm="1">
        <f t="array" aca="1" ref="E87" ca="1">_xlfn.IFS($B87="etf", _xll.YCI($A87, "ycharts_benchmark_index_symbol",TODAY()),$B87&lt;&gt;"etf",_xll.YCI("M:" &amp; $A87, "ycharts_benchmark_index_symbol",TODAY()))</f>
        <v>#VALUE!</v>
      </c>
      <c r="F87" t="e" cm="1">
        <f t="array" aca="1" ref="F87" ca="1">_xlfn.IFS($B87="etf", _xll.YCI($E87, "security_name",TODAY()),$B87&lt;&gt;"etf",_xll.YCI( $E87, "security_name",TODAY()))</f>
        <v>#VALUE!</v>
      </c>
      <c r="G87" t="e" cm="1">
        <f t="array" aca="1" ref="G87" ca="1">_xlfn.IFS($B87="etf", _xll.YCI($A87, "prospectus_benchmark_index",TODAY()),$B87&lt;&gt;"etf",_xll.YCI("M:" &amp; $A87, "prospectus_benchmark_index",TODAY()))</f>
        <v>#VALUE!</v>
      </c>
      <c r="H87" s="2" t="e" cm="1">
        <f t="array" aca="1" ref="H87" ca="1">_xlfn.IFS($B87="etf", _xll.YCP($A87,"quarterly_total_return",'Database Query'!$E$14),$B87&lt;&gt;"etf",_xll.YCP("M:"&amp; $A87,"quarterly_total_return",'Database Query'!$E$14))</f>
        <v>#VALUE!</v>
      </c>
      <c r="I87" s="2" t="e" cm="1">
        <f t="array" aca="1" ref="I87" ca="1">-_xll.YCP($E87,"quarterly_return",'Database Query'!$E$14)+H87</f>
        <v>#VALUE!</v>
      </c>
      <c r="J87" s="2" t="e" cm="1">
        <f t="array" aca="1" ref="J87" ca="1">_xlfn.IFS($B87="etf", _xll.YCP($A87,"ytd_total_return",'Database Query'!$E$14),$B87&lt;&gt;"etf",_xll.YCP("M:"&amp; $A87,"ytd_total_return",'Database Query'!$E$14))</f>
        <v>#VALUE!</v>
      </c>
      <c r="K87" s="2" t="e" cm="1">
        <f t="array" aca="1" ref="K87" ca="1">-_xll.YCP($E87,"ytd_return",'Database Query'!$E$14)+J87</f>
        <v>#VALUE!</v>
      </c>
      <c r="L87" s="2" t="e" cm="1">
        <f t="array" aca="1" ref="L87" ca="1">_xlfn.IFS($B87="etf", _xll.YCP($A87,"one_year_total_return",'Database Query'!$E$14),$B87&lt;&gt;"etf",_xll.YCP("M:"&amp; $A87,"one_year_total_return",'Database Query'!$E$14))</f>
        <v>#VALUE!</v>
      </c>
      <c r="M87" s="2" t="e" cm="1">
        <f t="array" aca="1" ref="M87" ca="1">-_xll.YCP($E87,"one_year_return",'Database Query'!$E$14)+L87</f>
        <v>#VALUE!</v>
      </c>
      <c r="N87" s="2" t="e" cm="1">
        <f t="array" aca="1" ref="N87" ca="1">_xlfn.IFS($B87="etf", _xll.YCP($A87,"three_year_total_return",'Database Query'!$E$14),$B87&lt;&gt;"etf",_xll.YCP("M:"&amp; $A87,"three_year_total_return",'Database Query'!$E$14))</f>
        <v>#VALUE!</v>
      </c>
      <c r="O87" s="2" t="e" cm="1">
        <f t="array" aca="1" ref="O87" ca="1">-_xll.YCP($E87,"three_year_return",'Database Query'!$E$14)+N87</f>
        <v>#VALUE!</v>
      </c>
      <c r="P87" s="2" t="e" cm="1">
        <f t="array" aca="1" ref="P87" ca="1">_xlfn.IFS($B87="etf", _xll.YCP($A87,"five_year_total_return",'Database Query'!$E$14),$B87&lt;&gt;"etf",_xll.YCP("M:"&amp; $A87,"five_year_total_return",'Database Query'!$E$14))</f>
        <v>#VALUE!</v>
      </c>
      <c r="Q87" s="2" t="e" cm="1">
        <f t="array" aca="1" ref="Q87" ca="1">-_xll.YCP($E87,"five_year_return",'Database Query'!$E$14)+P87</f>
        <v>#VALUE!</v>
      </c>
    </row>
    <row r="88" spans="1:17" x14ac:dyDescent="0.25">
      <c r="A88" t="str">
        <v>FLMIX</v>
      </c>
      <c r="B88" t="e" cm="1">
        <f t="array" aca="1" ref="B88" ca="1">_xll.YCI(A88,"detailed_security_type",TODAY())</f>
        <v>#VALUE!</v>
      </c>
      <c r="C88" t="e" cm="1">
        <f t="array" aca="1" ref="C88" ca="1">_xlfn.IFS(B88="etf", _xll.YCI(A88, "security_name",TODAY()),B88&lt;&gt;"etf",_xll.YCI("M:" &amp; A88, "security_name",TODAY()))</f>
        <v>#VALUE!</v>
      </c>
      <c r="D88" t="e" cm="1">
        <f t="array" aca="1" ref="D88" ca="1">_xlfn.IFS($B88="etf", _xll.YCI($A88, "ycharts_benchmark_category",TODAY()),$B88&lt;&gt;"etf",_xll.YCI("M:" &amp; $A88, "ycharts_benchmark_category",TODAY()))</f>
        <v>#VALUE!</v>
      </c>
      <c r="E88" t="e" cm="1">
        <f t="array" aca="1" ref="E88" ca="1">_xlfn.IFS($B88="etf", _xll.YCI($A88, "ycharts_benchmark_index_symbol",TODAY()),$B88&lt;&gt;"etf",_xll.YCI("M:" &amp; $A88, "ycharts_benchmark_index_symbol",TODAY()))</f>
        <v>#VALUE!</v>
      </c>
      <c r="F88" t="e" cm="1">
        <f t="array" aca="1" ref="F88" ca="1">_xlfn.IFS($B88="etf", _xll.YCI($E88, "security_name",TODAY()),$B88&lt;&gt;"etf",_xll.YCI( $E88, "security_name",TODAY()))</f>
        <v>#VALUE!</v>
      </c>
      <c r="G88" t="e" cm="1">
        <f t="array" aca="1" ref="G88" ca="1">_xlfn.IFS($B88="etf", _xll.YCI($A88, "prospectus_benchmark_index",TODAY()),$B88&lt;&gt;"etf",_xll.YCI("M:" &amp; $A88, "prospectus_benchmark_index",TODAY()))</f>
        <v>#VALUE!</v>
      </c>
      <c r="H88" s="2" t="e" cm="1">
        <f t="array" aca="1" ref="H88" ca="1">_xlfn.IFS($B88="etf", _xll.YCP($A88,"quarterly_total_return",'Database Query'!$E$14),$B88&lt;&gt;"etf",_xll.YCP("M:"&amp; $A88,"quarterly_total_return",'Database Query'!$E$14))</f>
        <v>#VALUE!</v>
      </c>
      <c r="I88" s="2" t="e" cm="1">
        <f t="array" aca="1" ref="I88" ca="1">-_xll.YCP($E88,"quarterly_return",'Database Query'!$E$14)+H88</f>
        <v>#VALUE!</v>
      </c>
      <c r="J88" s="2" t="e" cm="1">
        <f t="array" aca="1" ref="J88" ca="1">_xlfn.IFS($B88="etf", _xll.YCP($A88,"ytd_total_return",'Database Query'!$E$14),$B88&lt;&gt;"etf",_xll.YCP("M:"&amp; $A88,"ytd_total_return",'Database Query'!$E$14))</f>
        <v>#VALUE!</v>
      </c>
      <c r="K88" s="2" t="e" cm="1">
        <f t="array" aca="1" ref="K88" ca="1">-_xll.YCP($E88,"ytd_return",'Database Query'!$E$14)+J88</f>
        <v>#VALUE!</v>
      </c>
      <c r="L88" s="2" t="e" cm="1">
        <f t="array" aca="1" ref="L88" ca="1">_xlfn.IFS($B88="etf", _xll.YCP($A88,"one_year_total_return",'Database Query'!$E$14),$B88&lt;&gt;"etf",_xll.YCP("M:"&amp; $A88,"one_year_total_return",'Database Query'!$E$14))</f>
        <v>#VALUE!</v>
      </c>
      <c r="M88" s="2" t="e" cm="1">
        <f t="array" aca="1" ref="M88" ca="1">-_xll.YCP($E88,"one_year_return",'Database Query'!$E$14)+L88</f>
        <v>#VALUE!</v>
      </c>
      <c r="N88" s="2" t="e" cm="1">
        <f t="array" aca="1" ref="N88" ca="1">_xlfn.IFS($B88="etf", _xll.YCP($A88,"three_year_total_return",'Database Query'!$E$14),$B88&lt;&gt;"etf",_xll.YCP("M:"&amp; $A88,"three_year_total_return",'Database Query'!$E$14))</f>
        <v>#VALUE!</v>
      </c>
      <c r="O88" s="2" t="e" cm="1">
        <f t="array" aca="1" ref="O88" ca="1">-_xll.YCP($E88,"three_year_return",'Database Query'!$E$14)+N88</f>
        <v>#VALUE!</v>
      </c>
      <c r="P88" s="2" t="e" cm="1">
        <f t="array" aca="1" ref="P88" ca="1">_xlfn.IFS($B88="etf", _xll.YCP($A88,"five_year_total_return",'Database Query'!$E$14),$B88&lt;&gt;"etf",_xll.YCP("M:"&amp; $A88,"five_year_total_return",'Database Query'!$E$14))</f>
        <v>#VALUE!</v>
      </c>
      <c r="Q88" s="2" t="e" cm="1">
        <f t="array" aca="1" ref="Q88" ca="1">-_xll.YCP($E88,"five_year_return",'Database Query'!$E$14)+P88</f>
        <v>#VALUE!</v>
      </c>
    </row>
    <row r="89" spans="1:17" x14ac:dyDescent="0.25">
      <c r="A89" t="str">
        <v>FLRUX</v>
      </c>
      <c r="B89" t="e" cm="1">
        <f t="array" aca="1" ref="B89" ca="1">_xll.YCI(A89,"detailed_security_type",TODAY())</f>
        <v>#VALUE!</v>
      </c>
      <c r="C89" t="e" cm="1">
        <f t="array" aca="1" ref="C89" ca="1">_xlfn.IFS(B89="etf", _xll.YCI(A89, "security_name",TODAY()),B89&lt;&gt;"etf",_xll.YCI("M:" &amp; A89, "security_name",TODAY()))</f>
        <v>#VALUE!</v>
      </c>
      <c r="D89" t="e" cm="1">
        <f t="array" aca="1" ref="D89" ca="1">_xlfn.IFS($B89="etf", _xll.YCI($A89, "ycharts_benchmark_category",TODAY()),$B89&lt;&gt;"etf",_xll.YCI("M:" &amp; $A89, "ycharts_benchmark_category",TODAY()))</f>
        <v>#VALUE!</v>
      </c>
      <c r="E89" t="e" cm="1">
        <f t="array" aca="1" ref="E89" ca="1">_xlfn.IFS($B89="etf", _xll.YCI($A89, "ycharts_benchmark_index_symbol",TODAY()),$B89&lt;&gt;"etf",_xll.YCI("M:" &amp; $A89, "ycharts_benchmark_index_symbol",TODAY()))</f>
        <v>#VALUE!</v>
      </c>
      <c r="F89" t="e" cm="1">
        <f t="array" aca="1" ref="F89" ca="1">_xlfn.IFS($B89="etf", _xll.YCI($E89, "security_name",TODAY()),$B89&lt;&gt;"etf",_xll.YCI( $E89, "security_name",TODAY()))</f>
        <v>#VALUE!</v>
      </c>
      <c r="G89" t="e" cm="1">
        <f t="array" aca="1" ref="G89" ca="1">_xlfn.IFS($B89="etf", _xll.YCI($A89, "prospectus_benchmark_index",TODAY()),$B89&lt;&gt;"etf",_xll.YCI("M:" &amp; $A89, "prospectus_benchmark_index",TODAY()))</f>
        <v>#VALUE!</v>
      </c>
      <c r="H89" s="2" t="e" cm="1">
        <f t="array" aca="1" ref="H89" ca="1">_xlfn.IFS($B89="etf", _xll.YCP($A89,"quarterly_total_return",'Database Query'!$E$14),$B89&lt;&gt;"etf",_xll.YCP("M:"&amp; $A89,"quarterly_total_return",'Database Query'!$E$14))</f>
        <v>#VALUE!</v>
      </c>
      <c r="I89" s="2" t="e" cm="1">
        <f t="array" aca="1" ref="I89" ca="1">-_xll.YCP($E89,"quarterly_return",'Database Query'!$E$14)+H89</f>
        <v>#VALUE!</v>
      </c>
      <c r="J89" s="2" t="e" cm="1">
        <f t="array" aca="1" ref="J89" ca="1">_xlfn.IFS($B89="etf", _xll.YCP($A89,"ytd_total_return",'Database Query'!$E$14),$B89&lt;&gt;"etf",_xll.YCP("M:"&amp; $A89,"ytd_total_return",'Database Query'!$E$14))</f>
        <v>#VALUE!</v>
      </c>
      <c r="K89" s="2" t="e" cm="1">
        <f t="array" aca="1" ref="K89" ca="1">-_xll.YCP($E89,"ytd_return",'Database Query'!$E$14)+J89</f>
        <v>#VALUE!</v>
      </c>
      <c r="L89" s="2" t="e" cm="1">
        <f t="array" aca="1" ref="L89" ca="1">_xlfn.IFS($B89="etf", _xll.YCP($A89,"one_year_total_return",'Database Query'!$E$14),$B89&lt;&gt;"etf",_xll.YCP("M:"&amp; $A89,"one_year_total_return",'Database Query'!$E$14))</f>
        <v>#VALUE!</v>
      </c>
      <c r="M89" s="2" t="e" cm="1">
        <f t="array" aca="1" ref="M89" ca="1">-_xll.YCP($E89,"one_year_return",'Database Query'!$E$14)+L89</f>
        <v>#VALUE!</v>
      </c>
      <c r="N89" s="2" t="e" cm="1">
        <f t="array" aca="1" ref="N89" ca="1">_xlfn.IFS($B89="etf", _xll.YCP($A89,"three_year_total_return",'Database Query'!$E$14),$B89&lt;&gt;"etf",_xll.YCP("M:"&amp; $A89,"three_year_total_return",'Database Query'!$E$14))</f>
        <v>#VALUE!</v>
      </c>
      <c r="O89" s="2" t="e" cm="1">
        <f t="array" aca="1" ref="O89" ca="1">-_xll.YCP($E89,"three_year_return",'Database Query'!$E$14)+N89</f>
        <v>#VALUE!</v>
      </c>
      <c r="P89" s="2" t="e" cm="1">
        <f t="array" aca="1" ref="P89" ca="1">_xlfn.IFS($B89="etf", _xll.YCP($A89,"five_year_total_return",'Database Query'!$E$14),$B89&lt;&gt;"etf",_xll.YCP("M:"&amp; $A89,"five_year_total_return",'Database Query'!$E$14))</f>
        <v>#VALUE!</v>
      </c>
      <c r="Q89" s="2" t="e" cm="1">
        <f t="array" aca="1" ref="Q89" ca="1">-_xll.YCP($E89,"five_year_return",'Database Query'!$E$14)+P89</f>
        <v>#VALUE!</v>
      </c>
    </row>
    <row r="90" spans="1:17" x14ac:dyDescent="0.25">
      <c r="A90" t="str">
        <v>FLSPX</v>
      </c>
      <c r="B90" t="e" cm="1">
        <f t="array" aca="1" ref="B90" ca="1">_xll.YCI(A90,"detailed_security_type",TODAY())</f>
        <v>#VALUE!</v>
      </c>
      <c r="C90" t="e" cm="1">
        <f t="array" aca="1" ref="C90" ca="1">_xlfn.IFS(B90="etf", _xll.YCI(A90, "security_name",TODAY()),B90&lt;&gt;"etf",_xll.YCI("M:" &amp; A90, "security_name",TODAY()))</f>
        <v>#VALUE!</v>
      </c>
      <c r="D90" t="e" cm="1">
        <f t="array" aca="1" ref="D90" ca="1">_xlfn.IFS($B90="etf", _xll.YCI($A90, "ycharts_benchmark_category",TODAY()),$B90&lt;&gt;"etf",_xll.YCI("M:" &amp; $A90, "ycharts_benchmark_category",TODAY()))</f>
        <v>#VALUE!</v>
      </c>
      <c r="E90" t="e" cm="1">
        <f t="array" aca="1" ref="E90" ca="1">_xlfn.IFS($B90="etf", _xll.YCI($A90, "ycharts_benchmark_index_symbol",TODAY()),$B90&lt;&gt;"etf",_xll.YCI("M:" &amp; $A90, "ycharts_benchmark_index_symbol",TODAY()))</f>
        <v>#VALUE!</v>
      </c>
      <c r="F90" t="e" cm="1">
        <f t="array" aca="1" ref="F90" ca="1">_xlfn.IFS($B90="etf", _xll.YCI($E90, "security_name",TODAY()),$B90&lt;&gt;"etf",_xll.YCI( $E90, "security_name",TODAY()))</f>
        <v>#VALUE!</v>
      </c>
      <c r="G90" t="e" cm="1">
        <f t="array" aca="1" ref="G90" ca="1">_xlfn.IFS($B90="etf", _xll.YCI($A90, "prospectus_benchmark_index",TODAY()),$B90&lt;&gt;"etf",_xll.YCI("M:" &amp; $A90, "prospectus_benchmark_index",TODAY()))</f>
        <v>#VALUE!</v>
      </c>
      <c r="H90" s="2" t="e" cm="1">
        <f t="array" aca="1" ref="H90" ca="1">_xlfn.IFS($B90="etf", _xll.YCP($A90,"quarterly_total_return",'Database Query'!$E$14),$B90&lt;&gt;"etf",_xll.YCP("M:"&amp; $A90,"quarterly_total_return",'Database Query'!$E$14))</f>
        <v>#VALUE!</v>
      </c>
      <c r="I90" s="2" t="e" cm="1">
        <f t="array" aca="1" ref="I90" ca="1">-_xll.YCP($E90,"quarterly_return",'Database Query'!$E$14)+H90</f>
        <v>#VALUE!</v>
      </c>
      <c r="J90" s="2" t="e" cm="1">
        <f t="array" aca="1" ref="J90" ca="1">_xlfn.IFS($B90="etf", _xll.YCP($A90,"ytd_total_return",'Database Query'!$E$14),$B90&lt;&gt;"etf",_xll.YCP("M:"&amp; $A90,"ytd_total_return",'Database Query'!$E$14))</f>
        <v>#VALUE!</v>
      </c>
      <c r="K90" s="2" t="e" cm="1">
        <f t="array" aca="1" ref="K90" ca="1">-_xll.YCP($E90,"ytd_return",'Database Query'!$E$14)+J90</f>
        <v>#VALUE!</v>
      </c>
      <c r="L90" s="2" t="e" cm="1">
        <f t="array" aca="1" ref="L90" ca="1">_xlfn.IFS($B90="etf", _xll.YCP($A90,"one_year_total_return",'Database Query'!$E$14),$B90&lt;&gt;"etf",_xll.YCP("M:"&amp; $A90,"one_year_total_return",'Database Query'!$E$14))</f>
        <v>#VALUE!</v>
      </c>
      <c r="M90" s="2" t="e" cm="1">
        <f t="array" aca="1" ref="M90" ca="1">-_xll.YCP($E90,"one_year_return",'Database Query'!$E$14)+L90</f>
        <v>#VALUE!</v>
      </c>
      <c r="N90" s="2" t="e" cm="1">
        <f t="array" aca="1" ref="N90" ca="1">_xlfn.IFS($B90="etf", _xll.YCP($A90,"three_year_total_return",'Database Query'!$E$14),$B90&lt;&gt;"etf",_xll.YCP("M:"&amp; $A90,"three_year_total_return",'Database Query'!$E$14))</f>
        <v>#VALUE!</v>
      </c>
      <c r="O90" s="2" t="e" cm="1">
        <f t="array" aca="1" ref="O90" ca="1">-_xll.YCP($E90,"three_year_return",'Database Query'!$E$14)+N90</f>
        <v>#VALUE!</v>
      </c>
      <c r="P90" s="2" t="e" cm="1">
        <f t="array" aca="1" ref="P90" ca="1">_xlfn.IFS($B90="etf", _xll.YCP($A90,"five_year_total_return",'Database Query'!$E$14),$B90&lt;&gt;"etf",_xll.YCP("M:"&amp; $A90,"five_year_total_return",'Database Query'!$E$14))</f>
        <v>#VALUE!</v>
      </c>
      <c r="Q90" s="2" t="e" cm="1">
        <f t="array" aca="1" ref="Q90" ca="1">-_xll.YCP($E90,"five_year_return",'Database Query'!$E$14)+P90</f>
        <v>#VALUE!</v>
      </c>
    </row>
    <row r="91" spans="1:17" x14ac:dyDescent="0.25">
      <c r="A91" t="str">
        <v>FMCSX</v>
      </c>
      <c r="B91" t="e" cm="1">
        <f t="array" aca="1" ref="B91" ca="1">_xll.YCI(A91,"detailed_security_type",TODAY())</f>
        <v>#VALUE!</v>
      </c>
      <c r="C91" t="e" cm="1">
        <f t="array" aca="1" ref="C91" ca="1">_xlfn.IFS(B91="etf", _xll.YCI(A91, "security_name",TODAY()),B91&lt;&gt;"etf",_xll.YCI("M:" &amp; A91, "security_name",TODAY()))</f>
        <v>#VALUE!</v>
      </c>
      <c r="D91" t="e" cm="1">
        <f t="array" aca="1" ref="D91" ca="1">_xlfn.IFS($B91="etf", _xll.YCI($A91, "ycharts_benchmark_category",TODAY()),$B91&lt;&gt;"etf",_xll.YCI("M:" &amp; $A91, "ycharts_benchmark_category",TODAY()))</f>
        <v>#VALUE!</v>
      </c>
      <c r="E91" t="e" cm="1">
        <f t="array" aca="1" ref="E91" ca="1">_xlfn.IFS($B91="etf", _xll.YCI($A91, "ycharts_benchmark_index_symbol",TODAY()),$B91&lt;&gt;"etf",_xll.YCI("M:" &amp; $A91, "ycharts_benchmark_index_symbol",TODAY()))</f>
        <v>#VALUE!</v>
      </c>
      <c r="F91" t="e" cm="1">
        <f t="array" aca="1" ref="F91" ca="1">_xlfn.IFS($B91="etf", _xll.YCI($E91, "security_name",TODAY()),$B91&lt;&gt;"etf",_xll.YCI( $E91, "security_name",TODAY()))</f>
        <v>#VALUE!</v>
      </c>
      <c r="G91" t="e" cm="1">
        <f t="array" aca="1" ref="G91" ca="1">_xlfn.IFS($B91="etf", _xll.YCI($A91, "prospectus_benchmark_index",TODAY()),$B91&lt;&gt;"etf",_xll.YCI("M:" &amp; $A91, "prospectus_benchmark_index",TODAY()))</f>
        <v>#VALUE!</v>
      </c>
      <c r="H91" s="2" t="e" cm="1">
        <f t="array" aca="1" ref="H91" ca="1">_xlfn.IFS($B91="etf", _xll.YCP($A91,"quarterly_total_return",'Database Query'!$E$14),$B91&lt;&gt;"etf",_xll.YCP("M:"&amp; $A91,"quarterly_total_return",'Database Query'!$E$14))</f>
        <v>#VALUE!</v>
      </c>
      <c r="I91" s="2" t="e" cm="1">
        <f t="array" aca="1" ref="I91" ca="1">-_xll.YCP($E91,"quarterly_return",'Database Query'!$E$14)+H91</f>
        <v>#VALUE!</v>
      </c>
      <c r="J91" s="2" t="e" cm="1">
        <f t="array" aca="1" ref="J91" ca="1">_xlfn.IFS($B91="etf", _xll.YCP($A91,"ytd_total_return",'Database Query'!$E$14),$B91&lt;&gt;"etf",_xll.YCP("M:"&amp; $A91,"ytd_total_return",'Database Query'!$E$14))</f>
        <v>#VALUE!</v>
      </c>
      <c r="K91" s="2" t="e" cm="1">
        <f t="array" aca="1" ref="K91" ca="1">-_xll.YCP($E91,"ytd_return",'Database Query'!$E$14)+J91</f>
        <v>#VALUE!</v>
      </c>
      <c r="L91" s="2" t="e" cm="1">
        <f t="array" aca="1" ref="L91" ca="1">_xlfn.IFS($B91="etf", _xll.YCP($A91,"one_year_total_return",'Database Query'!$E$14),$B91&lt;&gt;"etf",_xll.YCP("M:"&amp; $A91,"one_year_total_return",'Database Query'!$E$14))</f>
        <v>#VALUE!</v>
      </c>
      <c r="M91" s="2" t="e" cm="1">
        <f t="array" aca="1" ref="M91" ca="1">-_xll.YCP($E91,"one_year_return",'Database Query'!$E$14)+L91</f>
        <v>#VALUE!</v>
      </c>
      <c r="N91" s="2" t="e" cm="1">
        <f t="array" aca="1" ref="N91" ca="1">_xlfn.IFS($B91="etf", _xll.YCP($A91,"three_year_total_return",'Database Query'!$E$14),$B91&lt;&gt;"etf",_xll.YCP("M:"&amp; $A91,"three_year_total_return",'Database Query'!$E$14))</f>
        <v>#VALUE!</v>
      </c>
      <c r="O91" s="2" t="e" cm="1">
        <f t="array" aca="1" ref="O91" ca="1">-_xll.YCP($E91,"three_year_return",'Database Query'!$E$14)+N91</f>
        <v>#VALUE!</v>
      </c>
      <c r="P91" s="2" t="e" cm="1">
        <f t="array" aca="1" ref="P91" ca="1">_xlfn.IFS($B91="etf", _xll.YCP($A91,"five_year_total_return",'Database Query'!$E$14),$B91&lt;&gt;"etf",_xll.YCP("M:"&amp; $A91,"five_year_total_return",'Database Query'!$E$14))</f>
        <v>#VALUE!</v>
      </c>
      <c r="Q91" s="2" t="e" cm="1">
        <f t="array" aca="1" ref="Q91" ca="1">-_xll.YCP($E91,"five_year_return",'Database Query'!$E$14)+P91</f>
        <v>#VALUE!</v>
      </c>
    </row>
    <row r="92" spans="1:17" x14ac:dyDescent="0.25">
      <c r="A92" t="str">
        <v>FNDSX</v>
      </c>
      <c r="B92" t="e" cm="1">
        <f t="array" aca="1" ref="B92" ca="1">_xll.YCI(A92,"detailed_security_type",TODAY())</f>
        <v>#VALUE!</v>
      </c>
      <c r="C92" t="e" cm="1">
        <f t="array" aca="1" ref="C92" ca="1">_xlfn.IFS(B92="etf", _xll.YCI(A92, "security_name",TODAY()),B92&lt;&gt;"etf",_xll.YCI("M:" &amp; A92, "security_name",TODAY()))</f>
        <v>#VALUE!</v>
      </c>
      <c r="D92" t="e" cm="1">
        <f t="array" aca="1" ref="D92" ca="1">_xlfn.IFS($B92="etf", _xll.YCI($A92, "ycharts_benchmark_category",TODAY()),$B92&lt;&gt;"etf",_xll.YCI("M:" &amp; $A92, "ycharts_benchmark_category",TODAY()))</f>
        <v>#VALUE!</v>
      </c>
      <c r="E92" t="e" cm="1">
        <f t="array" aca="1" ref="E92" ca="1">_xlfn.IFS($B92="etf", _xll.YCI($A92, "ycharts_benchmark_index_symbol",TODAY()),$B92&lt;&gt;"etf",_xll.YCI("M:" &amp; $A92, "ycharts_benchmark_index_symbol",TODAY()))</f>
        <v>#VALUE!</v>
      </c>
      <c r="F92" t="e" cm="1">
        <f t="array" aca="1" ref="F92" ca="1">_xlfn.IFS($B92="etf", _xll.YCI($E92, "security_name",TODAY()),$B92&lt;&gt;"etf",_xll.YCI( $E92, "security_name",TODAY()))</f>
        <v>#VALUE!</v>
      </c>
      <c r="G92" t="e" cm="1">
        <f t="array" aca="1" ref="G92" ca="1">_xlfn.IFS($B92="etf", _xll.YCI($A92, "prospectus_benchmark_index",TODAY()),$B92&lt;&gt;"etf",_xll.YCI("M:" &amp; $A92, "prospectus_benchmark_index",TODAY()))</f>
        <v>#VALUE!</v>
      </c>
      <c r="H92" s="2" t="e" cm="1">
        <f t="array" aca="1" ref="H92" ca="1">_xlfn.IFS($B92="etf", _xll.YCP($A92,"quarterly_total_return",'Database Query'!$E$14),$B92&lt;&gt;"etf",_xll.YCP("M:"&amp; $A92,"quarterly_total_return",'Database Query'!$E$14))</f>
        <v>#VALUE!</v>
      </c>
      <c r="I92" s="2" t="e" cm="1">
        <f t="array" aca="1" ref="I92" ca="1">-_xll.YCP($E92,"quarterly_return",'Database Query'!$E$14)+H92</f>
        <v>#VALUE!</v>
      </c>
      <c r="J92" s="2" t="e" cm="1">
        <f t="array" aca="1" ref="J92" ca="1">_xlfn.IFS($B92="etf", _xll.YCP($A92,"ytd_total_return",'Database Query'!$E$14),$B92&lt;&gt;"etf",_xll.YCP("M:"&amp; $A92,"ytd_total_return",'Database Query'!$E$14))</f>
        <v>#VALUE!</v>
      </c>
      <c r="K92" s="2" t="e" cm="1">
        <f t="array" aca="1" ref="K92" ca="1">-_xll.YCP($E92,"ytd_return",'Database Query'!$E$14)+J92</f>
        <v>#VALUE!</v>
      </c>
      <c r="L92" s="2" t="e" cm="1">
        <f t="array" aca="1" ref="L92" ca="1">_xlfn.IFS($B92="etf", _xll.YCP($A92,"one_year_total_return",'Database Query'!$E$14),$B92&lt;&gt;"etf",_xll.YCP("M:"&amp; $A92,"one_year_total_return",'Database Query'!$E$14))</f>
        <v>#VALUE!</v>
      </c>
      <c r="M92" s="2" t="e" cm="1">
        <f t="array" aca="1" ref="M92" ca="1">-_xll.YCP($E92,"one_year_return",'Database Query'!$E$14)+L92</f>
        <v>#VALUE!</v>
      </c>
      <c r="N92" s="2" t="e" cm="1">
        <f t="array" aca="1" ref="N92" ca="1">_xlfn.IFS($B92="etf", _xll.YCP($A92,"three_year_total_return",'Database Query'!$E$14),$B92&lt;&gt;"etf",_xll.YCP("M:"&amp; $A92,"three_year_total_return",'Database Query'!$E$14))</f>
        <v>#VALUE!</v>
      </c>
      <c r="O92" s="2" t="e" cm="1">
        <f t="array" aca="1" ref="O92" ca="1">-_xll.YCP($E92,"three_year_return",'Database Query'!$E$14)+N92</f>
        <v>#VALUE!</v>
      </c>
      <c r="P92" s="2" t="e" cm="1">
        <f t="array" aca="1" ref="P92" ca="1">_xlfn.IFS($B92="etf", _xll.YCP($A92,"five_year_total_return",'Database Query'!$E$14),$B92&lt;&gt;"etf",_xll.YCP("M:"&amp; $A92,"five_year_total_return",'Database Query'!$E$14))</f>
        <v>#VALUE!</v>
      </c>
      <c r="Q92" s="2" t="e" cm="1">
        <f t="array" aca="1" ref="Q92" ca="1">-_xll.YCP($E92,"five_year_return",'Database Query'!$E$14)+P92</f>
        <v>#VALUE!</v>
      </c>
    </row>
    <row r="93" spans="1:17" x14ac:dyDescent="0.25">
      <c r="A93" t="str">
        <v>FNWFX</v>
      </c>
      <c r="B93" t="e" cm="1">
        <f t="array" aca="1" ref="B93" ca="1">_xll.YCI(A93,"detailed_security_type",TODAY())</f>
        <v>#VALUE!</v>
      </c>
      <c r="C93" t="e" cm="1">
        <f t="array" aca="1" ref="C93" ca="1">_xlfn.IFS(B93="etf", _xll.YCI(A93, "security_name",TODAY()),B93&lt;&gt;"etf",_xll.YCI("M:" &amp; A93, "security_name",TODAY()))</f>
        <v>#VALUE!</v>
      </c>
      <c r="D93" t="e" cm="1">
        <f t="array" aca="1" ref="D93" ca="1">_xlfn.IFS($B93="etf", _xll.YCI($A93, "ycharts_benchmark_category",TODAY()),$B93&lt;&gt;"etf",_xll.YCI("M:" &amp; $A93, "ycharts_benchmark_category",TODAY()))</f>
        <v>#VALUE!</v>
      </c>
      <c r="E93" t="e" cm="1">
        <f t="array" aca="1" ref="E93" ca="1">_xlfn.IFS($B93="etf", _xll.YCI($A93, "ycharts_benchmark_index_symbol",TODAY()),$B93&lt;&gt;"etf",_xll.YCI("M:" &amp; $A93, "ycharts_benchmark_index_symbol",TODAY()))</f>
        <v>#VALUE!</v>
      </c>
      <c r="F93" t="e" cm="1">
        <f t="array" aca="1" ref="F93" ca="1">_xlfn.IFS($B93="etf", _xll.YCI($E93, "security_name",TODAY()),$B93&lt;&gt;"etf",_xll.YCI( $E93, "security_name",TODAY()))</f>
        <v>#VALUE!</v>
      </c>
      <c r="G93" t="e" cm="1">
        <f t="array" aca="1" ref="G93" ca="1">_xlfn.IFS($B93="etf", _xll.YCI($A93, "prospectus_benchmark_index",TODAY()),$B93&lt;&gt;"etf",_xll.YCI("M:" &amp; $A93, "prospectus_benchmark_index",TODAY()))</f>
        <v>#VALUE!</v>
      </c>
      <c r="H93" s="2" t="e" cm="1">
        <f t="array" aca="1" ref="H93" ca="1">_xlfn.IFS($B93="etf", _xll.YCP($A93,"quarterly_total_return",'Database Query'!$E$14),$B93&lt;&gt;"etf",_xll.YCP("M:"&amp; $A93,"quarterly_total_return",'Database Query'!$E$14))</f>
        <v>#VALUE!</v>
      </c>
      <c r="I93" s="2" t="e" cm="1">
        <f t="array" aca="1" ref="I93" ca="1">-_xll.YCP($E93,"quarterly_return",'Database Query'!$E$14)+H93</f>
        <v>#VALUE!</v>
      </c>
      <c r="J93" s="2" t="e" cm="1">
        <f t="array" aca="1" ref="J93" ca="1">_xlfn.IFS($B93="etf", _xll.YCP($A93,"ytd_total_return",'Database Query'!$E$14),$B93&lt;&gt;"etf",_xll.YCP("M:"&amp; $A93,"ytd_total_return",'Database Query'!$E$14))</f>
        <v>#VALUE!</v>
      </c>
      <c r="K93" s="2" t="e" cm="1">
        <f t="array" aca="1" ref="K93" ca="1">-_xll.YCP($E93,"ytd_return",'Database Query'!$E$14)+J93</f>
        <v>#VALUE!</v>
      </c>
      <c r="L93" s="2" t="e" cm="1">
        <f t="array" aca="1" ref="L93" ca="1">_xlfn.IFS($B93="etf", _xll.YCP($A93,"one_year_total_return",'Database Query'!$E$14),$B93&lt;&gt;"etf",_xll.YCP("M:"&amp; $A93,"one_year_total_return",'Database Query'!$E$14))</f>
        <v>#VALUE!</v>
      </c>
      <c r="M93" s="2" t="e" cm="1">
        <f t="array" aca="1" ref="M93" ca="1">-_xll.YCP($E93,"one_year_return",'Database Query'!$E$14)+L93</f>
        <v>#VALUE!</v>
      </c>
      <c r="N93" s="2" t="e" cm="1">
        <f t="array" aca="1" ref="N93" ca="1">_xlfn.IFS($B93="etf", _xll.YCP($A93,"three_year_total_return",'Database Query'!$E$14),$B93&lt;&gt;"etf",_xll.YCP("M:"&amp; $A93,"three_year_total_return",'Database Query'!$E$14))</f>
        <v>#VALUE!</v>
      </c>
      <c r="O93" s="2" t="e" cm="1">
        <f t="array" aca="1" ref="O93" ca="1">-_xll.YCP($E93,"three_year_return",'Database Query'!$E$14)+N93</f>
        <v>#VALUE!</v>
      </c>
      <c r="P93" s="2" t="e" cm="1">
        <f t="array" aca="1" ref="P93" ca="1">_xlfn.IFS($B93="etf", _xll.YCP($A93,"five_year_total_return",'Database Query'!$E$14),$B93&lt;&gt;"etf",_xll.YCP("M:"&amp; $A93,"five_year_total_return",'Database Query'!$E$14))</f>
        <v>#VALUE!</v>
      </c>
      <c r="Q93" s="2" t="e" cm="1">
        <f t="array" aca="1" ref="Q93" ca="1">-_xll.YCP($E93,"five_year_return",'Database Query'!$E$14)+P93</f>
        <v>#VALUE!</v>
      </c>
    </row>
    <row r="94" spans="1:17" x14ac:dyDescent="0.25">
      <c r="A94" t="str">
        <v>FPACX</v>
      </c>
      <c r="B94" t="e" cm="1">
        <f t="array" aca="1" ref="B94" ca="1">_xll.YCI(A94,"detailed_security_type",TODAY())</f>
        <v>#VALUE!</v>
      </c>
      <c r="C94" t="e" cm="1">
        <f t="array" aca="1" ref="C94" ca="1">_xlfn.IFS(B94="etf", _xll.YCI(A94, "security_name",TODAY()),B94&lt;&gt;"etf",_xll.YCI("M:" &amp; A94, "security_name",TODAY()))</f>
        <v>#VALUE!</v>
      </c>
      <c r="D94" t="e" cm="1">
        <f t="array" aca="1" ref="D94" ca="1">_xlfn.IFS($B94="etf", _xll.YCI($A94, "ycharts_benchmark_category",TODAY()),$B94&lt;&gt;"etf",_xll.YCI("M:" &amp; $A94, "ycharts_benchmark_category",TODAY()))</f>
        <v>#VALUE!</v>
      </c>
      <c r="E94" t="e" cm="1">
        <f t="array" aca="1" ref="E94" ca="1">_xlfn.IFS($B94="etf", _xll.YCI($A94, "ycharts_benchmark_index_symbol",TODAY()),$B94&lt;&gt;"etf",_xll.YCI("M:" &amp; $A94, "ycharts_benchmark_index_symbol",TODAY()))</f>
        <v>#VALUE!</v>
      </c>
      <c r="F94" t="e" cm="1">
        <f t="array" aca="1" ref="F94" ca="1">_xlfn.IFS($B94="etf", _xll.YCI($E94, "security_name",TODAY()),$B94&lt;&gt;"etf",_xll.YCI( $E94, "security_name",TODAY()))</f>
        <v>#VALUE!</v>
      </c>
      <c r="G94" t="e" cm="1">
        <f t="array" aca="1" ref="G94" ca="1">_xlfn.IFS($B94="etf", _xll.YCI($A94, "prospectus_benchmark_index",TODAY()),$B94&lt;&gt;"etf",_xll.YCI("M:" &amp; $A94, "prospectus_benchmark_index",TODAY()))</f>
        <v>#VALUE!</v>
      </c>
      <c r="H94" s="2" t="e" cm="1">
        <f t="array" aca="1" ref="H94" ca="1">_xlfn.IFS($B94="etf", _xll.YCP($A94,"quarterly_total_return",'Database Query'!$E$14),$B94&lt;&gt;"etf",_xll.YCP("M:"&amp; $A94,"quarterly_total_return",'Database Query'!$E$14))</f>
        <v>#VALUE!</v>
      </c>
      <c r="I94" s="2" t="e" cm="1">
        <f t="array" aca="1" ref="I94" ca="1">-_xll.YCP($E94,"quarterly_return",'Database Query'!$E$14)+H94</f>
        <v>#VALUE!</v>
      </c>
      <c r="J94" s="2" t="e" cm="1">
        <f t="array" aca="1" ref="J94" ca="1">_xlfn.IFS($B94="etf", _xll.YCP($A94,"ytd_total_return",'Database Query'!$E$14),$B94&lt;&gt;"etf",_xll.YCP("M:"&amp; $A94,"ytd_total_return",'Database Query'!$E$14))</f>
        <v>#VALUE!</v>
      </c>
      <c r="K94" s="2" t="e" cm="1">
        <f t="array" aca="1" ref="K94" ca="1">-_xll.YCP($E94,"ytd_return",'Database Query'!$E$14)+J94</f>
        <v>#VALUE!</v>
      </c>
      <c r="L94" s="2" t="e" cm="1">
        <f t="array" aca="1" ref="L94" ca="1">_xlfn.IFS($B94="etf", _xll.YCP($A94,"one_year_total_return",'Database Query'!$E$14),$B94&lt;&gt;"etf",_xll.YCP("M:"&amp; $A94,"one_year_total_return",'Database Query'!$E$14))</f>
        <v>#VALUE!</v>
      </c>
      <c r="M94" s="2" t="e" cm="1">
        <f t="array" aca="1" ref="M94" ca="1">-_xll.YCP($E94,"one_year_return",'Database Query'!$E$14)+L94</f>
        <v>#VALUE!</v>
      </c>
      <c r="N94" s="2" t="e" cm="1">
        <f t="array" aca="1" ref="N94" ca="1">_xlfn.IFS($B94="etf", _xll.YCP($A94,"three_year_total_return",'Database Query'!$E$14),$B94&lt;&gt;"etf",_xll.YCP("M:"&amp; $A94,"three_year_total_return",'Database Query'!$E$14))</f>
        <v>#VALUE!</v>
      </c>
      <c r="O94" s="2" t="e" cm="1">
        <f t="array" aca="1" ref="O94" ca="1">-_xll.YCP($E94,"three_year_return",'Database Query'!$E$14)+N94</f>
        <v>#VALUE!</v>
      </c>
      <c r="P94" s="2" t="e" cm="1">
        <f t="array" aca="1" ref="P94" ca="1">_xlfn.IFS($B94="etf", _xll.YCP($A94,"five_year_total_return",'Database Query'!$E$14),$B94&lt;&gt;"etf",_xll.YCP("M:"&amp; $A94,"five_year_total_return",'Database Query'!$E$14))</f>
        <v>#VALUE!</v>
      </c>
      <c r="Q94" s="2" t="e" cm="1">
        <f t="array" aca="1" ref="Q94" ca="1">-_xll.YCP($E94,"five_year_return",'Database Query'!$E$14)+P94</f>
        <v>#VALUE!</v>
      </c>
    </row>
    <row r="95" spans="1:17" x14ac:dyDescent="0.25">
      <c r="A95" t="str">
        <v>FPADX</v>
      </c>
      <c r="B95" t="e" cm="1">
        <f t="array" aca="1" ref="B95" ca="1">_xll.YCI(A95,"detailed_security_type",TODAY())</f>
        <v>#VALUE!</v>
      </c>
      <c r="C95" t="e" cm="1">
        <f t="array" aca="1" ref="C95" ca="1">_xlfn.IFS(B95="etf", _xll.YCI(A95, "security_name",TODAY()),B95&lt;&gt;"etf",_xll.YCI("M:" &amp; A95, "security_name",TODAY()))</f>
        <v>#VALUE!</v>
      </c>
      <c r="D95" t="e" cm="1">
        <f t="array" aca="1" ref="D95" ca="1">_xlfn.IFS($B95="etf", _xll.YCI($A95, "ycharts_benchmark_category",TODAY()),$B95&lt;&gt;"etf",_xll.YCI("M:" &amp; $A95, "ycharts_benchmark_category",TODAY()))</f>
        <v>#VALUE!</v>
      </c>
      <c r="E95" t="e" cm="1">
        <f t="array" aca="1" ref="E95" ca="1">_xlfn.IFS($B95="etf", _xll.YCI($A95, "ycharts_benchmark_index_symbol",TODAY()),$B95&lt;&gt;"etf",_xll.YCI("M:" &amp; $A95, "ycharts_benchmark_index_symbol",TODAY()))</f>
        <v>#VALUE!</v>
      </c>
      <c r="F95" t="e" cm="1">
        <f t="array" aca="1" ref="F95" ca="1">_xlfn.IFS($B95="etf", _xll.YCI($E95, "security_name",TODAY()),$B95&lt;&gt;"etf",_xll.YCI( $E95, "security_name",TODAY()))</f>
        <v>#VALUE!</v>
      </c>
      <c r="G95" t="e" cm="1">
        <f t="array" aca="1" ref="G95" ca="1">_xlfn.IFS($B95="etf", _xll.YCI($A95, "prospectus_benchmark_index",TODAY()),$B95&lt;&gt;"etf",_xll.YCI("M:" &amp; $A95, "prospectus_benchmark_index",TODAY()))</f>
        <v>#VALUE!</v>
      </c>
      <c r="H95" s="2" t="e" cm="1">
        <f t="array" aca="1" ref="H95" ca="1">_xlfn.IFS($B95="etf", _xll.YCP($A95,"quarterly_total_return",'Database Query'!$E$14),$B95&lt;&gt;"etf",_xll.YCP("M:"&amp; $A95,"quarterly_total_return",'Database Query'!$E$14))</f>
        <v>#VALUE!</v>
      </c>
      <c r="I95" s="2" t="e" cm="1">
        <f t="array" aca="1" ref="I95" ca="1">-_xll.YCP($E95,"quarterly_return",'Database Query'!$E$14)+H95</f>
        <v>#VALUE!</v>
      </c>
      <c r="J95" s="2" t="e" cm="1">
        <f t="array" aca="1" ref="J95" ca="1">_xlfn.IFS($B95="etf", _xll.YCP($A95,"ytd_total_return",'Database Query'!$E$14),$B95&lt;&gt;"etf",_xll.YCP("M:"&amp; $A95,"ytd_total_return",'Database Query'!$E$14))</f>
        <v>#VALUE!</v>
      </c>
      <c r="K95" s="2" t="e" cm="1">
        <f t="array" aca="1" ref="K95" ca="1">-_xll.YCP($E95,"ytd_return",'Database Query'!$E$14)+J95</f>
        <v>#VALUE!</v>
      </c>
      <c r="L95" s="2" t="e" cm="1">
        <f t="array" aca="1" ref="L95" ca="1">_xlfn.IFS($B95="etf", _xll.YCP($A95,"one_year_total_return",'Database Query'!$E$14),$B95&lt;&gt;"etf",_xll.YCP("M:"&amp; $A95,"one_year_total_return",'Database Query'!$E$14))</f>
        <v>#VALUE!</v>
      </c>
      <c r="M95" s="2" t="e" cm="1">
        <f t="array" aca="1" ref="M95" ca="1">-_xll.YCP($E95,"one_year_return",'Database Query'!$E$14)+L95</f>
        <v>#VALUE!</v>
      </c>
      <c r="N95" s="2" t="e" cm="1">
        <f t="array" aca="1" ref="N95" ca="1">_xlfn.IFS($B95="etf", _xll.YCP($A95,"three_year_total_return",'Database Query'!$E$14),$B95&lt;&gt;"etf",_xll.YCP("M:"&amp; $A95,"three_year_total_return",'Database Query'!$E$14))</f>
        <v>#VALUE!</v>
      </c>
      <c r="O95" s="2" t="e" cm="1">
        <f t="array" aca="1" ref="O95" ca="1">-_xll.YCP($E95,"three_year_return",'Database Query'!$E$14)+N95</f>
        <v>#VALUE!</v>
      </c>
      <c r="P95" s="2" t="e" cm="1">
        <f t="array" aca="1" ref="P95" ca="1">_xlfn.IFS($B95="etf", _xll.YCP($A95,"five_year_total_return",'Database Query'!$E$14),$B95&lt;&gt;"etf",_xll.YCP("M:"&amp; $A95,"five_year_total_return",'Database Query'!$E$14))</f>
        <v>#VALUE!</v>
      </c>
      <c r="Q95" s="2" t="e" cm="1">
        <f t="array" aca="1" ref="Q95" ca="1">-_xll.YCP($E95,"five_year_return",'Database Query'!$E$14)+P95</f>
        <v>#VALUE!</v>
      </c>
    </row>
    <row r="96" spans="1:17" x14ac:dyDescent="0.25">
      <c r="A96" t="str">
        <v>FSMAX</v>
      </c>
      <c r="B96" t="e" cm="1">
        <f t="array" aca="1" ref="B96" ca="1">_xll.YCI(A96,"detailed_security_type",TODAY())</f>
        <v>#VALUE!</v>
      </c>
      <c r="C96" t="e" cm="1">
        <f t="array" aca="1" ref="C96" ca="1">_xlfn.IFS(B96="etf", _xll.YCI(A96, "security_name",TODAY()),B96&lt;&gt;"etf",_xll.YCI("M:" &amp; A96, "security_name",TODAY()))</f>
        <v>#VALUE!</v>
      </c>
      <c r="D96" t="e" cm="1">
        <f t="array" aca="1" ref="D96" ca="1">_xlfn.IFS($B96="etf", _xll.YCI($A96, "ycharts_benchmark_category",TODAY()),$B96&lt;&gt;"etf",_xll.YCI("M:" &amp; $A96, "ycharts_benchmark_category",TODAY()))</f>
        <v>#VALUE!</v>
      </c>
      <c r="E96" t="e" cm="1">
        <f t="array" aca="1" ref="E96" ca="1">_xlfn.IFS($B96="etf", _xll.YCI($A96, "ycharts_benchmark_index_symbol",TODAY()),$B96&lt;&gt;"etf",_xll.YCI("M:" &amp; $A96, "ycharts_benchmark_index_symbol",TODAY()))</f>
        <v>#VALUE!</v>
      </c>
      <c r="F96" t="e" cm="1">
        <f t="array" aca="1" ref="F96" ca="1">_xlfn.IFS($B96="etf", _xll.YCI($E96, "security_name",TODAY()),$B96&lt;&gt;"etf",_xll.YCI( $E96, "security_name",TODAY()))</f>
        <v>#VALUE!</v>
      </c>
      <c r="G96" t="e" cm="1">
        <f t="array" aca="1" ref="G96" ca="1">_xlfn.IFS($B96="etf", _xll.YCI($A96, "prospectus_benchmark_index",TODAY()),$B96&lt;&gt;"etf",_xll.YCI("M:" &amp; $A96, "prospectus_benchmark_index",TODAY()))</f>
        <v>#VALUE!</v>
      </c>
      <c r="H96" s="2" t="e" cm="1">
        <f t="array" aca="1" ref="H96" ca="1">_xlfn.IFS($B96="etf", _xll.YCP($A96,"quarterly_total_return",'Database Query'!$E$14),$B96&lt;&gt;"etf",_xll.YCP("M:"&amp; $A96,"quarterly_total_return",'Database Query'!$E$14))</f>
        <v>#VALUE!</v>
      </c>
      <c r="I96" s="2" t="e" cm="1">
        <f t="array" aca="1" ref="I96" ca="1">-_xll.YCP($E96,"quarterly_return",'Database Query'!$E$14)+H96</f>
        <v>#VALUE!</v>
      </c>
      <c r="J96" s="2" t="e" cm="1">
        <f t="array" aca="1" ref="J96" ca="1">_xlfn.IFS($B96="etf", _xll.YCP($A96,"ytd_total_return",'Database Query'!$E$14),$B96&lt;&gt;"etf",_xll.YCP("M:"&amp; $A96,"ytd_total_return",'Database Query'!$E$14))</f>
        <v>#VALUE!</v>
      </c>
      <c r="K96" s="2" t="e" cm="1">
        <f t="array" aca="1" ref="K96" ca="1">-_xll.YCP($E96,"ytd_return",'Database Query'!$E$14)+J96</f>
        <v>#VALUE!</v>
      </c>
      <c r="L96" s="2" t="e" cm="1">
        <f t="array" aca="1" ref="L96" ca="1">_xlfn.IFS($B96="etf", _xll.YCP($A96,"one_year_total_return",'Database Query'!$E$14),$B96&lt;&gt;"etf",_xll.YCP("M:"&amp; $A96,"one_year_total_return",'Database Query'!$E$14))</f>
        <v>#VALUE!</v>
      </c>
      <c r="M96" s="2" t="e" cm="1">
        <f t="array" aca="1" ref="M96" ca="1">-_xll.YCP($E96,"one_year_return",'Database Query'!$E$14)+L96</f>
        <v>#VALUE!</v>
      </c>
      <c r="N96" s="2" t="e" cm="1">
        <f t="array" aca="1" ref="N96" ca="1">_xlfn.IFS($B96="etf", _xll.YCP($A96,"three_year_total_return",'Database Query'!$E$14),$B96&lt;&gt;"etf",_xll.YCP("M:"&amp; $A96,"three_year_total_return",'Database Query'!$E$14))</f>
        <v>#VALUE!</v>
      </c>
      <c r="O96" s="2" t="e" cm="1">
        <f t="array" aca="1" ref="O96" ca="1">-_xll.YCP($E96,"three_year_return",'Database Query'!$E$14)+N96</f>
        <v>#VALUE!</v>
      </c>
      <c r="P96" s="2" t="e" cm="1">
        <f t="array" aca="1" ref="P96" ca="1">_xlfn.IFS($B96="etf", _xll.YCP($A96,"five_year_total_return",'Database Query'!$E$14),$B96&lt;&gt;"etf",_xll.YCP("M:"&amp; $A96,"five_year_total_return",'Database Query'!$E$14))</f>
        <v>#VALUE!</v>
      </c>
      <c r="Q96" s="2" t="e" cm="1">
        <f t="array" aca="1" ref="Q96" ca="1">-_xll.YCP($E96,"five_year_return",'Database Query'!$E$14)+P96</f>
        <v>#VALUE!</v>
      </c>
    </row>
    <row r="97" spans="1:17" x14ac:dyDescent="0.25">
      <c r="A97" t="str">
        <v>FSPGX</v>
      </c>
      <c r="B97" t="e" cm="1">
        <f t="array" aca="1" ref="B97" ca="1">_xll.YCI(A97,"detailed_security_type",TODAY())</f>
        <v>#VALUE!</v>
      </c>
      <c r="C97" t="e" cm="1">
        <f t="array" aca="1" ref="C97" ca="1">_xlfn.IFS(B97="etf", _xll.YCI(A97, "security_name",TODAY()),B97&lt;&gt;"etf",_xll.YCI("M:" &amp; A97, "security_name",TODAY()))</f>
        <v>#VALUE!</v>
      </c>
      <c r="D97" t="e" cm="1">
        <f t="array" aca="1" ref="D97" ca="1">_xlfn.IFS($B97="etf", _xll.YCI($A97, "ycharts_benchmark_category",TODAY()),$B97&lt;&gt;"etf",_xll.YCI("M:" &amp; $A97, "ycharts_benchmark_category",TODAY()))</f>
        <v>#VALUE!</v>
      </c>
      <c r="E97" t="e" cm="1">
        <f t="array" aca="1" ref="E97" ca="1">_xlfn.IFS($B97="etf", _xll.YCI($A97, "ycharts_benchmark_index_symbol",TODAY()),$B97&lt;&gt;"etf",_xll.YCI("M:" &amp; $A97, "ycharts_benchmark_index_symbol",TODAY()))</f>
        <v>#VALUE!</v>
      </c>
      <c r="F97" t="e" cm="1">
        <f t="array" aca="1" ref="F97" ca="1">_xlfn.IFS($B97="etf", _xll.YCI($E97, "security_name",TODAY()),$B97&lt;&gt;"etf",_xll.YCI( $E97, "security_name",TODAY()))</f>
        <v>#VALUE!</v>
      </c>
      <c r="G97" t="e" cm="1">
        <f t="array" aca="1" ref="G97" ca="1">_xlfn.IFS($B97="etf", _xll.YCI($A97, "prospectus_benchmark_index",TODAY()),$B97&lt;&gt;"etf",_xll.YCI("M:" &amp; $A97, "prospectus_benchmark_index",TODAY()))</f>
        <v>#VALUE!</v>
      </c>
      <c r="H97" s="2" t="e" cm="1">
        <f t="array" aca="1" ref="H97" ca="1">_xlfn.IFS($B97="etf", _xll.YCP($A97,"quarterly_total_return",'Database Query'!$E$14),$B97&lt;&gt;"etf",_xll.YCP("M:"&amp; $A97,"quarterly_total_return",'Database Query'!$E$14))</f>
        <v>#VALUE!</v>
      </c>
      <c r="I97" s="2" t="e" cm="1">
        <f t="array" aca="1" ref="I97" ca="1">-_xll.YCP($E97,"quarterly_return",'Database Query'!$E$14)+H97</f>
        <v>#VALUE!</v>
      </c>
      <c r="J97" s="2" t="e" cm="1">
        <f t="array" aca="1" ref="J97" ca="1">_xlfn.IFS($B97="etf", _xll.YCP($A97,"ytd_total_return",'Database Query'!$E$14),$B97&lt;&gt;"etf",_xll.YCP("M:"&amp; $A97,"ytd_total_return",'Database Query'!$E$14))</f>
        <v>#VALUE!</v>
      </c>
      <c r="K97" s="2" t="e" cm="1">
        <f t="array" aca="1" ref="K97" ca="1">-_xll.YCP($E97,"ytd_return",'Database Query'!$E$14)+J97</f>
        <v>#VALUE!</v>
      </c>
      <c r="L97" s="2" t="e" cm="1">
        <f t="array" aca="1" ref="L97" ca="1">_xlfn.IFS($B97="etf", _xll.YCP($A97,"one_year_total_return",'Database Query'!$E$14),$B97&lt;&gt;"etf",_xll.YCP("M:"&amp; $A97,"one_year_total_return",'Database Query'!$E$14))</f>
        <v>#VALUE!</v>
      </c>
      <c r="M97" s="2" t="e" cm="1">
        <f t="array" aca="1" ref="M97" ca="1">-_xll.YCP($E97,"one_year_return",'Database Query'!$E$14)+L97</f>
        <v>#VALUE!</v>
      </c>
      <c r="N97" s="2" t="e" cm="1">
        <f t="array" aca="1" ref="N97" ca="1">_xlfn.IFS($B97="etf", _xll.YCP($A97,"three_year_total_return",'Database Query'!$E$14),$B97&lt;&gt;"etf",_xll.YCP("M:"&amp; $A97,"three_year_total_return",'Database Query'!$E$14))</f>
        <v>#VALUE!</v>
      </c>
      <c r="O97" s="2" t="e" cm="1">
        <f t="array" aca="1" ref="O97" ca="1">-_xll.YCP($E97,"three_year_return",'Database Query'!$E$14)+N97</f>
        <v>#VALUE!</v>
      </c>
      <c r="P97" s="2" t="e" cm="1">
        <f t="array" aca="1" ref="P97" ca="1">_xlfn.IFS($B97="etf", _xll.YCP($A97,"five_year_total_return",'Database Query'!$E$14),$B97&lt;&gt;"etf",_xll.YCP("M:"&amp; $A97,"five_year_total_return",'Database Query'!$E$14))</f>
        <v>#VALUE!</v>
      </c>
      <c r="Q97" s="2" t="e" cm="1">
        <f t="array" aca="1" ref="Q97" ca="1">-_xll.YCP($E97,"five_year_return",'Database Query'!$E$14)+P97</f>
        <v>#VALUE!</v>
      </c>
    </row>
    <row r="98" spans="1:17" x14ac:dyDescent="0.25">
      <c r="A98" t="str">
        <v>FSPSX</v>
      </c>
      <c r="B98" t="e" cm="1">
        <f t="array" aca="1" ref="B98" ca="1">_xll.YCI(A98,"detailed_security_type",TODAY())</f>
        <v>#VALUE!</v>
      </c>
      <c r="C98" t="e" cm="1">
        <f t="array" aca="1" ref="C98" ca="1">_xlfn.IFS(B98="etf", _xll.YCI(A98, "security_name",TODAY()),B98&lt;&gt;"etf",_xll.YCI("M:" &amp; A98, "security_name",TODAY()))</f>
        <v>#VALUE!</v>
      </c>
      <c r="D98" t="e" cm="1">
        <f t="array" aca="1" ref="D98" ca="1">_xlfn.IFS($B98="etf", _xll.YCI($A98, "ycharts_benchmark_category",TODAY()),$B98&lt;&gt;"etf",_xll.YCI("M:" &amp; $A98, "ycharts_benchmark_category",TODAY()))</f>
        <v>#VALUE!</v>
      </c>
      <c r="E98" t="e" cm="1">
        <f t="array" aca="1" ref="E98" ca="1">_xlfn.IFS($B98="etf", _xll.YCI($A98, "ycharts_benchmark_index_symbol",TODAY()),$B98&lt;&gt;"etf",_xll.YCI("M:" &amp; $A98, "ycharts_benchmark_index_symbol",TODAY()))</f>
        <v>#VALUE!</v>
      </c>
      <c r="F98" t="e" cm="1">
        <f t="array" aca="1" ref="F98" ca="1">_xlfn.IFS($B98="etf", _xll.YCI($E98, "security_name",TODAY()),$B98&lt;&gt;"etf",_xll.YCI( $E98, "security_name",TODAY()))</f>
        <v>#VALUE!</v>
      </c>
      <c r="G98" t="e" cm="1">
        <f t="array" aca="1" ref="G98" ca="1">_xlfn.IFS($B98="etf", _xll.YCI($A98, "prospectus_benchmark_index",TODAY()),$B98&lt;&gt;"etf",_xll.YCI("M:" &amp; $A98, "prospectus_benchmark_index",TODAY()))</f>
        <v>#VALUE!</v>
      </c>
      <c r="H98" s="2" t="e" cm="1">
        <f t="array" aca="1" ref="H98" ca="1">_xlfn.IFS($B98="etf", _xll.YCP($A98,"quarterly_total_return",'Database Query'!$E$14),$B98&lt;&gt;"etf",_xll.YCP("M:"&amp; $A98,"quarterly_total_return",'Database Query'!$E$14))</f>
        <v>#VALUE!</v>
      </c>
      <c r="I98" s="2" t="e" cm="1">
        <f t="array" aca="1" ref="I98" ca="1">-_xll.YCP($E98,"quarterly_return",'Database Query'!$E$14)+H98</f>
        <v>#VALUE!</v>
      </c>
      <c r="J98" s="2" t="e" cm="1">
        <f t="array" aca="1" ref="J98" ca="1">_xlfn.IFS($B98="etf", _xll.YCP($A98,"ytd_total_return",'Database Query'!$E$14),$B98&lt;&gt;"etf",_xll.YCP("M:"&amp; $A98,"ytd_total_return",'Database Query'!$E$14))</f>
        <v>#VALUE!</v>
      </c>
      <c r="K98" s="2" t="e" cm="1">
        <f t="array" aca="1" ref="K98" ca="1">-_xll.YCP($E98,"ytd_return",'Database Query'!$E$14)+J98</f>
        <v>#VALUE!</v>
      </c>
      <c r="L98" s="2" t="e" cm="1">
        <f t="array" aca="1" ref="L98" ca="1">_xlfn.IFS($B98="etf", _xll.YCP($A98,"one_year_total_return",'Database Query'!$E$14),$B98&lt;&gt;"etf",_xll.YCP("M:"&amp; $A98,"one_year_total_return",'Database Query'!$E$14))</f>
        <v>#VALUE!</v>
      </c>
      <c r="M98" s="2" t="e" cm="1">
        <f t="array" aca="1" ref="M98" ca="1">-_xll.YCP($E98,"one_year_return",'Database Query'!$E$14)+L98</f>
        <v>#VALUE!</v>
      </c>
      <c r="N98" s="2" t="e" cm="1">
        <f t="array" aca="1" ref="N98" ca="1">_xlfn.IFS($B98="etf", _xll.YCP($A98,"three_year_total_return",'Database Query'!$E$14),$B98&lt;&gt;"etf",_xll.YCP("M:"&amp; $A98,"three_year_total_return",'Database Query'!$E$14))</f>
        <v>#VALUE!</v>
      </c>
      <c r="O98" s="2" t="e" cm="1">
        <f t="array" aca="1" ref="O98" ca="1">-_xll.YCP($E98,"three_year_return",'Database Query'!$E$14)+N98</f>
        <v>#VALUE!</v>
      </c>
      <c r="P98" s="2" t="e" cm="1">
        <f t="array" aca="1" ref="P98" ca="1">_xlfn.IFS($B98="etf", _xll.YCP($A98,"five_year_total_return",'Database Query'!$E$14),$B98&lt;&gt;"etf",_xll.YCP("M:"&amp; $A98,"five_year_total_return",'Database Query'!$E$14))</f>
        <v>#VALUE!</v>
      </c>
      <c r="Q98" s="2" t="e" cm="1">
        <f t="array" aca="1" ref="Q98" ca="1">-_xll.YCP($E98,"five_year_return",'Database Query'!$E$14)+P98</f>
        <v>#VALUE!</v>
      </c>
    </row>
    <row r="99" spans="1:17" x14ac:dyDescent="0.25">
      <c r="A99" t="str">
        <v>GDX</v>
      </c>
      <c r="B99" t="str" cm="1">
        <f t="array" aca="1" ref="B99" ca="1">_xll.YCI(A99,"detailed_security_type",TODAY())</f>
        <v>etf</v>
      </c>
      <c r="C99" t="str" cm="1">
        <f t="array" aca="1" ref="C99" ca="1">_xlfn.IFS(B99="etf", _xll.YCI(A99, "security_name",TODAY()),B99&lt;&gt;"etf",_xll.YCI("M:" &amp; A99, "security_name",TODAY()))</f>
        <v>VanEck Gold Miners ETF</v>
      </c>
      <c r="D99" t="str" cm="1">
        <f t="array" aca="1" ref="D99" ca="1">_xlfn.IFS($B99="etf", _xll.YCI($A99, "ycharts_benchmark_category",TODAY()),$B99&lt;&gt;"etf",_xll.YCI("M:" &amp; $A99, "ycharts_benchmark_category",TODAY()))</f>
        <v>Metals Equity</v>
      </c>
      <c r="E99" t="str" cm="1">
        <f t="array" aca="1" ref="E99" ca="1">_xlfn.IFS($B99="etf", _xll.YCI($A99, "ycharts_benchmark_index_symbol",TODAY()),$B99&lt;&gt;"etf",_xll.YCI("M:" &amp; $A99, "ycharts_benchmark_index_symbol",TODAY()))</f>
        <v>^MSWMMTR</v>
      </c>
      <c r="F99" t="str" cm="1">
        <f t="array" aca="1" ref="F99" ca="1">_xlfn.IFS($B99="etf", _xll.YCI($E99, "security_name",TODAY()),$B99&lt;&gt;"etf",_xll.YCI( $E99, "security_name",TODAY()))</f>
        <v>MSCI World Metals &amp; Mining Total Return</v>
      </c>
      <c r="G99" t="str" cm="1">
        <f t="array" aca="1" ref="G99" ca="1">_xlfn.IFS($B99="etf", _xll.YCI($A99, "prospectus_benchmark_index",TODAY()),$B99&lt;&gt;"etf",_xll.YCI("M:" &amp; $A99, "prospectus_benchmark_index",TODAY()))</f>
        <v>NYSE Arca Gold Miners TR USD</v>
      </c>
      <c r="H99" s="2" cm="1">
        <f t="array" aca="1" ref="H99" ca="1">_xlfn.IFS($B99="etf", _xll.YCP($A99,"quarterly_total_return",'Database Query'!$E$14),$B99&lt;&gt;"etf",_xll.YCP("M:"&amp; $A99,"quarterly_total_return",'Database Query'!$E$14))</f>
        <v>-0.138457</v>
      </c>
      <c r="I99" s="2" cm="1">
        <f t="array" aca="1" ref="I99" ca="1">-_xll.YCP($E99,"quarterly_return",'Database Query'!$E$14)+H99</f>
        <v>4.6210000000000001E-2</v>
      </c>
      <c r="J99" s="2" cm="1">
        <f t="array" aca="1" ref="J99" ca="1">_xlfn.IFS($B99="etf", _xll.YCP($A99,"ytd_total_return",'Database Query'!$E$14),$B99&lt;&gt;"etf",_xll.YCP("M:"&amp; $A99,"ytd_total_return",'Database Query'!$E$14))</f>
        <v>0.106309</v>
      </c>
      <c r="K99" s="2" cm="1">
        <f t="array" aca="1" ref="K99" ca="1">-_xll.YCP($E99,"ytd_return",'Database Query'!$E$14)+J99</f>
        <v>0.22878199999999999</v>
      </c>
      <c r="L99" s="2" cm="1">
        <f t="array" aca="1" ref="L99" ca="1">_xlfn.IFS($B99="etf", _xll.YCP($A99,"one_year_total_return",'Database Query'!$E$14),$B99&lt;&gt;"etf",_xll.YCP("M:"&amp; $A99,"one_year_total_return",'Database Query'!$E$14))</f>
        <v>0.106309</v>
      </c>
      <c r="M99" s="2" cm="1">
        <f t="array" aca="1" ref="M99" ca="1">-_xll.YCP($E99,"one_year_return",'Database Query'!$E$14)+L99</f>
        <v>0.22878199999999999</v>
      </c>
      <c r="N99" s="2" cm="1">
        <f t="array" aca="1" ref="N99" ca="1">_xlfn.IFS($B99="etf", _xll.YCP($A99,"three_year_total_return",'Database Query'!$E$14),$B99&lt;&gt;"etf",_xll.YCP("M:"&amp; $A99,"three_year_total_return",'Database Query'!$E$14))</f>
        <v>0.107249</v>
      </c>
      <c r="O99" s="2" cm="1">
        <f t="array" aca="1" ref="O99" ca="1">-_xll.YCP($E99,"three_year_return",'Database Query'!$E$14)+N99</f>
        <v>7.478499999999999E-2</v>
      </c>
      <c r="P99" s="2" cm="1">
        <f t="array" aca="1" ref="P99" ca="1">_xlfn.IFS($B99="etf", _xll.YCP($A99,"five_year_total_return",'Database Query'!$E$14),$B99&lt;&gt;"etf",_xll.YCP("M:"&amp; $A99,"five_year_total_return",'Database Query'!$E$14))</f>
        <v>0.23885799999999999</v>
      </c>
      <c r="Q99" s="2" cm="1">
        <f t="array" aca="1" ref="Q99" ca="1">-_xll.YCP($E99,"five_year_return",'Database Query'!$E$14)+P99</f>
        <v>-0.2366</v>
      </c>
    </row>
    <row r="100" spans="1:17" x14ac:dyDescent="0.25">
      <c r="A100" t="str">
        <v>GERAX</v>
      </c>
      <c r="B100" t="e" cm="1">
        <f t="array" aca="1" ref="B100" ca="1">_xll.YCI(A100,"detailed_security_type",TODAY())</f>
        <v>#VALUE!</v>
      </c>
      <c r="C100" t="e" cm="1">
        <f t="array" aca="1" ref="C100" ca="1">_xlfn.IFS(B100="etf", _xll.YCI(A100, "security_name",TODAY()),B100&lt;&gt;"etf",_xll.YCI("M:" &amp; A100, "security_name",TODAY()))</f>
        <v>#VALUE!</v>
      </c>
      <c r="D100" t="e" cm="1">
        <f t="array" aca="1" ref="D100" ca="1">_xlfn.IFS($B100="etf", _xll.YCI($A100, "ycharts_benchmark_category",TODAY()),$B100&lt;&gt;"etf",_xll.YCI("M:" &amp; $A100, "ycharts_benchmark_category",TODAY()))</f>
        <v>#VALUE!</v>
      </c>
      <c r="E100" t="e" cm="1">
        <f t="array" aca="1" ref="E100" ca="1">_xlfn.IFS($B100="etf", _xll.YCI($A100, "ycharts_benchmark_index_symbol",TODAY()),$B100&lt;&gt;"etf",_xll.YCI("M:" &amp; $A100, "ycharts_benchmark_index_symbol",TODAY()))</f>
        <v>#VALUE!</v>
      </c>
      <c r="F100" t="e" cm="1">
        <f t="array" aca="1" ref="F100" ca="1">_xlfn.IFS($B100="etf", _xll.YCI($E100, "security_name",TODAY()),$B100&lt;&gt;"etf",_xll.YCI( $E100, "security_name",TODAY()))</f>
        <v>#VALUE!</v>
      </c>
      <c r="G100" t="e" cm="1">
        <f t="array" aca="1" ref="G100" ca="1">_xlfn.IFS($B100="etf", _xll.YCI($A100, "prospectus_benchmark_index",TODAY()),$B100&lt;&gt;"etf",_xll.YCI("M:" &amp; $A100, "prospectus_benchmark_index",TODAY()))</f>
        <v>#VALUE!</v>
      </c>
      <c r="H100" s="2" t="e" cm="1">
        <f t="array" aca="1" ref="H100" ca="1">_xlfn.IFS($B100="etf", _xll.YCP($A100,"quarterly_total_return",'Database Query'!$E$14),$B100&lt;&gt;"etf",_xll.YCP("M:"&amp; $A100,"quarterly_total_return",'Database Query'!$E$14))</f>
        <v>#VALUE!</v>
      </c>
      <c r="I100" s="2" t="e" cm="1">
        <f t="array" aca="1" ref="I100" ca="1">-_xll.YCP($E100,"quarterly_return",'Database Query'!$E$14)+H100</f>
        <v>#VALUE!</v>
      </c>
      <c r="J100" s="2" t="e" cm="1">
        <f t="array" aca="1" ref="J100" ca="1">_xlfn.IFS($B100="etf", _xll.YCP($A100,"ytd_total_return",'Database Query'!$E$14),$B100&lt;&gt;"etf",_xll.YCP("M:"&amp; $A100,"ytd_total_return",'Database Query'!$E$14))</f>
        <v>#VALUE!</v>
      </c>
      <c r="K100" s="2" t="e" cm="1">
        <f t="array" aca="1" ref="K100" ca="1">-_xll.YCP($E100,"ytd_return",'Database Query'!$E$14)+J100</f>
        <v>#VALUE!</v>
      </c>
      <c r="L100" s="2" t="e" cm="1">
        <f t="array" aca="1" ref="L100" ca="1">_xlfn.IFS($B100="etf", _xll.YCP($A100,"one_year_total_return",'Database Query'!$E$14),$B100&lt;&gt;"etf",_xll.YCP("M:"&amp; $A100,"one_year_total_return",'Database Query'!$E$14))</f>
        <v>#VALUE!</v>
      </c>
      <c r="M100" s="2" t="e" cm="1">
        <f t="array" aca="1" ref="M100" ca="1">-_xll.YCP($E100,"one_year_return",'Database Query'!$E$14)+L100</f>
        <v>#VALUE!</v>
      </c>
      <c r="N100" s="2" t="e" cm="1">
        <f t="array" aca="1" ref="N100" ca="1">_xlfn.IFS($B100="etf", _xll.YCP($A100,"three_year_total_return",'Database Query'!$E$14),$B100&lt;&gt;"etf",_xll.YCP("M:"&amp; $A100,"three_year_total_return",'Database Query'!$E$14))</f>
        <v>#VALUE!</v>
      </c>
      <c r="O100" s="2" t="e" cm="1">
        <f t="array" aca="1" ref="O100" ca="1">-_xll.YCP($E100,"three_year_return",'Database Query'!$E$14)+N100</f>
        <v>#VALUE!</v>
      </c>
      <c r="P100" s="2" t="e" cm="1">
        <f t="array" aca="1" ref="P100" ca="1">_xlfn.IFS($B100="etf", _xll.YCP($A100,"five_year_total_return",'Database Query'!$E$14),$B100&lt;&gt;"etf",_xll.YCP("M:"&amp; $A100,"five_year_total_return",'Database Query'!$E$14))</f>
        <v>#VALUE!</v>
      </c>
      <c r="Q100" s="2" t="e" cm="1">
        <f t="array" aca="1" ref="Q100" ca="1">-_xll.YCP($E100,"five_year_return",'Database Query'!$E$14)+P100</f>
        <v>#VALUE!</v>
      </c>
    </row>
    <row r="101" spans="1:17" x14ac:dyDescent="0.25">
      <c r="A101" t="str">
        <v>GERIX</v>
      </c>
      <c r="B101" t="e" cm="1">
        <f t="array" aca="1" ref="B101" ca="1">_xll.YCI(A101,"detailed_security_type",TODAY())</f>
        <v>#VALUE!</v>
      </c>
      <c r="C101" t="e" cm="1">
        <f t="array" aca="1" ref="C101" ca="1">_xlfn.IFS(B101="etf", _xll.YCI(A101, "security_name",TODAY()),B101&lt;&gt;"etf",_xll.YCI("M:" &amp; A101, "security_name",TODAY()))</f>
        <v>#VALUE!</v>
      </c>
      <c r="D101" t="e" cm="1">
        <f t="array" aca="1" ref="D101" ca="1">_xlfn.IFS($B101="etf", _xll.YCI($A101, "ycharts_benchmark_category",TODAY()),$B101&lt;&gt;"etf",_xll.YCI("M:" &amp; $A101, "ycharts_benchmark_category",TODAY()))</f>
        <v>#VALUE!</v>
      </c>
      <c r="E101" t="e" cm="1">
        <f t="array" aca="1" ref="E101" ca="1">_xlfn.IFS($B101="etf", _xll.YCI($A101, "ycharts_benchmark_index_symbol",TODAY()),$B101&lt;&gt;"etf",_xll.YCI("M:" &amp; $A101, "ycharts_benchmark_index_symbol",TODAY()))</f>
        <v>#VALUE!</v>
      </c>
      <c r="F101" t="e" cm="1">
        <f t="array" aca="1" ref="F101" ca="1">_xlfn.IFS($B101="etf", _xll.YCI($E101, "security_name",TODAY()),$B101&lt;&gt;"etf",_xll.YCI( $E101, "security_name",TODAY()))</f>
        <v>#VALUE!</v>
      </c>
      <c r="G101" t="e" cm="1">
        <f t="array" aca="1" ref="G101" ca="1">_xlfn.IFS($B101="etf", _xll.YCI($A101, "prospectus_benchmark_index",TODAY()),$B101&lt;&gt;"etf",_xll.YCI("M:" &amp; $A101, "prospectus_benchmark_index",TODAY()))</f>
        <v>#VALUE!</v>
      </c>
      <c r="H101" s="2" t="e" cm="1">
        <f t="array" aca="1" ref="H101" ca="1">_xlfn.IFS($B101="etf", _xll.YCP($A101,"quarterly_total_return",'Database Query'!$E$14),$B101&lt;&gt;"etf",_xll.YCP("M:"&amp; $A101,"quarterly_total_return",'Database Query'!$E$14))</f>
        <v>#VALUE!</v>
      </c>
      <c r="I101" s="2" t="e" cm="1">
        <f t="array" aca="1" ref="I101" ca="1">-_xll.YCP($E101,"quarterly_return",'Database Query'!$E$14)+H101</f>
        <v>#VALUE!</v>
      </c>
      <c r="J101" s="2" t="e" cm="1">
        <f t="array" aca="1" ref="J101" ca="1">_xlfn.IFS($B101="etf", _xll.YCP($A101,"ytd_total_return",'Database Query'!$E$14),$B101&lt;&gt;"etf",_xll.YCP("M:"&amp; $A101,"ytd_total_return",'Database Query'!$E$14))</f>
        <v>#VALUE!</v>
      </c>
      <c r="K101" s="2" t="e" cm="1">
        <f t="array" aca="1" ref="K101" ca="1">-_xll.YCP($E101,"ytd_return",'Database Query'!$E$14)+J101</f>
        <v>#VALUE!</v>
      </c>
      <c r="L101" s="2" t="e" cm="1">
        <f t="array" aca="1" ref="L101" ca="1">_xlfn.IFS($B101="etf", _xll.YCP($A101,"one_year_total_return",'Database Query'!$E$14),$B101&lt;&gt;"etf",_xll.YCP("M:"&amp; $A101,"one_year_total_return",'Database Query'!$E$14))</f>
        <v>#VALUE!</v>
      </c>
      <c r="M101" s="2" t="e" cm="1">
        <f t="array" aca="1" ref="M101" ca="1">-_xll.YCP($E101,"one_year_return",'Database Query'!$E$14)+L101</f>
        <v>#VALUE!</v>
      </c>
      <c r="N101" s="2" t="e" cm="1">
        <f t="array" aca="1" ref="N101" ca="1">_xlfn.IFS($B101="etf", _xll.YCP($A101,"three_year_total_return",'Database Query'!$E$14),$B101&lt;&gt;"etf",_xll.YCP("M:"&amp; $A101,"three_year_total_return",'Database Query'!$E$14))</f>
        <v>#VALUE!</v>
      </c>
      <c r="O101" s="2" t="e" cm="1">
        <f t="array" aca="1" ref="O101" ca="1">-_xll.YCP($E101,"three_year_return",'Database Query'!$E$14)+N101</f>
        <v>#VALUE!</v>
      </c>
      <c r="P101" s="2" t="e" cm="1">
        <f t="array" aca="1" ref="P101" ca="1">_xlfn.IFS($B101="etf", _xll.YCP($A101,"five_year_total_return",'Database Query'!$E$14),$B101&lt;&gt;"etf",_xll.YCP("M:"&amp; $A101,"five_year_total_return",'Database Query'!$E$14))</f>
        <v>#VALUE!</v>
      </c>
      <c r="Q101" s="2" t="e" cm="1">
        <f t="array" aca="1" ref="Q101" ca="1">-_xll.YCP($E101,"five_year_return",'Database Query'!$E$14)+P101</f>
        <v>#VALUE!</v>
      </c>
    </row>
    <row r="102" spans="1:17" x14ac:dyDescent="0.25">
      <c r="A102" t="str">
        <v>GERUX</v>
      </c>
      <c r="B102" t="e" cm="1">
        <f t="array" aca="1" ref="B102" ca="1">_xll.YCI(A102,"detailed_security_type",TODAY())</f>
        <v>#VALUE!</v>
      </c>
      <c r="C102" t="e" cm="1">
        <f t="array" aca="1" ref="C102" ca="1">_xlfn.IFS(B102="etf", _xll.YCI(A102, "security_name",TODAY()),B102&lt;&gt;"etf",_xll.YCI("M:" &amp; A102, "security_name",TODAY()))</f>
        <v>#VALUE!</v>
      </c>
      <c r="D102" t="e" cm="1">
        <f t="array" aca="1" ref="D102" ca="1">_xlfn.IFS($B102="etf", _xll.YCI($A102, "ycharts_benchmark_category",TODAY()),$B102&lt;&gt;"etf",_xll.YCI("M:" &amp; $A102, "ycharts_benchmark_category",TODAY()))</f>
        <v>#VALUE!</v>
      </c>
      <c r="E102" t="e" cm="1">
        <f t="array" aca="1" ref="E102" ca="1">_xlfn.IFS($B102="etf", _xll.YCI($A102, "ycharts_benchmark_index_symbol",TODAY()),$B102&lt;&gt;"etf",_xll.YCI("M:" &amp; $A102, "ycharts_benchmark_index_symbol",TODAY()))</f>
        <v>#VALUE!</v>
      </c>
      <c r="F102" t="e" cm="1">
        <f t="array" aca="1" ref="F102" ca="1">_xlfn.IFS($B102="etf", _xll.YCI($E102, "security_name",TODAY()),$B102&lt;&gt;"etf",_xll.YCI( $E102, "security_name",TODAY()))</f>
        <v>#VALUE!</v>
      </c>
      <c r="G102" t="e" cm="1">
        <f t="array" aca="1" ref="G102" ca="1">_xlfn.IFS($B102="etf", _xll.YCI($A102, "prospectus_benchmark_index",TODAY()),$B102&lt;&gt;"etf",_xll.YCI("M:" &amp; $A102, "prospectus_benchmark_index",TODAY()))</f>
        <v>#VALUE!</v>
      </c>
      <c r="H102" s="2" t="e" cm="1">
        <f t="array" aca="1" ref="H102" ca="1">_xlfn.IFS($B102="etf", _xll.YCP($A102,"quarterly_total_return",'Database Query'!$E$14),$B102&lt;&gt;"etf",_xll.YCP("M:"&amp; $A102,"quarterly_total_return",'Database Query'!$E$14))</f>
        <v>#VALUE!</v>
      </c>
      <c r="I102" s="2" t="e" cm="1">
        <f t="array" aca="1" ref="I102" ca="1">-_xll.YCP($E102,"quarterly_return",'Database Query'!$E$14)+H102</f>
        <v>#VALUE!</v>
      </c>
      <c r="J102" s="2" t="e" cm="1">
        <f t="array" aca="1" ref="J102" ca="1">_xlfn.IFS($B102="etf", _xll.YCP($A102,"ytd_total_return",'Database Query'!$E$14),$B102&lt;&gt;"etf",_xll.YCP("M:"&amp; $A102,"ytd_total_return",'Database Query'!$E$14))</f>
        <v>#VALUE!</v>
      </c>
      <c r="K102" s="2" t="e" cm="1">
        <f t="array" aca="1" ref="K102" ca="1">-_xll.YCP($E102,"ytd_return",'Database Query'!$E$14)+J102</f>
        <v>#VALUE!</v>
      </c>
      <c r="L102" s="2" t="e" cm="1">
        <f t="array" aca="1" ref="L102" ca="1">_xlfn.IFS($B102="etf", _xll.YCP($A102,"one_year_total_return",'Database Query'!$E$14),$B102&lt;&gt;"etf",_xll.YCP("M:"&amp; $A102,"one_year_total_return",'Database Query'!$E$14))</f>
        <v>#VALUE!</v>
      </c>
      <c r="M102" s="2" t="e" cm="1">
        <f t="array" aca="1" ref="M102" ca="1">-_xll.YCP($E102,"one_year_return",'Database Query'!$E$14)+L102</f>
        <v>#VALUE!</v>
      </c>
      <c r="N102" s="2" t="e" cm="1">
        <f t="array" aca="1" ref="N102" ca="1">_xlfn.IFS($B102="etf", _xll.YCP($A102,"three_year_total_return",'Database Query'!$E$14),$B102&lt;&gt;"etf",_xll.YCP("M:"&amp; $A102,"three_year_total_return",'Database Query'!$E$14))</f>
        <v>#VALUE!</v>
      </c>
      <c r="O102" s="2" t="e" cm="1">
        <f t="array" aca="1" ref="O102" ca="1">-_xll.YCP($E102,"three_year_return",'Database Query'!$E$14)+N102</f>
        <v>#VALUE!</v>
      </c>
      <c r="P102" s="2" t="e" cm="1">
        <f t="array" aca="1" ref="P102" ca="1">_xlfn.IFS($B102="etf", _xll.YCP($A102,"five_year_total_return",'Database Query'!$E$14),$B102&lt;&gt;"etf",_xll.YCP("M:"&amp; $A102,"five_year_total_return",'Database Query'!$E$14))</f>
        <v>#VALUE!</v>
      </c>
      <c r="Q102" s="2" t="e" cm="1">
        <f t="array" aca="1" ref="Q102" ca="1">-_xll.YCP($E102,"five_year_return",'Database Query'!$E$14)+P102</f>
        <v>#VALUE!</v>
      </c>
    </row>
    <row r="103" spans="1:17" x14ac:dyDescent="0.25">
      <c r="A103" t="str">
        <v>GIBIX</v>
      </c>
      <c r="B103" t="e" cm="1">
        <f t="array" aca="1" ref="B103" ca="1">_xll.YCI(A103,"detailed_security_type",TODAY())</f>
        <v>#VALUE!</v>
      </c>
      <c r="C103" t="e" cm="1">
        <f t="array" aca="1" ref="C103" ca="1">_xlfn.IFS(B103="etf", _xll.YCI(A103, "security_name",TODAY()),B103&lt;&gt;"etf",_xll.YCI("M:" &amp; A103, "security_name",TODAY()))</f>
        <v>#VALUE!</v>
      </c>
      <c r="D103" t="e" cm="1">
        <f t="array" aca="1" ref="D103" ca="1">_xlfn.IFS($B103="etf", _xll.YCI($A103, "ycharts_benchmark_category",TODAY()),$B103&lt;&gt;"etf",_xll.YCI("M:" &amp; $A103, "ycharts_benchmark_category",TODAY()))</f>
        <v>#VALUE!</v>
      </c>
      <c r="E103" t="e" cm="1">
        <f t="array" aca="1" ref="E103" ca="1">_xlfn.IFS($B103="etf", _xll.YCI($A103, "ycharts_benchmark_index_symbol",TODAY()),$B103&lt;&gt;"etf",_xll.YCI("M:" &amp; $A103, "ycharts_benchmark_index_symbol",TODAY()))</f>
        <v>#VALUE!</v>
      </c>
      <c r="F103" t="e" cm="1">
        <f t="array" aca="1" ref="F103" ca="1">_xlfn.IFS($B103="etf", _xll.YCI($E103, "security_name",TODAY()),$B103&lt;&gt;"etf",_xll.YCI( $E103, "security_name",TODAY()))</f>
        <v>#VALUE!</v>
      </c>
      <c r="G103" t="e" cm="1">
        <f t="array" aca="1" ref="G103" ca="1">_xlfn.IFS($B103="etf", _xll.YCI($A103, "prospectus_benchmark_index",TODAY()),$B103&lt;&gt;"etf",_xll.YCI("M:" &amp; $A103, "prospectus_benchmark_index",TODAY()))</f>
        <v>#VALUE!</v>
      </c>
      <c r="H103" s="2" t="e" cm="1">
        <f t="array" aca="1" ref="H103" ca="1">_xlfn.IFS($B103="etf", _xll.YCP($A103,"quarterly_total_return",'Database Query'!$E$14),$B103&lt;&gt;"etf",_xll.YCP("M:"&amp; $A103,"quarterly_total_return",'Database Query'!$E$14))</f>
        <v>#VALUE!</v>
      </c>
      <c r="I103" s="2" t="e" cm="1">
        <f t="array" aca="1" ref="I103" ca="1">-_xll.YCP($E103,"quarterly_return",'Database Query'!$E$14)+H103</f>
        <v>#VALUE!</v>
      </c>
      <c r="J103" s="2" t="e" cm="1">
        <f t="array" aca="1" ref="J103" ca="1">_xlfn.IFS($B103="etf", _xll.YCP($A103,"ytd_total_return",'Database Query'!$E$14),$B103&lt;&gt;"etf",_xll.YCP("M:"&amp; $A103,"ytd_total_return",'Database Query'!$E$14))</f>
        <v>#VALUE!</v>
      </c>
      <c r="K103" s="2" t="e" cm="1">
        <f t="array" aca="1" ref="K103" ca="1">-_xll.YCP($E103,"ytd_return",'Database Query'!$E$14)+J103</f>
        <v>#VALUE!</v>
      </c>
      <c r="L103" s="2" t="e" cm="1">
        <f t="array" aca="1" ref="L103" ca="1">_xlfn.IFS($B103="etf", _xll.YCP($A103,"one_year_total_return",'Database Query'!$E$14),$B103&lt;&gt;"etf",_xll.YCP("M:"&amp; $A103,"one_year_total_return",'Database Query'!$E$14))</f>
        <v>#VALUE!</v>
      </c>
      <c r="M103" s="2" t="e" cm="1">
        <f t="array" aca="1" ref="M103" ca="1">-_xll.YCP($E103,"one_year_return",'Database Query'!$E$14)+L103</f>
        <v>#VALUE!</v>
      </c>
      <c r="N103" s="2" t="e" cm="1">
        <f t="array" aca="1" ref="N103" ca="1">_xlfn.IFS($B103="etf", _xll.YCP($A103,"three_year_total_return",'Database Query'!$E$14),$B103&lt;&gt;"etf",_xll.YCP("M:"&amp; $A103,"three_year_total_return",'Database Query'!$E$14))</f>
        <v>#VALUE!</v>
      </c>
      <c r="O103" s="2" t="e" cm="1">
        <f t="array" aca="1" ref="O103" ca="1">-_xll.YCP($E103,"three_year_return",'Database Query'!$E$14)+N103</f>
        <v>#VALUE!</v>
      </c>
      <c r="P103" s="2" t="e" cm="1">
        <f t="array" aca="1" ref="P103" ca="1">_xlfn.IFS($B103="etf", _xll.YCP($A103,"five_year_total_return",'Database Query'!$E$14),$B103&lt;&gt;"etf",_xll.YCP("M:"&amp; $A103,"five_year_total_return",'Database Query'!$E$14))</f>
        <v>#VALUE!</v>
      </c>
      <c r="Q103" s="2" t="e" cm="1">
        <f t="array" aca="1" ref="Q103" ca="1">-_xll.YCP($E103,"five_year_return",'Database Query'!$E$14)+P103</f>
        <v>#VALUE!</v>
      </c>
    </row>
    <row r="104" spans="1:17" x14ac:dyDescent="0.25">
      <c r="A104" t="str">
        <v>GIOAX</v>
      </c>
      <c r="B104" t="e" cm="1">
        <f t="array" aca="1" ref="B104" ca="1">_xll.YCI(A104,"detailed_security_type",TODAY())</f>
        <v>#VALUE!</v>
      </c>
      <c r="C104" t="e" cm="1">
        <f t="array" aca="1" ref="C104" ca="1">_xlfn.IFS(B104="etf", _xll.YCI(A104, "security_name",TODAY()),B104&lt;&gt;"etf",_xll.YCI("M:" &amp; A104, "security_name",TODAY()))</f>
        <v>#VALUE!</v>
      </c>
      <c r="D104" t="e" cm="1">
        <f t="array" aca="1" ref="D104" ca="1">_xlfn.IFS($B104="etf", _xll.YCI($A104, "ycharts_benchmark_category",TODAY()),$B104&lt;&gt;"etf",_xll.YCI("M:" &amp; $A104, "ycharts_benchmark_category",TODAY()))</f>
        <v>#VALUE!</v>
      </c>
      <c r="E104" t="e" cm="1">
        <f t="array" aca="1" ref="E104" ca="1">_xlfn.IFS($B104="etf", _xll.YCI($A104, "ycharts_benchmark_index_symbol",TODAY()),$B104&lt;&gt;"etf",_xll.YCI("M:" &amp; $A104, "ycharts_benchmark_index_symbol",TODAY()))</f>
        <v>#VALUE!</v>
      </c>
      <c r="F104" t="e" cm="1">
        <f t="array" aca="1" ref="F104" ca="1">_xlfn.IFS($B104="etf", _xll.YCI($E104, "security_name",TODAY()),$B104&lt;&gt;"etf",_xll.YCI( $E104, "security_name",TODAY()))</f>
        <v>#VALUE!</v>
      </c>
      <c r="G104" t="e" cm="1">
        <f t="array" aca="1" ref="G104" ca="1">_xlfn.IFS($B104="etf", _xll.YCI($A104, "prospectus_benchmark_index",TODAY()),$B104&lt;&gt;"etf",_xll.YCI("M:" &amp; $A104, "prospectus_benchmark_index",TODAY()))</f>
        <v>#VALUE!</v>
      </c>
      <c r="H104" s="2" t="e" cm="1">
        <f t="array" aca="1" ref="H104" ca="1">_xlfn.IFS($B104="etf", _xll.YCP($A104,"quarterly_total_return",'Database Query'!$E$14),$B104&lt;&gt;"etf",_xll.YCP("M:"&amp; $A104,"quarterly_total_return",'Database Query'!$E$14))</f>
        <v>#VALUE!</v>
      </c>
      <c r="I104" s="2" t="e" cm="1">
        <f t="array" aca="1" ref="I104" ca="1">-_xll.YCP($E104,"quarterly_return",'Database Query'!$E$14)+H104</f>
        <v>#VALUE!</v>
      </c>
      <c r="J104" s="2" t="e" cm="1">
        <f t="array" aca="1" ref="J104" ca="1">_xlfn.IFS($B104="etf", _xll.YCP($A104,"ytd_total_return",'Database Query'!$E$14),$B104&lt;&gt;"etf",_xll.YCP("M:"&amp; $A104,"ytd_total_return",'Database Query'!$E$14))</f>
        <v>#VALUE!</v>
      </c>
      <c r="K104" s="2" t="e" cm="1">
        <f t="array" aca="1" ref="K104" ca="1">-_xll.YCP($E104,"ytd_return",'Database Query'!$E$14)+J104</f>
        <v>#VALUE!</v>
      </c>
      <c r="L104" s="2" t="e" cm="1">
        <f t="array" aca="1" ref="L104" ca="1">_xlfn.IFS($B104="etf", _xll.YCP($A104,"one_year_total_return",'Database Query'!$E$14),$B104&lt;&gt;"etf",_xll.YCP("M:"&amp; $A104,"one_year_total_return",'Database Query'!$E$14))</f>
        <v>#VALUE!</v>
      </c>
      <c r="M104" s="2" t="e" cm="1">
        <f t="array" aca="1" ref="M104" ca="1">-_xll.YCP($E104,"one_year_return",'Database Query'!$E$14)+L104</f>
        <v>#VALUE!</v>
      </c>
      <c r="N104" s="2" t="e" cm="1">
        <f t="array" aca="1" ref="N104" ca="1">_xlfn.IFS($B104="etf", _xll.YCP($A104,"three_year_total_return",'Database Query'!$E$14),$B104&lt;&gt;"etf",_xll.YCP("M:"&amp; $A104,"three_year_total_return",'Database Query'!$E$14))</f>
        <v>#VALUE!</v>
      </c>
      <c r="O104" s="2" t="e" cm="1">
        <f t="array" aca="1" ref="O104" ca="1">-_xll.YCP($E104,"three_year_return",'Database Query'!$E$14)+N104</f>
        <v>#VALUE!</v>
      </c>
      <c r="P104" s="2" t="e" cm="1">
        <f t="array" aca="1" ref="P104" ca="1">_xlfn.IFS($B104="etf", _xll.YCP($A104,"five_year_total_return",'Database Query'!$E$14),$B104&lt;&gt;"etf",_xll.YCP("M:"&amp; $A104,"five_year_total_return",'Database Query'!$E$14))</f>
        <v>#VALUE!</v>
      </c>
      <c r="Q104" s="2" t="e" cm="1">
        <f t="array" aca="1" ref="Q104" ca="1">-_xll.YCP($E104,"five_year_return",'Database Query'!$E$14)+P104</f>
        <v>#VALUE!</v>
      </c>
    </row>
    <row r="105" spans="1:17" x14ac:dyDescent="0.25">
      <c r="A105" t="str">
        <v>GIRPX</v>
      </c>
      <c r="B105" t="e" cm="1">
        <f t="array" aca="1" ref="B105" ca="1">_xll.YCI(A105,"detailed_security_type",TODAY())</f>
        <v>#VALUE!</v>
      </c>
      <c r="C105" t="e" cm="1">
        <f t="array" aca="1" ref="C105" ca="1">_xlfn.IFS(B105="etf", _xll.YCI(A105, "security_name",TODAY()),B105&lt;&gt;"etf",_xll.YCI("M:" &amp; A105, "security_name",TODAY()))</f>
        <v>#VALUE!</v>
      </c>
      <c r="D105" t="e" cm="1">
        <f t="array" aca="1" ref="D105" ca="1">_xlfn.IFS($B105="etf", _xll.YCI($A105, "ycharts_benchmark_category",TODAY()),$B105&lt;&gt;"etf",_xll.YCI("M:" &amp; $A105, "ycharts_benchmark_category",TODAY()))</f>
        <v>#VALUE!</v>
      </c>
      <c r="E105" t="e" cm="1">
        <f t="array" aca="1" ref="E105" ca="1">_xlfn.IFS($B105="etf", _xll.YCI($A105, "ycharts_benchmark_index_symbol",TODAY()),$B105&lt;&gt;"etf",_xll.YCI("M:" &amp; $A105, "ycharts_benchmark_index_symbol",TODAY()))</f>
        <v>#VALUE!</v>
      </c>
      <c r="F105" t="e" cm="1">
        <f t="array" aca="1" ref="F105" ca="1">_xlfn.IFS($B105="etf", _xll.YCI($E105, "security_name",TODAY()),$B105&lt;&gt;"etf",_xll.YCI( $E105, "security_name",TODAY()))</f>
        <v>#VALUE!</v>
      </c>
      <c r="G105" t="e" cm="1">
        <f t="array" aca="1" ref="G105" ca="1">_xlfn.IFS($B105="etf", _xll.YCI($A105, "prospectus_benchmark_index",TODAY()),$B105&lt;&gt;"etf",_xll.YCI("M:" &amp; $A105, "prospectus_benchmark_index",TODAY()))</f>
        <v>#VALUE!</v>
      </c>
      <c r="H105" s="2" t="e" cm="1">
        <f t="array" aca="1" ref="H105" ca="1">_xlfn.IFS($B105="etf", _xll.YCP($A105,"quarterly_total_return",'Database Query'!$E$14),$B105&lt;&gt;"etf",_xll.YCP("M:"&amp; $A105,"quarterly_total_return",'Database Query'!$E$14))</f>
        <v>#VALUE!</v>
      </c>
      <c r="I105" s="2" t="e" cm="1">
        <f t="array" aca="1" ref="I105" ca="1">-_xll.YCP($E105,"quarterly_return",'Database Query'!$E$14)+H105</f>
        <v>#VALUE!</v>
      </c>
      <c r="J105" s="2" t="e" cm="1">
        <f t="array" aca="1" ref="J105" ca="1">_xlfn.IFS($B105="etf", _xll.YCP($A105,"ytd_total_return",'Database Query'!$E$14),$B105&lt;&gt;"etf",_xll.YCP("M:"&amp; $A105,"ytd_total_return",'Database Query'!$E$14))</f>
        <v>#VALUE!</v>
      </c>
      <c r="K105" s="2" t="e" cm="1">
        <f t="array" aca="1" ref="K105" ca="1">-_xll.YCP($E105,"ytd_return",'Database Query'!$E$14)+J105</f>
        <v>#VALUE!</v>
      </c>
      <c r="L105" s="2" t="e" cm="1">
        <f t="array" aca="1" ref="L105" ca="1">_xlfn.IFS($B105="etf", _xll.YCP($A105,"one_year_total_return",'Database Query'!$E$14),$B105&lt;&gt;"etf",_xll.YCP("M:"&amp; $A105,"one_year_total_return",'Database Query'!$E$14))</f>
        <v>#VALUE!</v>
      </c>
      <c r="M105" s="2" t="e" cm="1">
        <f t="array" aca="1" ref="M105" ca="1">-_xll.YCP($E105,"one_year_return",'Database Query'!$E$14)+L105</f>
        <v>#VALUE!</v>
      </c>
      <c r="N105" s="2" t="e" cm="1">
        <f t="array" aca="1" ref="N105" ca="1">_xlfn.IFS($B105="etf", _xll.YCP($A105,"three_year_total_return",'Database Query'!$E$14),$B105&lt;&gt;"etf",_xll.YCP("M:"&amp; $A105,"three_year_total_return",'Database Query'!$E$14))</f>
        <v>#VALUE!</v>
      </c>
      <c r="O105" s="2" t="e" cm="1">
        <f t="array" aca="1" ref="O105" ca="1">-_xll.YCP($E105,"three_year_return",'Database Query'!$E$14)+N105</f>
        <v>#VALUE!</v>
      </c>
      <c r="P105" s="2" t="e" cm="1">
        <f t="array" aca="1" ref="P105" ca="1">_xlfn.IFS($B105="etf", _xll.YCP($A105,"five_year_total_return",'Database Query'!$E$14),$B105&lt;&gt;"etf",_xll.YCP("M:"&amp; $A105,"five_year_total_return",'Database Query'!$E$14))</f>
        <v>#VALUE!</v>
      </c>
      <c r="Q105" s="2" t="e" cm="1">
        <f t="array" aca="1" ref="Q105" ca="1">-_xll.YCP($E105,"five_year_return",'Database Query'!$E$14)+P105</f>
        <v>#VALUE!</v>
      </c>
    </row>
    <row r="106" spans="1:17" x14ac:dyDescent="0.25">
      <c r="A106" t="str">
        <v>GLSOX</v>
      </c>
      <c r="B106" t="e" cm="1">
        <f t="array" aca="1" ref="B106" ca="1">_xll.YCI(A106,"detailed_security_type",TODAY())</f>
        <v>#VALUE!</v>
      </c>
      <c r="C106" t="e" cm="1">
        <f t="array" aca="1" ref="C106" ca="1">_xlfn.IFS(B106="etf", _xll.YCI(A106, "security_name",TODAY()),B106&lt;&gt;"etf",_xll.YCI("M:" &amp; A106, "security_name",TODAY()))</f>
        <v>#VALUE!</v>
      </c>
      <c r="D106" t="e" cm="1">
        <f t="array" aca="1" ref="D106" ca="1">_xlfn.IFS($B106="etf", _xll.YCI($A106, "ycharts_benchmark_category",TODAY()),$B106&lt;&gt;"etf",_xll.YCI("M:" &amp; $A106, "ycharts_benchmark_category",TODAY()))</f>
        <v>#VALUE!</v>
      </c>
      <c r="E106" t="e" cm="1">
        <f t="array" aca="1" ref="E106" ca="1">_xlfn.IFS($B106="etf", _xll.YCI($A106, "ycharts_benchmark_index_symbol",TODAY()),$B106&lt;&gt;"etf",_xll.YCI("M:" &amp; $A106, "ycharts_benchmark_index_symbol",TODAY()))</f>
        <v>#VALUE!</v>
      </c>
      <c r="F106" t="e" cm="1">
        <f t="array" aca="1" ref="F106" ca="1">_xlfn.IFS($B106="etf", _xll.YCI($E106, "security_name",TODAY()),$B106&lt;&gt;"etf",_xll.YCI( $E106, "security_name",TODAY()))</f>
        <v>#VALUE!</v>
      </c>
      <c r="G106" t="e" cm="1">
        <f t="array" aca="1" ref="G106" ca="1">_xlfn.IFS($B106="etf", _xll.YCI($A106, "prospectus_benchmark_index",TODAY()),$B106&lt;&gt;"etf",_xll.YCI("M:" &amp; $A106, "prospectus_benchmark_index",TODAY()))</f>
        <v>#VALUE!</v>
      </c>
      <c r="H106" s="2" t="e" cm="1">
        <f t="array" aca="1" ref="H106" ca="1">_xlfn.IFS($B106="etf", _xll.YCP($A106,"quarterly_total_return",'Database Query'!$E$14),$B106&lt;&gt;"etf",_xll.YCP("M:"&amp; $A106,"quarterly_total_return",'Database Query'!$E$14))</f>
        <v>#VALUE!</v>
      </c>
      <c r="I106" s="2" t="e" cm="1">
        <f t="array" aca="1" ref="I106" ca="1">-_xll.YCP($E106,"quarterly_return",'Database Query'!$E$14)+H106</f>
        <v>#VALUE!</v>
      </c>
      <c r="J106" s="2" t="e" cm="1">
        <f t="array" aca="1" ref="J106" ca="1">_xlfn.IFS($B106="etf", _xll.YCP($A106,"ytd_total_return",'Database Query'!$E$14),$B106&lt;&gt;"etf",_xll.YCP("M:"&amp; $A106,"ytd_total_return",'Database Query'!$E$14))</f>
        <v>#VALUE!</v>
      </c>
      <c r="K106" s="2" t="e" cm="1">
        <f t="array" aca="1" ref="K106" ca="1">-_xll.YCP($E106,"ytd_return",'Database Query'!$E$14)+J106</f>
        <v>#VALUE!</v>
      </c>
      <c r="L106" s="2" t="e" cm="1">
        <f t="array" aca="1" ref="L106" ca="1">_xlfn.IFS($B106="etf", _xll.YCP($A106,"one_year_total_return",'Database Query'!$E$14),$B106&lt;&gt;"etf",_xll.YCP("M:"&amp; $A106,"one_year_total_return",'Database Query'!$E$14))</f>
        <v>#VALUE!</v>
      </c>
      <c r="M106" s="2" t="e" cm="1">
        <f t="array" aca="1" ref="M106" ca="1">-_xll.YCP($E106,"one_year_return",'Database Query'!$E$14)+L106</f>
        <v>#VALUE!</v>
      </c>
      <c r="N106" s="2" t="e" cm="1">
        <f t="array" aca="1" ref="N106" ca="1">_xlfn.IFS($B106="etf", _xll.YCP($A106,"three_year_total_return",'Database Query'!$E$14),$B106&lt;&gt;"etf",_xll.YCP("M:"&amp; $A106,"three_year_total_return",'Database Query'!$E$14))</f>
        <v>#VALUE!</v>
      </c>
      <c r="O106" s="2" t="e" cm="1">
        <f t="array" aca="1" ref="O106" ca="1">-_xll.YCP($E106,"three_year_return",'Database Query'!$E$14)+N106</f>
        <v>#VALUE!</v>
      </c>
      <c r="P106" s="2" t="e" cm="1">
        <f t="array" aca="1" ref="P106" ca="1">_xlfn.IFS($B106="etf", _xll.YCP($A106,"five_year_total_return",'Database Query'!$E$14),$B106&lt;&gt;"etf",_xll.YCP("M:"&amp; $A106,"five_year_total_return",'Database Query'!$E$14))</f>
        <v>#VALUE!</v>
      </c>
      <c r="Q106" s="2" t="e" cm="1">
        <f t="array" aca="1" ref="Q106" ca="1">-_xll.YCP($E106,"five_year_return",'Database Query'!$E$14)+P106</f>
        <v>#VALUE!</v>
      </c>
    </row>
    <row r="107" spans="1:17" x14ac:dyDescent="0.25">
      <c r="A107" t="str">
        <v>GQGIX</v>
      </c>
      <c r="B107" t="e" cm="1">
        <f t="array" aca="1" ref="B107" ca="1">_xll.YCI(A107,"detailed_security_type",TODAY())</f>
        <v>#VALUE!</v>
      </c>
      <c r="C107" t="e" cm="1">
        <f t="array" aca="1" ref="C107" ca="1">_xlfn.IFS(B107="etf", _xll.YCI(A107, "security_name",TODAY()),B107&lt;&gt;"etf",_xll.YCI("M:" &amp; A107, "security_name",TODAY()))</f>
        <v>#VALUE!</v>
      </c>
      <c r="D107" t="e" cm="1">
        <f t="array" aca="1" ref="D107" ca="1">_xlfn.IFS($B107="etf", _xll.YCI($A107, "ycharts_benchmark_category",TODAY()),$B107&lt;&gt;"etf",_xll.YCI("M:" &amp; $A107, "ycharts_benchmark_category",TODAY()))</f>
        <v>#VALUE!</v>
      </c>
      <c r="E107" t="e" cm="1">
        <f t="array" aca="1" ref="E107" ca="1">_xlfn.IFS($B107="etf", _xll.YCI($A107, "ycharts_benchmark_index_symbol",TODAY()),$B107&lt;&gt;"etf",_xll.YCI("M:" &amp; $A107, "ycharts_benchmark_index_symbol",TODAY()))</f>
        <v>#VALUE!</v>
      </c>
      <c r="F107" t="e" cm="1">
        <f t="array" aca="1" ref="F107" ca="1">_xlfn.IFS($B107="etf", _xll.YCI($E107, "security_name",TODAY()),$B107&lt;&gt;"etf",_xll.YCI( $E107, "security_name",TODAY()))</f>
        <v>#VALUE!</v>
      </c>
      <c r="G107" t="e" cm="1">
        <f t="array" aca="1" ref="G107" ca="1">_xlfn.IFS($B107="etf", _xll.YCI($A107, "prospectus_benchmark_index",TODAY()),$B107&lt;&gt;"etf",_xll.YCI("M:" &amp; $A107, "prospectus_benchmark_index",TODAY()))</f>
        <v>#VALUE!</v>
      </c>
      <c r="H107" s="2" t="e" cm="1">
        <f t="array" aca="1" ref="H107" ca="1">_xlfn.IFS($B107="etf", _xll.YCP($A107,"quarterly_total_return",'Database Query'!$E$14),$B107&lt;&gt;"etf",_xll.YCP("M:"&amp; $A107,"quarterly_total_return",'Database Query'!$E$14))</f>
        <v>#VALUE!</v>
      </c>
      <c r="I107" s="2" t="e" cm="1">
        <f t="array" aca="1" ref="I107" ca="1">-_xll.YCP($E107,"quarterly_return",'Database Query'!$E$14)+H107</f>
        <v>#VALUE!</v>
      </c>
      <c r="J107" s="2" t="e" cm="1">
        <f t="array" aca="1" ref="J107" ca="1">_xlfn.IFS($B107="etf", _xll.YCP($A107,"ytd_total_return",'Database Query'!$E$14),$B107&lt;&gt;"etf",_xll.YCP("M:"&amp; $A107,"ytd_total_return",'Database Query'!$E$14))</f>
        <v>#VALUE!</v>
      </c>
      <c r="K107" s="2" t="e" cm="1">
        <f t="array" aca="1" ref="K107" ca="1">-_xll.YCP($E107,"ytd_return",'Database Query'!$E$14)+J107</f>
        <v>#VALUE!</v>
      </c>
      <c r="L107" s="2" t="e" cm="1">
        <f t="array" aca="1" ref="L107" ca="1">_xlfn.IFS($B107="etf", _xll.YCP($A107,"one_year_total_return",'Database Query'!$E$14),$B107&lt;&gt;"etf",_xll.YCP("M:"&amp; $A107,"one_year_total_return",'Database Query'!$E$14))</f>
        <v>#VALUE!</v>
      </c>
      <c r="M107" s="2" t="e" cm="1">
        <f t="array" aca="1" ref="M107" ca="1">-_xll.YCP($E107,"one_year_return",'Database Query'!$E$14)+L107</f>
        <v>#VALUE!</v>
      </c>
      <c r="N107" s="2" t="e" cm="1">
        <f t="array" aca="1" ref="N107" ca="1">_xlfn.IFS($B107="etf", _xll.YCP($A107,"three_year_total_return",'Database Query'!$E$14),$B107&lt;&gt;"etf",_xll.YCP("M:"&amp; $A107,"three_year_total_return",'Database Query'!$E$14))</f>
        <v>#VALUE!</v>
      </c>
      <c r="O107" s="2" t="e" cm="1">
        <f t="array" aca="1" ref="O107" ca="1">-_xll.YCP($E107,"three_year_return",'Database Query'!$E$14)+N107</f>
        <v>#VALUE!</v>
      </c>
      <c r="P107" s="2" t="e" cm="1">
        <f t="array" aca="1" ref="P107" ca="1">_xlfn.IFS($B107="etf", _xll.YCP($A107,"five_year_total_return",'Database Query'!$E$14),$B107&lt;&gt;"etf",_xll.YCP("M:"&amp; $A107,"five_year_total_return",'Database Query'!$E$14))</f>
        <v>#VALUE!</v>
      </c>
      <c r="Q107" s="2" t="e" cm="1">
        <f t="array" aca="1" ref="Q107" ca="1">-_xll.YCP($E107,"five_year_return",'Database Query'!$E$14)+P107</f>
        <v>#VALUE!</v>
      </c>
    </row>
    <row r="108" spans="1:17" x14ac:dyDescent="0.25">
      <c r="A108" t="str">
        <v>GRIFX</v>
      </c>
      <c r="B108" t="e" cm="1">
        <f t="array" aca="1" ref="B108" ca="1">_xll.YCI(A108,"detailed_security_type",TODAY())</f>
        <v>#VALUE!</v>
      </c>
      <c r="C108" t="e" cm="1">
        <f t="array" aca="1" ref="C108" ca="1">_xlfn.IFS(B108="etf", _xll.YCI(A108, "security_name",TODAY()),B108&lt;&gt;"etf",_xll.YCI("M:" &amp; A108, "security_name",TODAY()))</f>
        <v>#VALUE!</v>
      </c>
      <c r="D108" t="e" cm="1">
        <f t="array" aca="1" ref="D108" ca="1">_xlfn.IFS($B108="etf", _xll.YCI($A108, "ycharts_benchmark_category",TODAY()),$B108&lt;&gt;"etf",_xll.YCI("M:" &amp; $A108, "ycharts_benchmark_category",TODAY()))</f>
        <v>#VALUE!</v>
      </c>
      <c r="E108" t="e" cm="1">
        <f t="array" aca="1" ref="E108" ca="1">_xlfn.IFS($B108="etf", _xll.YCI($A108, "ycharts_benchmark_index_symbol",TODAY()),$B108&lt;&gt;"etf",_xll.YCI("M:" &amp; $A108, "ycharts_benchmark_index_symbol",TODAY()))</f>
        <v>#VALUE!</v>
      </c>
      <c r="F108" t="e" cm="1">
        <f t="array" aca="1" ref="F108" ca="1">_xlfn.IFS($B108="etf", _xll.YCI($E108, "security_name",TODAY()),$B108&lt;&gt;"etf",_xll.YCI( $E108, "security_name",TODAY()))</f>
        <v>#VALUE!</v>
      </c>
      <c r="G108" t="e" cm="1">
        <f t="array" aca="1" ref="G108" ca="1">_xlfn.IFS($B108="etf", _xll.YCI($A108, "prospectus_benchmark_index",TODAY()),$B108&lt;&gt;"etf",_xll.YCI("M:" &amp; $A108, "prospectus_benchmark_index",TODAY()))</f>
        <v>#VALUE!</v>
      </c>
      <c r="H108" s="2" t="e" cm="1">
        <f t="array" aca="1" ref="H108" ca="1">_xlfn.IFS($B108="etf", _xll.YCP($A108,"quarterly_total_return",'Database Query'!$E$14),$B108&lt;&gt;"etf",_xll.YCP("M:"&amp; $A108,"quarterly_total_return",'Database Query'!$E$14))</f>
        <v>#VALUE!</v>
      </c>
      <c r="I108" s="2" t="e" cm="1">
        <f t="array" aca="1" ref="I108" ca="1">-_xll.YCP($E108,"quarterly_return",'Database Query'!$E$14)+H108</f>
        <v>#VALUE!</v>
      </c>
      <c r="J108" s="2" t="e" cm="1">
        <f t="array" aca="1" ref="J108" ca="1">_xlfn.IFS($B108="etf", _xll.YCP($A108,"ytd_total_return",'Database Query'!$E$14),$B108&lt;&gt;"etf",_xll.YCP("M:"&amp; $A108,"ytd_total_return",'Database Query'!$E$14))</f>
        <v>#VALUE!</v>
      </c>
      <c r="K108" s="2" t="e" cm="1">
        <f t="array" aca="1" ref="K108" ca="1">-_xll.YCP($E108,"ytd_return",'Database Query'!$E$14)+J108</f>
        <v>#VALUE!</v>
      </c>
      <c r="L108" s="2" t="e" cm="1">
        <f t="array" aca="1" ref="L108" ca="1">_xlfn.IFS($B108="etf", _xll.YCP($A108,"one_year_total_return",'Database Query'!$E$14),$B108&lt;&gt;"etf",_xll.YCP("M:"&amp; $A108,"one_year_total_return",'Database Query'!$E$14))</f>
        <v>#VALUE!</v>
      </c>
      <c r="M108" s="2" t="e" cm="1">
        <f t="array" aca="1" ref="M108" ca="1">-_xll.YCP($E108,"one_year_return",'Database Query'!$E$14)+L108</f>
        <v>#VALUE!</v>
      </c>
      <c r="N108" s="2" t="e" cm="1">
        <f t="array" aca="1" ref="N108" ca="1">_xlfn.IFS($B108="etf", _xll.YCP($A108,"three_year_total_return",'Database Query'!$E$14),$B108&lt;&gt;"etf",_xll.YCP("M:"&amp; $A108,"three_year_total_return",'Database Query'!$E$14))</f>
        <v>#VALUE!</v>
      </c>
      <c r="O108" s="2" t="e" cm="1">
        <f t="array" aca="1" ref="O108" ca="1">-_xll.YCP($E108,"three_year_return",'Database Query'!$E$14)+N108</f>
        <v>#VALUE!</v>
      </c>
      <c r="P108" s="2" t="e" cm="1">
        <f t="array" aca="1" ref="P108" ca="1">_xlfn.IFS($B108="etf", _xll.YCP($A108,"five_year_total_return",'Database Query'!$E$14),$B108&lt;&gt;"etf",_xll.YCP("M:"&amp; $A108,"five_year_total_return",'Database Query'!$E$14))</f>
        <v>#VALUE!</v>
      </c>
      <c r="Q108" s="2" t="e" cm="1">
        <f t="array" aca="1" ref="Q108" ca="1">-_xll.YCP($E108,"five_year_return",'Database Query'!$E$14)+P108</f>
        <v>#VALUE!</v>
      </c>
    </row>
    <row r="109" spans="1:17" x14ac:dyDescent="0.25">
      <c r="A109" t="str">
        <v>GSIMX</v>
      </c>
      <c r="B109" t="e" cm="1">
        <f t="array" aca="1" ref="B109" ca="1">_xll.YCI(A109,"detailed_security_type",TODAY())</f>
        <v>#VALUE!</v>
      </c>
      <c r="C109" t="e" cm="1">
        <f t="array" aca="1" ref="C109" ca="1">_xlfn.IFS(B109="etf", _xll.YCI(A109, "security_name",TODAY()),B109&lt;&gt;"etf",_xll.YCI("M:" &amp; A109, "security_name",TODAY()))</f>
        <v>#VALUE!</v>
      </c>
      <c r="D109" t="e" cm="1">
        <f t="array" aca="1" ref="D109" ca="1">_xlfn.IFS($B109="etf", _xll.YCI($A109, "ycharts_benchmark_category",TODAY()),$B109&lt;&gt;"etf",_xll.YCI("M:" &amp; $A109, "ycharts_benchmark_category",TODAY()))</f>
        <v>#VALUE!</v>
      </c>
      <c r="E109" t="e" cm="1">
        <f t="array" aca="1" ref="E109" ca="1">_xlfn.IFS($B109="etf", _xll.YCI($A109, "ycharts_benchmark_index_symbol",TODAY()),$B109&lt;&gt;"etf",_xll.YCI("M:" &amp; $A109, "ycharts_benchmark_index_symbol",TODAY()))</f>
        <v>#VALUE!</v>
      </c>
      <c r="F109" t="e" cm="1">
        <f t="array" aca="1" ref="F109" ca="1">_xlfn.IFS($B109="etf", _xll.YCI($E109, "security_name",TODAY()),$B109&lt;&gt;"etf",_xll.YCI( $E109, "security_name",TODAY()))</f>
        <v>#VALUE!</v>
      </c>
      <c r="G109" t="e" cm="1">
        <f t="array" aca="1" ref="G109" ca="1">_xlfn.IFS($B109="etf", _xll.YCI($A109, "prospectus_benchmark_index",TODAY()),$B109&lt;&gt;"etf",_xll.YCI("M:" &amp; $A109, "prospectus_benchmark_index",TODAY()))</f>
        <v>#VALUE!</v>
      </c>
      <c r="H109" s="2" t="e" cm="1">
        <f t="array" aca="1" ref="H109" ca="1">_xlfn.IFS($B109="etf", _xll.YCP($A109,"quarterly_total_return",'Database Query'!$E$14),$B109&lt;&gt;"etf",_xll.YCP("M:"&amp; $A109,"quarterly_total_return",'Database Query'!$E$14))</f>
        <v>#VALUE!</v>
      </c>
      <c r="I109" s="2" t="e" cm="1">
        <f t="array" aca="1" ref="I109" ca="1">-_xll.YCP($E109,"quarterly_return",'Database Query'!$E$14)+H109</f>
        <v>#VALUE!</v>
      </c>
      <c r="J109" s="2" t="e" cm="1">
        <f t="array" aca="1" ref="J109" ca="1">_xlfn.IFS($B109="etf", _xll.YCP($A109,"ytd_total_return",'Database Query'!$E$14),$B109&lt;&gt;"etf",_xll.YCP("M:"&amp; $A109,"ytd_total_return",'Database Query'!$E$14))</f>
        <v>#VALUE!</v>
      </c>
      <c r="K109" s="2" t="e" cm="1">
        <f t="array" aca="1" ref="K109" ca="1">-_xll.YCP($E109,"ytd_return",'Database Query'!$E$14)+J109</f>
        <v>#VALUE!</v>
      </c>
      <c r="L109" s="2" t="e" cm="1">
        <f t="array" aca="1" ref="L109" ca="1">_xlfn.IFS($B109="etf", _xll.YCP($A109,"one_year_total_return",'Database Query'!$E$14),$B109&lt;&gt;"etf",_xll.YCP("M:"&amp; $A109,"one_year_total_return",'Database Query'!$E$14))</f>
        <v>#VALUE!</v>
      </c>
      <c r="M109" s="2" t="e" cm="1">
        <f t="array" aca="1" ref="M109" ca="1">-_xll.YCP($E109,"one_year_return",'Database Query'!$E$14)+L109</f>
        <v>#VALUE!</v>
      </c>
      <c r="N109" s="2" t="e" cm="1">
        <f t="array" aca="1" ref="N109" ca="1">_xlfn.IFS($B109="etf", _xll.YCP($A109,"three_year_total_return",'Database Query'!$E$14),$B109&lt;&gt;"etf",_xll.YCP("M:"&amp; $A109,"three_year_total_return",'Database Query'!$E$14))</f>
        <v>#VALUE!</v>
      </c>
      <c r="O109" s="2" t="e" cm="1">
        <f t="array" aca="1" ref="O109" ca="1">-_xll.YCP($E109,"three_year_return",'Database Query'!$E$14)+N109</f>
        <v>#VALUE!</v>
      </c>
      <c r="P109" s="2" t="e" cm="1">
        <f t="array" aca="1" ref="P109" ca="1">_xlfn.IFS($B109="etf", _xll.YCP($A109,"five_year_total_return",'Database Query'!$E$14),$B109&lt;&gt;"etf",_xll.YCP("M:"&amp; $A109,"five_year_total_return",'Database Query'!$E$14))</f>
        <v>#VALUE!</v>
      </c>
      <c r="Q109" s="2" t="e" cm="1">
        <f t="array" aca="1" ref="Q109" ca="1">-_xll.YCP($E109,"five_year_return",'Database Query'!$E$14)+P109</f>
        <v>#VALUE!</v>
      </c>
    </row>
    <row r="110" spans="1:17" x14ac:dyDescent="0.25">
      <c r="A110" t="str">
        <v>GSINX</v>
      </c>
      <c r="B110" t="e" cm="1">
        <f t="array" aca="1" ref="B110" ca="1">_xll.YCI(A110,"detailed_security_type",TODAY())</f>
        <v>#VALUE!</v>
      </c>
      <c r="C110" t="e" cm="1">
        <f t="array" aca="1" ref="C110" ca="1">_xlfn.IFS(B110="etf", _xll.YCI(A110, "security_name",TODAY()),B110&lt;&gt;"etf",_xll.YCI("M:" &amp; A110, "security_name",TODAY()))</f>
        <v>#VALUE!</v>
      </c>
      <c r="D110" t="e" cm="1">
        <f t="array" aca="1" ref="D110" ca="1">_xlfn.IFS($B110="etf", _xll.YCI($A110, "ycharts_benchmark_category",TODAY()),$B110&lt;&gt;"etf",_xll.YCI("M:" &amp; $A110, "ycharts_benchmark_category",TODAY()))</f>
        <v>#VALUE!</v>
      </c>
      <c r="E110" t="e" cm="1">
        <f t="array" aca="1" ref="E110" ca="1">_xlfn.IFS($B110="etf", _xll.YCI($A110, "ycharts_benchmark_index_symbol",TODAY()),$B110&lt;&gt;"etf",_xll.YCI("M:" &amp; $A110, "ycharts_benchmark_index_symbol",TODAY()))</f>
        <v>#VALUE!</v>
      </c>
      <c r="F110" t="e" cm="1">
        <f t="array" aca="1" ref="F110" ca="1">_xlfn.IFS($B110="etf", _xll.YCI($E110, "security_name",TODAY()),$B110&lt;&gt;"etf",_xll.YCI( $E110, "security_name",TODAY()))</f>
        <v>#VALUE!</v>
      </c>
      <c r="G110" t="e" cm="1">
        <f t="array" aca="1" ref="G110" ca="1">_xlfn.IFS($B110="etf", _xll.YCI($A110, "prospectus_benchmark_index",TODAY()),$B110&lt;&gt;"etf",_xll.YCI("M:" &amp; $A110, "prospectus_benchmark_index",TODAY()))</f>
        <v>#VALUE!</v>
      </c>
      <c r="H110" s="2" t="e" cm="1">
        <f t="array" aca="1" ref="H110" ca="1">_xlfn.IFS($B110="etf", _xll.YCP($A110,"quarterly_total_return",'Database Query'!$E$14),$B110&lt;&gt;"etf",_xll.YCP("M:"&amp; $A110,"quarterly_total_return",'Database Query'!$E$14))</f>
        <v>#VALUE!</v>
      </c>
      <c r="I110" s="2" t="e" cm="1">
        <f t="array" aca="1" ref="I110" ca="1">-_xll.YCP($E110,"quarterly_return",'Database Query'!$E$14)+H110</f>
        <v>#VALUE!</v>
      </c>
      <c r="J110" s="2" t="e" cm="1">
        <f t="array" aca="1" ref="J110" ca="1">_xlfn.IFS($B110="etf", _xll.YCP($A110,"ytd_total_return",'Database Query'!$E$14),$B110&lt;&gt;"etf",_xll.YCP("M:"&amp; $A110,"ytd_total_return",'Database Query'!$E$14))</f>
        <v>#VALUE!</v>
      </c>
      <c r="K110" s="2" t="e" cm="1">
        <f t="array" aca="1" ref="K110" ca="1">-_xll.YCP($E110,"ytd_return",'Database Query'!$E$14)+J110</f>
        <v>#VALUE!</v>
      </c>
      <c r="L110" s="2" t="e" cm="1">
        <f t="array" aca="1" ref="L110" ca="1">_xlfn.IFS($B110="etf", _xll.YCP($A110,"one_year_total_return",'Database Query'!$E$14),$B110&lt;&gt;"etf",_xll.YCP("M:"&amp; $A110,"one_year_total_return",'Database Query'!$E$14))</f>
        <v>#VALUE!</v>
      </c>
      <c r="M110" s="2" t="e" cm="1">
        <f t="array" aca="1" ref="M110" ca="1">-_xll.YCP($E110,"one_year_return",'Database Query'!$E$14)+L110</f>
        <v>#VALUE!</v>
      </c>
      <c r="N110" s="2" t="e" cm="1">
        <f t="array" aca="1" ref="N110" ca="1">_xlfn.IFS($B110="etf", _xll.YCP($A110,"three_year_total_return",'Database Query'!$E$14),$B110&lt;&gt;"etf",_xll.YCP("M:"&amp; $A110,"three_year_total_return",'Database Query'!$E$14))</f>
        <v>#VALUE!</v>
      </c>
      <c r="O110" s="2" t="e" cm="1">
        <f t="array" aca="1" ref="O110" ca="1">-_xll.YCP($E110,"three_year_return",'Database Query'!$E$14)+N110</f>
        <v>#VALUE!</v>
      </c>
      <c r="P110" s="2" t="e" cm="1">
        <f t="array" aca="1" ref="P110" ca="1">_xlfn.IFS($B110="etf", _xll.YCP($A110,"five_year_total_return",'Database Query'!$E$14),$B110&lt;&gt;"etf",_xll.YCP("M:"&amp; $A110,"five_year_total_return",'Database Query'!$E$14))</f>
        <v>#VALUE!</v>
      </c>
      <c r="Q110" s="2" t="e" cm="1">
        <f t="array" aca="1" ref="Q110" ca="1">-_xll.YCP($E110,"five_year_return",'Database Query'!$E$14)+P110</f>
        <v>#VALUE!</v>
      </c>
    </row>
    <row r="111" spans="1:17" x14ac:dyDescent="0.25">
      <c r="A111" t="str">
        <v>GSZIX</v>
      </c>
      <c r="B111" t="e" cm="1">
        <f t="array" aca="1" ref="B111" ca="1">_xll.YCI(A111,"detailed_security_type",TODAY())</f>
        <v>#VALUE!</v>
      </c>
      <c r="C111" t="e" cm="1">
        <f t="array" aca="1" ref="C111" ca="1">_xlfn.IFS(B111="etf", _xll.YCI(A111, "security_name",TODAY()),B111&lt;&gt;"etf",_xll.YCI("M:" &amp; A111, "security_name",TODAY()))</f>
        <v>#VALUE!</v>
      </c>
      <c r="D111" t="e" cm="1">
        <f t="array" aca="1" ref="D111" ca="1">_xlfn.IFS($B111="etf", _xll.YCI($A111, "ycharts_benchmark_category",TODAY()),$B111&lt;&gt;"etf",_xll.YCI("M:" &amp; $A111, "ycharts_benchmark_category",TODAY()))</f>
        <v>#VALUE!</v>
      </c>
      <c r="E111" t="e" cm="1">
        <f t="array" aca="1" ref="E111" ca="1">_xlfn.IFS($B111="etf", _xll.YCI($A111, "ycharts_benchmark_index_symbol",TODAY()),$B111&lt;&gt;"etf",_xll.YCI("M:" &amp; $A111, "ycharts_benchmark_index_symbol",TODAY()))</f>
        <v>#VALUE!</v>
      </c>
      <c r="F111" t="e" cm="1">
        <f t="array" aca="1" ref="F111" ca="1">_xlfn.IFS($B111="etf", _xll.YCI($E111, "security_name",TODAY()),$B111&lt;&gt;"etf",_xll.YCI( $E111, "security_name",TODAY()))</f>
        <v>#VALUE!</v>
      </c>
      <c r="G111" t="e" cm="1">
        <f t="array" aca="1" ref="G111" ca="1">_xlfn.IFS($B111="etf", _xll.YCI($A111, "prospectus_benchmark_index",TODAY()),$B111&lt;&gt;"etf",_xll.YCI("M:" &amp; $A111, "prospectus_benchmark_index",TODAY()))</f>
        <v>#VALUE!</v>
      </c>
      <c r="H111" s="2" t="e" cm="1">
        <f t="array" aca="1" ref="H111" ca="1">_xlfn.IFS($B111="etf", _xll.YCP($A111,"quarterly_total_return",'Database Query'!$E$14),$B111&lt;&gt;"etf",_xll.YCP("M:"&amp; $A111,"quarterly_total_return",'Database Query'!$E$14))</f>
        <v>#VALUE!</v>
      </c>
      <c r="I111" s="2" t="e" cm="1">
        <f t="array" aca="1" ref="I111" ca="1">-_xll.YCP($E111,"quarterly_return",'Database Query'!$E$14)+H111</f>
        <v>#VALUE!</v>
      </c>
      <c r="J111" s="2" t="e" cm="1">
        <f t="array" aca="1" ref="J111" ca="1">_xlfn.IFS($B111="etf", _xll.YCP($A111,"ytd_total_return",'Database Query'!$E$14),$B111&lt;&gt;"etf",_xll.YCP("M:"&amp; $A111,"ytd_total_return",'Database Query'!$E$14))</f>
        <v>#VALUE!</v>
      </c>
      <c r="K111" s="2" t="e" cm="1">
        <f t="array" aca="1" ref="K111" ca="1">-_xll.YCP($E111,"ytd_return",'Database Query'!$E$14)+J111</f>
        <v>#VALUE!</v>
      </c>
      <c r="L111" s="2" t="e" cm="1">
        <f t="array" aca="1" ref="L111" ca="1">_xlfn.IFS($B111="etf", _xll.YCP($A111,"one_year_total_return",'Database Query'!$E$14),$B111&lt;&gt;"etf",_xll.YCP("M:"&amp; $A111,"one_year_total_return",'Database Query'!$E$14))</f>
        <v>#VALUE!</v>
      </c>
      <c r="M111" s="2" t="e" cm="1">
        <f t="array" aca="1" ref="M111" ca="1">-_xll.YCP($E111,"one_year_return",'Database Query'!$E$14)+L111</f>
        <v>#VALUE!</v>
      </c>
      <c r="N111" s="2" t="e" cm="1">
        <f t="array" aca="1" ref="N111" ca="1">_xlfn.IFS($B111="etf", _xll.YCP($A111,"three_year_total_return",'Database Query'!$E$14),$B111&lt;&gt;"etf",_xll.YCP("M:"&amp; $A111,"three_year_total_return",'Database Query'!$E$14))</f>
        <v>#VALUE!</v>
      </c>
      <c r="O111" s="2" t="e" cm="1">
        <f t="array" aca="1" ref="O111" ca="1">-_xll.YCP($E111,"three_year_return",'Database Query'!$E$14)+N111</f>
        <v>#VALUE!</v>
      </c>
      <c r="P111" s="2" t="e" cm="1">
        <f t="array" aca="1" ref="P111" ca="1">_xlfn.IFS($B111="etf", _xll.YCP($A111,"five_year_total_return",'Database Query'!$E$14),$B111&lt;&gt;"etf",_xll.YCP("M:"&amp; $A111,"five_year_total_return",'Database Query'!$E$14))</f>
        <v>#VALUE!</v>
      </c>
      <c r="Q111" s="2" t="e" cm="1">
        <f t="array" aca="1" ref="Q111" ca="1">-_xll.YCP($E111,"five_year_return",'Database Query'!$E$14)+P111</f>
        <v>#VALUE!</v>
      </c>
    </row>
    <row r="112" spans="1:17" x14ac:dyDescent="0.25">
      <c r="A112" t="str">
        <v>GTSOX</v>
      </c>
      <c r="B112" t="e" cm="1">
        <f t="array" aca="1" ref="B112" ca="1">_xll.YCI(A112,"detailed_security_type",TODAY())</f>
        <v>#VALUE!</v>
      </c>
      <c r="C112" t="e" cm="1">
        <f t="array" aca="1" ref="C112" ca="1">_xlfn.IFS(B112="etf", _xll.YCI(A112, "security_name",TODAY()),B112&lt;&gt;"etf",_xll.YCI("M:" &amp; A112, "security_name",TODAY()))</f>
        <v>#VALUE!</v>
      </c>
      <c r="D112" t="e" cm="1">
        <f t="array" aca="1" ref="D112" ca="1">_xlfn.IFS($B112="etf", _xll.YCI($A112, "ycharts_benchmark_category",TODAY()),$B112&lt;&gt;"etf",_xll.YCI("M:" &amp; $A112, "ycharts_benchmark_category",TODAY()))</f>
        <v>#VALUE!</v>
      </c>
      <c r="E112" t="e" cm="1">
        <f t="array" aca="1" ref="E112" ca="1">_xlfn.IFS($B112="etf", _xll.YCI($A112, "ycharts_benchmark_index_symbol",TODAY()),$B112&lt;&gt;"etf",_xll.YCI("M:" &amp; $A112, "ycharts_benchmark_index_symbol",TODAY()))</f>
        <v>#VALUE!</v>
      </c>
      <c r="F112" t="e" cm="1">
        <f t="array" aca="1" ref="F112" ca="1">_xlfn.IFS($B112="etf", _xll.YCI($E112, "security_name",TODAY()),$B112&lt;&gt;"etf",_xll.YCI( $E112, "security_name",TODAY()))</f>
        <v>#VALUE!</v>
      </c>
      <c r="G112" t="e" cm="1">
        <f t="array" aca="1" ref="G112" ca="1">_xlfn.IFS($B112="etf", _xll.YCI($A112, "prospectus_benchmark_index",TODAY()),$B112&lt;&gt;"etf",_xll.YCI("M:" &amp; $A112, "prospectus_benchmark_index",TODAY()))</f>
        <v>#VALUE!</v>
      </c>
      <c r="H112" s="2" t="e" cm="1">
        <f t="array" aca="1" ref="H112" ca="1">_xlfn.IFS($B112="etf", _xll.YCP($A112,"quarterly_total_return",'Database Query'!$E$14),$B112&lt;&gt;"etf",_xll.YCP("M:"&amp; $A112,"quarterly_total_return",'Database Query'!$E$14))</f>
        <v>#VALUE!</v>
      </c>
      <c r="I112" s="2" t="e" cm="1">
        <f t="array" aca="1" ref="I112" ca="1">-_xll.YCP($E112,"quarterly_return",'Database Query'!$E$14)+H112</f>
        <v>#VALUE!</v>
      </c>
      <c r="J112" s="2" t="e" cm="1">
        <f t="array" aca="1" ref="J112" ca="1">_xlfn.IFS($B112="etf", _xll.YCP($A112,"ytd_total_return",'Database Query'!$E$14),$B112&lt;&gt;"etf",_xll.YCP("M:"&amp; $A112,"ytd_total_return",'Database Query'!$E$14))</f>
        <v>#VALUE!</v>
      </c>
      <c r="K112" s="2" t="e" cm="1">
        <f t="array" aca="1" ref="K112" ca="1">-_xll.YCP($E112,"ytd_return",'Database Query'!$E$14)+J112</f>
        <v>#VALUE!</v>
      </c>
      <c r="L112" s="2" t="e" cm="1">
        <f t="array" aca="1" ref="L112" ca="1">_xlfn.IFS($B112="etf", _xll.YCP($A112,"one_year_total_return",'Database Query'!$E$14),$B112&lt;&gt;"etf",_xll.YCP("M:"&amp; $A112,"one_year_total_return",'Database Query'!$E$14))</f>
        <v>#VALUE!</v>
      </c>
      <c r="M112" s="2" t="e" cm="1">
        <f t="array" aca="1" ref="M112" ca="1">-_xll.YCP($E112,"one_year_return",'Database Query'!$E$14)+L112</f>
        <v>#VALUE!</v>
      </c>
      <c r="N112" s="2" t="e" cm="1">
        <f t="array" aca="1" ref="N112" ca="1">_xlfn.IFS($B112="etf", _xll.YCP($A112,"three_year_total_return",'Database Query'!$E$14),$B112&lt;&gt;"etf",_xll.YCP("M:"&amp; $A112,"three_year_total_return",'Database Query'!$E$14))</f>
        <v>#VALUE!</v>
      </c>
      <c r="O112" s="2" t="e" cm="1">
        <f t="array" aca="1" ref="O112" ca="1">-_xll.YCP($E112,"three_year_return",'Database Query'!$E$14)+N112</f>
        <v>#VALUE!</v>
      </c>
      <c r="P112" s="2" t="e" cm="1">
        <f t="array" aca="1" ref="P112" ca="1">_xlfn.IFS($B112="etf", _xll.YCP($A112,"five_year_total_return",'Database Query'!$E$14),$B112&lt;&gt;"etf",_xll.YCP("M:"&amp; $A112,"five_year_total_return",'Database Query'!$E$14))</f>
        <v>#VALUE!</v>
      </c>
      <c r="Q112" s="2" t="e" cm="1">
        <f t="array" aca="1" ref="Q112" ca="1">-_xll.YCP($E112,"five_year_return",'Database Query'!$E$14)+P112</f>
        <v>#VALUE!</v>
      </c>
    </row>
    <row r="113" spans="1:17" x14ac:dyDescent="0.25">
      <c r="A113" t="str">
        <v>HGIYX</v>
      </c>
      <c r="B113" t="e" cm="1">
        <f t="array" aca="1" ref="B113" ca="1">_xll.YCI(A113,"detailed_security_type",TODAY())</f>
        <v>#VALUE!</v>
      </c>
      <c r="C113" t="e" cm="1">
        <f t="array" aca="1" ref="C113" ca="1">_xlfn.IFS(B113="etf", _xll.YCI(A113, "security_name",TODAY()),B113&lt;&gt;"etf",_xll.YCI("M:" &amp; A113, "security_name",TODAY()))</f>
        <v>#VALUE!</v>
      </c>
      <c r="D113" t="e" cm="1">
        <f t="array" aca="1" ref="D113" ca="1">_xlfn.IFS($B113="etf", _xll.YCI($A113, "ycharts_benchmark_category",TODAY()),$B113&lt;&gt;"etf",_xll.YCI("M:" &amp; $A113, "ycharts_benchmark_category",TODAY()))</f>
        <v>#VALUE!</v>
      </c>
      <c r="E113" t="e" cm="1">
        <f t="array" aca="1" ref="E113" ca="1">_xlfn.IFS($B113="etf", _xll.YCI($A113, "ycharts_benchmark_index_symbol",TODAY()),$B113&lt;&gt;"etf",_xll.YCI("M:" &amp; $A113, "ycharts_benchmark_index_symbol",TODAY()))</f>
        <v>#VALUE!</v>
      </c>
      <c r="F113" t="e" cm="1">
        <f t="array" aca="1" ref="F113" ca="1">_xlfn.IFS($B113="etf", _xll.YCI($E113, "security_name",TODAY()),$B113&lt;&gt;"etf",_xll.YCI( $E113, "security_name",TODAY()))</f>
        <v>#VALUE!</v>
      </c>
      <c r="G113" t="e" cm="1">
        <f t="array" aca="1" ref="G113" ca="1">_xlfn.IFS($B113="etf", _xll.YCI($A113, "prospectus_benchmark_index",TODAY()),$B113&lt;&gt;"etf",_xll.YCI("M:" &amp; $A113, "prospectus_benchmark_index",TODAY()))</f>
        <v>#VALUE!</v>
      </c>
      <c r="H113" s="2" t="e" cm="1">
        <f t="array" aca="1" ref="H113" ca="1">_xlfn.IFS($B113="etf", _xll.YCP($A113,"quarterly_total_return",'Database Query'!$E$14),$B113&lt;&gt;"etf",_xll.YCP("M:"&amp; $A113,"quarterly_total_return",'Database Query'!$E$14))</f>
        <v>#VALUE!</v>
      </c>
      <c r="I113" s="2" t="e" cm="1">
        <f t="array" aca="1" ref="I113" ca="1">-_xll.YCP($E113,"quarterly_return",'Database Query'!$E$14)+H113</f>
        <v>#VALUE!</v>
      </c>
      <c r="J113" s="2" t="e" cm="1">
        <f t="array" aca="1" ref="J113" ca="1">_xlfn.IFS($B113="etf", _xll.YCP($A113,"ytd_total_return",'Database Query'!$E$14),$B113&lt;&gt;"etf",_xll.YCP("M:"&amp; $A113,"ytd_total_return",'Database Query'!$E$14))</f>
        <v>#VALUE!</v>
      </c>
      <c r="K113" s="2" t="e" cm="1">
        <f t="array" aca="1" ref="K113" ca="1">-_xll.YCP($E113,"ytd_return",'Database Query'!$E$14)+J113</f>
        <v>#VALUE!</v>
      </c>
      <c r="L113" s="2" t="e" cm="1">
        <f t="array" aca="1" ref="L113" ca="1">_xlfn.IFS($B113="etf", _xll.YCP($A113,"one_year_total_return",'Database Query'!$E$14),$B113&lt;&gt;"etf",_xll.YCP("M:"&amp; $A113,"one_year_total_return",'Database Query'!$E$14))</f>
        <v>#VALUE!</v>
      </c>
      <c r="M113" s="2" t="e" cm="1">
        <f t="array" aca="1" ref="M113" ca="1">-_xll.YCP($E113,"one_year_return",'Database Query'!$E$14)+L113</f>
        <v>#VALUE!</v>
      </c>
      <c r="N113" s="2" t="e" cm="1">
        <f t="array" aca="1" ref="N113" ca="1">_xlfn.IFS($B113="etf", _xll.YCP($A113,"three_year_total_return",'Database Query'!$E$14),$B113&lt;&gt;"etf",_xll.YCP("M:"&amp; $A113,"three_year_total_return",'Database Query'!$E$14))</f>
        <v>#VALUE!</v>
      </c>
      <c r="O113" s="2" t="e" cm="1">
        <f t="array" aca="1" ref="O113" ca="1">-_xll.YCP($E113,"three_year_return",'Database Query'!$E$14)+N113</f>
        <v>#VALUE!</v>
      </c>
      <c r="P113" s="2" t="e" cm="1">
        <f t="array" aca="1" ref="P113" ca="1">_xlfn.IFS($B113="etf", _xll.YCP($A113,"five_year_total_return",'Database Query'!$E$14),$B113&lt;&gt;"etf",_xll.YCP("M:"&amp; $A113,"five_year_total_return",'Database Query'!$E$14))</f>
        <v>#VALUE!</v>
      </c>
      <c r="Q113" s="2" t="e" cm="1">
        <f t="array" aca="1" ref="Q113" ca="1">-_xll.YCP($E113,"five_year_return",'Database Query'!$E$14)+P113</f>
        <v>#VALUE!</v>
      </c>
    </row>
    <row r="114" spans="1:17" x14ac:dyDescent="0.25">
      <c r="A114" t="str">
        <v>HIEMX</v>
      </c>
      <c r="B114" t="e" cm="1">
        <f t="array" aca="1" ref="B114" ca="1">_xll.YCI(A114,"detailed_security_type",TODAY())</f>
        <v>#VALUE!</v>
      </c>
      <c r="C114" t="e" cm="1">
        <f t="array" aca="1" ref="C114" ca="1">_xlfn.IFS(B114="etf", _xll.YCI(A114, "security_name",TODAY()),B114&lt;&gt;"etf",_xll.YCI("M:" &amp; A114, "security_name",TODAY()))</f>
        <v>#VALUE!</v>
      </c>
      <c r="D114" t="e" cm="1">
        <f t="array" aca="1" ref="D114" ca="1">_xlfn.IFS($B114="etf", _xll.YCI($A114, "ycharts_benchmark_category",TODAY()),$B114&lt;&gt;"etf",_xll.YCI("M:" &amp; $A114, "ycharts_benchmark_category",TODAY()))</f>
        <v>#VALUE!</v>
      </c>
      <c r="E114" t="e" cm="1">
        <f t="array" aca="1" ref="E114" ca="1">_xlfn.IFS($B114="etf", _xll.YCI($A114, "ycharts_benchmark_index_symbol",TODAY()),$B114&lt;&gt;"etf",_xll.YCI("M:" &amp; $A114, "ycharts_benchmark_index_symbol",TODAY()))</f>
        <v>#VALUE!</v>
      </c>
      <c r="F114" t="e" cm="1">
        <f t="array" aca="1" ref="F114" ca="1">_xlfn.IFS($B114="etf", _xll.YCI($E114, "security_name",TODAY()),$B114&lt;&gt;"etf",_xll.YCI( $E114, "security_name",TODAY()))</f>
        <v>#VALUE!</v>
      </c>
      <c r="G114" t="e" cm="1">
        <f t="array" aca="1" ref="G114" ca="1">_xlfn.IFS($B114="etf", _xll.YCI($A114, "prospectus_benchmark_index",TODAY()),$B114&lt;&gt;"etf",_xll.YCI("M:" &amp; $A114, "prospectus_benchmark_index",TODAY()))</f>
        <v>#VALUE!</v>
      </c>
      <c r="H114" s="2" t="e" cm="1">
        <f t="array" aca="1" ref="H114" ca="1">_xlfn.IFS($B114="etf", _xll.YCP($A114,"quarterly_total_return",'Database Query'!$E$14),$B114&lt;&gt;"etf",_xll.YCP("M:"&amp; $A114,"quarterly_total_return",'Database Query'!$E$14))</f>
        <v>#VALUE!</v>
      </c>
      <c r="I114" s="2" t="e" cm="1">
        <f t="array" aca="1" ref="I114" ca="1">-_xll.YCP($E114,"quarterly_return",'Database Query'!$E$14)+H114</f>
        <v>#VALUE!</v>
      </c>
      <c r="J114" s="2" t="e" cm="1">
        <f t="array" aca="1" ref="J114" ca="1">_xlfn.IFS($B114="etf", _xll.YCP($A114,"ytd_total_return",'Database Query'!$E$14),$B114&lt;&gt;"etf",_xll.YCP("M:"&amp; $A114,"ytd_total_return",'Database Query'!$E$14))</f>
        <v>#VALUE!</v>
      </c>
      <c r="K114" s="2" t="e" cm="1">
        <f t="array" aca="1" ref="K114" ca="1">-_xll.YCP($E114,"ytd_return",'Database Query'!$E$14)+J114</f>
        <v>#VALUE!</v>
      </c>
      <c r="L114" s="2" t="e" cm="1">
        <f t="array" aca="1" ref="L114" ca="1">_xlfn.IFS($B114="etf", _xll.YCP($A114,"one_year_total_return",'Database Query'!$E$14),$B114&lt;&gt;"etf",_xll.YCP("M:"&amp; $A114,"one_year_total_return",'Database Query'!$E$14))</f>
        <v>#VALUE!</v>
      </c>
      <c r="M114" s="2" t="e" cm="1">
        <f t="array" aca="1" ref="M114" ca="1">-_xll.YCP($E114,"one_year_return",'Database Query'!$E$14)+L114</f>
        <v>#VALUE!</v>
      </c>
      <c r="N114" s="2" t="e" cm="1">
        <f t="array" aca="1" ref="N114" ca="1">_xlfn.IFS($B114="etf", _xll.YCP($A114,"three_year_total_return",'Database Query'!$E$14),$B114&lt;&gt;"etf",_xll.YCP("M:"&amp; $A114,"three_year_total_return",'Database Query'!$E$14))</f>
        <v>#VALUE!</v>
      </c>
      <c r="O114" s="2" t="e" cm="1">
        <f t="array" aca="1" ref="O114" ca="1">-_xll.YCP($E114,"three_year_return",'Database Query'!$E$14)+N114</f>
        <v>#VALUE!</v>
      </c>
      <c r="P114" s="2" t="e" cm="1">
        <f t="array" aca="1" ref="P114" ca="1">_xlfn.IFS($B114="etf", _xll.YCP($A114,"five_year_total_return",'Database Query'!$E$14),$B114&lt;&gt;"etf",_xll.YCP("M:"&amp; $A114,"five_year_total_return",'Database Query'!$E$14))</f>
        <v>#VALUE!</v>
      </c>
      <c r="Q114" s="2" t="e" cm="1">
        <f t="array" aca="1" ref="Q114" ca="1">-_xll.YCP($E114,"five_year_return",'Database Query'!$E$14)+P114</f>
        <v>#VALUE!</v>
      </c>
    </row>
    <row r="115" spans="1:17" x14ac:dyDescent="0.25">
      <c r="A115" t="str">
        <v>HLIPX</v>
      </c>
      <c r="B115" t="e" cm="1">
        <f t="array" aca="1" ref="B115" ca="1">_xll.YCI(A115,"detailed_security_type",TODAY())</f>
        <v>#VALUE!</v>
      </c>
      <c r="C115" t="e" cm="1">
        <f t="array" aca="1" ref="C115" ca="1">_xlfn.IFS(B115="etf", _xll.YCI(A115, "security_name",TODAY()),B115&lt;&gt;"etf",_xll.YCI("M:" &amp; A115, "security_name",TODAY()))</f>
        <v>#VALUE!</v>
      </c>
      <c r="D115" t="e" cm="1">
        <f t="array" aca="1" ref="D115" ca="1">_xlfn.IFS($B115="etf", _xll.YCI($A115, "ycharts_benchmark_category",TODAY()),$B115&lt;&gt;"etf",_xll.YCI("M:" &amp; $A115, "ycharts_benchmark_category",TODAY()))</f>
        <v>#VALUE!</v>
      </c>
      <c r="E115" t="e" cm="1">
        <f t="array" aca="1" ref="E115" ca="1">_xlfn.IFS($B115="etf", _xll.YCI($A115, "ycharts_benchmark_index_symbol",TODAY()),$B115&lt;&gt;"etf",_xll.YCI("M:" &amp; $A115, "ycharts_benchmark_index_symbol",TODAY()))</f>
        <v>#VALUE!</v>
      </c>
      <c r="F115" t="e" cm="1">
        <f t="array" aca="1" ref="F115" ca="1">_xlfn.IFS($B115="etf", _xll.YCI($E115, "security_name",TODAY()),$B115&lt;&gt;"etf",_xll.YCI( $E115, "security_name",TODAY()))</f>
        <v>#VALUE!</v>
      </c>
      <c r="G115" t="e" cm="1">
        <f t="array" aca="1" ref="G115" ca="1">_xlfn.IFS($B115="etf", _xll.YCI($A115, "prospectus_benchmark_index",TODAY()),$B115&lt;&gt;"etf",_xll.YCI("M:" &amp; $A115, "prospectus_benchmark_index",TODAY()))</f>
        <v>#VALUE!</v>
      </c>
      <c r="H115" s="2" t="e" cm="1">
        <f t="array" aca="1" ref="H115" ca="1">_xlfn.IFS($B115="etf", _xll.YCP($A115,"quarterly_total_return",'Database Query'!$E$14),$B115&lt;&gt;"etf",_xll.YCP("M:"&amp; $A115,"quarterly_total_return",'Database Query'!$E$14))</f>
        <v>#VALUE!</v>
      </c>
      <c r="I115" s="2" t="e" cm="1">
        <f t="array" aca="1" ref="I115" ca="1">-_xll.YCP($E115,"quarterly_return",'Database Query'!$E$14)+H115</f>
        <v>#VALUE!</v>
      </c>
      <c r="J115" s="2" t="e" cm="1">
        <f t="array" aca="1" ref="J115" ca="1">_xlfn.IFS($B115="etf", _xll.YCP($A115,"ytd_total_return",'Database Query'!$E$14),$B115&lt;&gt;"etf",_xll.YCP("M:"&amp; $A115,"ytd_total_return",'Database Query'!$E$14))</f>
        <v>#VALUE!</v>
      </c>
      <c r="K115" s="2" t="e" cm="1">
        <f t="array" aca="1" ref="K115" ca="1">-_xll.YCP($E115,"ytd_return",'Database Query'!$E$14)+J115</f>
        <v>#VALUE!</v>
      </c>
      <c r="L115" s="2" t="e" cm="1">
        <f t="array" aca="1" ref="L115" ca="1">_xlfn.IFS($B115="etf", _xll.YCP($A115,"one_year_total_return",'Database Query'!$E$14),$B115&lt;&gt;"etf",_xll.YCP("M:"&amp; $A115,"one_year_total_return",'Database Query'!$E$14))</f>
        <v>#VALUE!</v>
      </c>
      <c r="M115" s="2" t="e" cm="1">
        <f t="array" aca="1" ref="M115" ca="1">-_xll.YCP($E115,"one_year_return",'Database Query'!$E$14)+L115</f>
        <v>#VALUE!</v>
      </c>
      <c r="N115" s="2" t="e" cm="1">
        <f t="array" aca="1" ref="N115" ca="1">_xlfn.IFS($B115="etf", _xll.YCP($A115,"three_year_total_return",'Database Query'!$E$14),$B115&lt;&gt;"etf",_xll.YCP("M:"&amp; $A115,"three_year_total_return",'Database Query'!$E$14))</f>
        <v>#VALUE!</v>
      </c>
      <c r="O115" s="2" t="e" cm="1">
        <f t="array" aca="1" ref="O115" ca="1">-_xll.YCP($E115,"three_year_return",'Database Query'!$E$14)+N115</f>
        <v>#VALUE!</v>
      </c>
      <c r="P115" s="2" t="e" cm="1">
        <f t="array" aca="1" ref="P115" ca="1">_xlfn.IFS($B115="etf", _xll.YCP($A115,"five_year_total_return",'Database Query'!$E$14),$B115&lt;&gt;"etf",_xll.YCP("M:"&amp; $A115,"five_year_total_return",'Database Query'!$E$14))</f>
        <v>#VALUE!</v>
      </c>
      <c r="Q115" s="2" t="e" cm="1">
        <f t="array" aca="1" ref="Q115" ca="1">-_xll.YCP($E115,"five_year_return",'Database Query'!$E$14)+P115</f>
        <v>#VALUE!</v>
      </c>
    </row>
    <row r="116" spans="1:17" x14ac:dyDescent="0.25">
      <c r="A116" t="str">
        <v>HOBIX</v>
      </c>
      <c r="B116" t="e" cm="1">
        <f t="array" aca="1" ref="B116" ca="1">_xll.YCI(A116,"detailed_security_type",TODAY())</f>
        <v>#VALUE!</v>
      </c>
      <c r="C116" t="e" cm="1">
        <f t="array" aca="1" ref="C116" ca="1">_xlfn.IFS(B116="etf", _xll.YCI(A116, "security_name",TODAY()),B116&lt;&gt;"etf",_xll.YCI("M:" &amp; A116, "security_name",TODAY()))</f>
        <v>#VALUE!</v>
      </c>
      <c r="D116" t="e" cm="1">
        <f t="array" aca="1" ref="D116" ca="1">_xlfn.IFS($B116="etf", _xll.YCI($A116, "ycharts_benchmark_category",TODAY()),$B116&lt;&gt;"etf",_xll.YCI("M:" &amp; $A116, "ycharts_benchmark_category",TODAY()))</f>
        <v>#VALUE!</v>
      </c>
      <c r="E116" t="e" cm="1">
        <f t="array" aca="1" ref="E116" ca="1">_xlfn.IFS($B116="etf", _xll.YCI($A116, "ycharts_benchmark_index_symbol",TODAY()),$B116&lt;&gt;"etf",_xll.YCI("M:" &amp; $A116, "ycharts_benchmark_index_symbol",TODAY()))</f>
        <v>#VALUE!</v>
      </c>
      <c r="F116" t="e" cm="1">
        <f t="array" aca="1" ref="F116" ca="1">_xlfn.IFS($B116="etf", _xll.YCI($E116, "security_name",TODAY()),$B116&lt;&gt;"etf",_xll.YCI( $E116, "security_name",TODAY()))</f>
        <v>#VALUE!</v>
      </c>
      <c r="G116" t="e" cm="1">
        <f t="array" aca="1" ref="G116" ca="1">_xlfn.IFS($B116="etf", _xll.YCI($A116, "prospectus_benchmark_index",TODAY()),$B116&lt;&gt;"etf",_xll.YCI("M:" &amp; $A116, "prospectus_benchmark_index",TODAY()))</f>
        <v>#VALUE!</v>
      </c>
      <c r="H116" s="2" t="e" cm="1">
        <f t="array" aca="1" ref="H116" ca="1">_xlfn.IFS($B116="etf", _xll.YCP($A116,"quarterly_total_return",'Database Query'!$E$14),$B116&lt;&gt;"etf",_xll.YCP("M:"&amp; $A116,"quarterly_total_return",'Database Query'!$E$14))</f>
        <v>#VALUE!</v>
      </c>
      <c r="I116" s="2" t="e" cm="1">
        <f t="array" aca="1" ref="I116" ca="1">-_xll.YCP($E116,"quarterly_return",'Database Query'!$E$14)+H116</f>
        <v>#VALUE!</v>
      </c>
      <c r="J116" s="2" t="e" cm="1">
        <f t="array" aca="1" ref="J116" ca="1">_xlfn.IFS($B116="etf", _xll.YCP($A116,"ytd_total_return",'Database Query'!$E$14),$B116&lt;&gt;"etf",_xll.YCP("M:"&amp; $A116,"ytd_total_return",'Database Query'!$E$14))</f>
        <v>#VALUE!</v>
      </c>
      <c r="K116" s="2" t="e" cm="1">
        <f t="array" aca="1" ref="K116" ca="1">-_xll.YCP($E116,"ytd_return",'Database Query'!$E$14)+J116</f>
        <v>#VALUE!</v>
      </c>
      <c r="L116" s="2" t="e" cm="1">
        <f t="array" aca="1" ref="L116" ca="1">_xlfn.IFS($B116="etf", _xll.YCP($A116,"one_year_total_return",'Database Query'!$E$14),$B116&lt;&gt;"etf",_xll.YCP("M:"&amp; $A116,"one_year_total_return",'Database Query'!$E$14))</f>
        <v>#VALUE!</v>
      </c>
      <c r="M116" s="2" t="e" cm="1">
        <f t="array" aca="1" ref="M116" ca="1">-_xll.YCP($E116,"one_year_return",'Database Query'!$E$14)+L116</f>
        <v>#VALUE!</v>
      </c>
      <c r="N116" s="2" t="e" cm="1">
        <f t="array" aca="1" ref="N116" ca="1">_xlfn.IFS($B116="etf", _xll.YCP($A116,"three_year_total_return",'Database Query'!$E$14),$B116&lt;&gt;"etf",_xll.YCP("M:"&amp; $A116,"three_year_total_return",'Database Query'!$E$14))</f>
        <v>#VALUE!</v>
      </c>
      <c r="O116" s="2" t="e" cm="1">
        <f t="array" aca="1" ref="O116" ca="1">-_xll.YCP($E116,"three_year_return",'Database Query'!$E$14)+N116</f>
        <v>#VALUE!</v>
      </c>
      <c r="P116" s="2" t="e" cm="1">
        <f t="array" aca="1" ref="P116" ca="1">_xlfn.IFS($B116="etf", _xll.YCP($A116,"five_year_total_return",'Database Query'!$E$14),$B116&lt;&gt;"etf",_xll.YCP("M:"&amp; $A116,"five_year_total_return",'Database Query'!$E$14))</f>
        <v>#VALUE!</v>
      </c>
      <c r="Q116" s="2" t="e" cm="1">
        <f t="array" aca="1" ref="Q116" ca="1">-_xll.YCP($E116,"five_year_return",'Database Query'!$E$14)+P116</f>
        <v>#VALUE!</v>
      </c>
    </row>
    <row r="117" spans="1:17" x14ac:dyDescent="0.25">
      <c r="A117" t="str">
        <v>HRSMX</v>
      </c>
      <c r="B117" t="e" cm="1">
        <f t="array" aca="1" ref="B117" ca="1">_xll.YCI(A117,"detailed_security_type",TODAY())</f>
        <v>#VALUE!</v>
      </c>
      <c r="C117" t="e" cm="1">
        <f t="array" aca="1" ref="C117" ca="1">_xlfn.IFS(B117="etf", _xll.YCI(A117, "security_name",TODAY()),B117&lt;&gt;"etf",_xll.YCI("M:" &amp; A117, "security_name",TODAY()))</f>
        <v>#VALUE!</v>
      </c>
      <c r="D117" t="e" cm="1">
        <f t="array" aca="1" ref="D117" ca="1">_xlfn.IFS($B117="etf", _xll.YCI($A117, "ycharts_benchmark_category",TODAY()),$B117&lt;&gt;"etf",_xll.YCI("M:" &amp; $A117, "ycharts_benchmark_category",TODAY()))</f>
        <v>#VALUE!</v>
      </c>
      <c r="E117" t="e" cm="1">
        <f t="array" aca="1" ref="E117" ca="1">_xlfn.IFS($B117="etf", _xll.YCI($A117, "ycharts_benchmark_index_symbol",TODAY()),$B117&lt;&gt;"etf",_xll.YCI("M:" &amp; $A117, "ycharts_benchmark_index_symbol",TODAY()))</f>
        <v>#VALUE!</v>
      </c>
      <c r="F117" t="e" cm="1">
        <f t="array" aca="1" ref="F117" ca="1">_xlfn.IFS($B117="etf", _xll.YCI($E117, "security_name",TODAY()),$B117&lt;&gt;"etf",_xll.YCI( $E117, "security_name",TODAY()))</f>
        <v>#VALUE!</v>
      </c>
      <c r="G117" t="e" cm="1">
        <f t="array" aca="1" ref="G117" ca="1">_xlfn.IFS($B117="etf", _xll.YCI($A117, "prospectus_benchmark_index",TODAY()),$B117&lt;&gt;"etf",_xll.YCI("M:" &amp; $A117, "prospectus_benchmark_index",TODAY()))</f>
        <v>#VALUE!</v>
      </c>
      <c r="H117" s="2" t="e" cm="1">
        <f t="array" aca="1" ref="H117" ca="1">_xlfn.IFS($B117="etf", _xll.YCP($A117,"quarterly_total_return",'Database Query'!$E$14),$B117&lt;&gt;"etf",_xll.YCP("M:"&amp; $A117,"quarterly_total_return",'Database Query'!$E$14))</f>
        <v>#VALUE!</v>
      </c>
      <c r="I117" s="2" t="e" cm="1">
        <f t="array" aca="1" ref="I117" ca="1">-_xll.YCP($E117,"quarterly_return",'Database Query'!$E$14)+H117</f>
        <v>#VALUE!</v>
      </c>
      <c r="J117" s="2" t="e" cm="1">
        <f t="array" aca="1" ref="J117" ca="1">_xlfn.IFS($B117="etf", _xll.YCP($A117,"ytd_total_return",'Database Query'!$E$14),$B117&lt;&gt;"etf",_xll.YCP("M:"&amp; $A117,"ytd_total_return",'Database Query'!$E$14))</f>
        <v>#VALUE!</v>
      </c>
      <c r="K117" s="2" t="e" cm="1">
        <f t="array" aca="1" ref="K117" ca="1">-_xll.YCP($E117,"ytd_return",'Database Query'!$E$14)+J117</f>
        <v>#VALUE!</v>
      </c>
      <c r="L117" s="2" t="e" cm="1">
        <f t="array" aca="1" ref="L117" ca="1">_xlfn.IFS($B117="etf", _xll.YCP($A117,"one_year_total_return",'Database Query'!$E$14),$B117&lt;&gt;"etf",_xll.YCP("M:"&amp; $A117,"one_year_total_return",'Database Query'!$E$14))</f>
        <v>#VALUE!</v>
      </c>
      <c r="M117" s="2" t="e" cm="1">
        <f t="array" aca="1" ref="M117" ca="1">-_xll.YCP($E117,"one_year_return",'Database Query'!$E$14)+L117</f>
        <v>#VALUE!</v>
      </c>
      <c r="N117" s="2" t="e" cm="1">
        <f t="array" aca="1" ref="N117" ca="1">_xlfn.IFS($B117="etf", _xll.YCP($A117,"three_year_total_return",'Database Query'!$E$14),$B117&lt;&gt;"etf",_xll.YCP("M:"&amp; $A117,"three_year_total_return",'Database Query'!$E$14))</f>
        <v>#VALUE!</v>
      </c>
      <c r="O117" s="2" t="e" cm="1">
        <f t="array" aca="1" ref="O117" ca="1">-_xll.YCP($E117,"three_year_return",'Database Query'!$E$14)+N117</f>
        <v>#VALUE!</v>
      </c>
      <c r="P117" s="2" t="e" cm="1">
        <f t="array" aca="1" ref="P117" ca="1">_xlfn.IFS($B117="etf", _xll.YCP($A117,"five_year_total_return",'Database Query'!$E$14),$B117&lt;&gt;"etf",_xll.YCP("M:"&amp; $A117,"five_year_total_return",'Database Query'!$E$14))</f>
        <v>#VALUE!</v>
      </c>
      <c r="Q117" s="2" t="e" cm="1">
        <f t="array" aca="1" ref="Q117" ca="1">-_xll.YCP($E117,"five_year_return",'Database Query'!$E$14)+P117</f>
        <v>#VALUE!</v>
      </c>
    </row>
    <row r="118" spans="1:17" x14ac:dyDescent="0.25">
      <c r="A118" t="str">
        <v>HYG</v>
      </c>
      <c r="B118" t="str" cm="1">
        <f t="array" aca="1" ref="B118" ca="1">_xll.YCI(A118,"detailed_security_type",TODAY())</f>
        <v>etf</v>
      </c>
      <c r="C118" t="str" cm="1">
        <f t="array" aca="1" ref="C118" ca="1">_xlfn.IFS(B118="etf", _xll.YCI(A118, "security_name",TODAY()),B118&lt;&gt;"etf",_xll.YCI("M:" &amp; A118, "security_name",TODAY()))</f>
        <v>iShares iBoxx $ High Yield Corporate Bond ETF</v>
      </c>
      <c r="D118" t="str" cm="1">
        <f t="array" aca="1" ref="D118" ca="1">_xlfn.IFS($B118="etf", _xll.YCI($A118, "ycharts_benchmark_category",TODAY()),$B118&lt;&gt;"etf",_xll.YCI("M:" &amp; $A118, "ycharts_benchmark_category",TODAY()))</f>
        <v>US High Yield Bond</v>
      </c>
      <c r="E118" t="str" cm="1">
        <f t="array" aca="1" ref="E118" ca="1">_xlfn.IFS($B118="etf", _xll.YCI($A118, "ycharts_benchmark_index_symbol",TODAY()),$B118&lt;&gt;"etf",_xll.YCI("M:" &amp; $A118, "ycharts_benchmark_index_symbol",TODAY()))</f>
        <v>^BBUSCOHYTR</v>
      </c>
      <c r="F118" t="str" cm="1">
        <f t="array" aca="1" ref="F118" ca="1">_xlfn.IFS($B118="etf", _xll.YCI($E118, "security_name",TODAY()),$B118&lt;&gt;"etf",_xll.YCI( $E118, "security_name",TODAY()))</f>
        <v>Bloomberg US Corporate High Yield</v>
      </c>
      <c r="G118" t="str" cm="1">
        <f t="array" aca="1" ref="G118" ca="1">_xlfn.IFS($B118="etf", _xll.YCI($A118, "prospectus_benchmark_index",TODAY()),$B118&lt;&gt;"etf",_xll.YCI("M:" &amp; $A118, "prospectus_benchmark_index",TODAY()))</f>
        <v>Markit iBoxx Liquid High Yield TR USD</v>
      </c>
      <c r="H118" s="2" cm="1">
        <f t="array" aca="1" ref="H118" ca="1">_xlfn.IFS($B118="etf", _xll.YCP($A118,"quarterly_total_return",'Database Query'!$E$14),$B118&lt;&gt;"etf",_xll.YCP("M:"&amp; $A118,"quarterly_total_return",'Database Query'!$E$14))</f>
        <v>-1.14E-3</v>
      </c>
      <c r="I118" s="2" cm="1">
        <f t="array" aca="1" ref="I118" ca="1">-_xll.YCP($E118,"quarterly_return",'Database Query'!$E$14)+H118</f>
        <v>-2.8879999999999999E-3</v>
      </c>
      <c r="J118" s="2" cm="1">
        <f t="array" aca="1" ref="J118" ca="1">_xlfn.IFS($B118="etf", _xll.YCP($A118,"ytd_total_return",'Database Query'!$E$14),$B118&lt;&gt;"etf",_xll.YCP("M:"&amp; $A118,"ytd_total_return",'Database Query'!$E$14))</f>
        <v>7.9677999999999999E-2</v>
      </c>
      <c r="K118" s="2" cm="1">
        <f t="array" aca="1" ref="K118" ca="1">-_xll.YCP($E118,"ytd_return",'Database Query'!$E$14)+J118</f>
        <v>-2.2569999999999951E-3</v>
      </c>
      <c r="L118" s="2" cm="1">
        <f t="array" aca="1" ref="L118" ca="1">_xlfn.IFS($B118="etf", _xll.YCP($A118,"one_year_total_return",'Database Query'!$E$14),$B118&lt;&gt;"etf",_xll.YCP("M:"&amp; $A118,"one_year_total_return",'Database Query'!$E$14))</f>
        <v>7.9677999999999999E-2</v>
      </c>
      <c r="M118" s="2" cm="1">
        <f t="array" aca="1" ref="M118" ca="1">-_xll.YCP($E118,"one_year_return",'Database Query'!$E$14)+L118</f>
        <v>-2.2569999999999951E-3</v>
      </c>
      <c r="N118" s="2" cm="1">
        <f t="array" aca="1" ref="N118" ca="1">_xlfn.IFS($B118="etf", _xll.YCP($A118,"three_year_total_return",'Database Query'!$E$14),$B118&lt;&gt;"etf",_xll.YCP("M:"&amp; $A118,"three_year_total_return",'Database Query'!$E$14))</f>
        <v>7.1773000000000003E-2</v>
      </c>
      <c r="O118" s="2" cm="1">
        <f t="array" aca="1" ref="O118" ca="1">-_xll.YCP($E118,"three_year_return",'Database Query'!$E$14)+N118</f>
        <v>-1.8299999999999997E-2</v>
      </c>
      <c r="P118" s="2" cm="1">
        <f t="array" aca="1" ref="P118" ca="1">_xlfn.IFS($B118="etf", _xll.YCP($A118,"five_year_total_return",'Database Query'!$E$14),$B118&lt;&gt;"etf",_xll.YCP("M:"&amp; $A118,"five_year_total_return",'Database Query'!$E$14))</f>
        <v>0.161716</v>
      </c>
      <c r="Q118" s="2" cm="1">
        <f t="array" aca="1" ref="Q118" ca="1">-_xll.YCP($E118,"five_year_return",'Database Query'!$E$14)+P118</f>
        <v>-6.7520999999999998E-2</v>
      </c>
    </row>
    <row r="119" spans="1:17" x14ac:dyDescent="0.25">
      <c r="A119" t="str">
        <v>HYLB</v>
      </c>
      <c r="B119" t="str" cm="1">
        <f t="array" aca="1" ref="B119" ca="1">_xll.YCI(A119,"detailed_security_type",TODAY())</f>
        <v>etf</v>
      </c>
      <c r="C119" t="str" cm="1">
        <f t="array" aca="1" ref="C119" ca="1">_xlfn.IFS(B119="etf", _xll.YCI(A119, "security_name",TODAY()),B119&lt;&gt;"etf",_xll.YCI("M:" &amp; A119, "security_name",TODAY()))</f>
        <v>Xtrackers USD High Yld Corporate Bd ETF</v>
      </c>
      <c r="D119" t="str" cm="1">
        <f t="array" aca="1" ref="D119" ca="1">_xlfn.IFS($B119="etf", _xll.YCI($A119, "ycharts_benchmark_category",TODAY()),$B119&lt;&gt;"etf",_xll.YCI("M:" &amp; $A119, "ycharts_benchmark_category",TODAY()))</f>
        <v>US High Yield Bond</v>
      </c>
      <c r="E119" t="str" cm="1">
        <f t="array" aca="1" ref="E119" ca="1">_xlfn.IFS($B119="etf", _xll.YCI($A119, "ycharts_benchmark_index_symbol",TODAY()),$B119&lt;&gt;"etf",_xll.YCI("M:" &amp; $A119, "ycharts_benchmark_index_symbol",TODAY()))</f>
        <v>^BBUSCOHYTR</v>
      </c>
      <c r="F119" t="str" cm="1">
        <f t="array" aca="1" ref="F119" ca="1">_xlfn.IFS($B119="etf", _xll.YCI($E119, "security_name",TODAY()),$B119&lt;&gt;"etf",_xll.YCI( $E119, "security_name",TODAY()))</f>
        <v>Bloomberg US Corporate High Yield</v>
      </c>
      <c r="G119" t="str" cm="1">
        <f t="array" aca="1" ref="G119" ca="1">_xlfn.IFS($B119="etf", _xll.YCI($A119, "prospectus_benchmark_index",TODAY()),$B119&lt;&gt;"etf",_xll.YCI("M:" &amp; $A119, "prospectus_benchmark_index",TODAY()))</f>
        <v>Solactive USD HY Corp Total Mkt TR USD</v>
      </c>
      <c r="H119" s="2" cm="1">
        <f t="array" aca="1" ref="H119" ca="1">_xlfn.IFS($B119="etf", _xll.YCP($A119,"quarterly_total_return",'Database Query'!$E$14),$B119&lt;&gt;"etf",_xll.YCP("M:"&amp; $A119,"quarterly_total_return",'Database Query'!$E$14))</f>
        <v>-1.2880000000000001E-3</v>
      </c>
      <c r="I119" s="2" cm="1">
        <f t="array" aca="1" ref="I119" ca="1">-_xll.YCP($E119,"quarterly_return",'Database Query'!$E$14)+H119</f>
        <v>-3.0360000000000001E-3</v>
      </c>
      <c r="J119" s="2" cm="1">
        <f t="array" aca="1" ref="J119" ca="1">_xlfn.IFS($B119="etf", _xll.YCP($A119,"ytd_total_return",'Database Query'!$E$14),$B119&lt;&gt;"etf",_xll.YCP("M:"&amp; $A119,"ytd_total_return",'Database Query'!$E$14))</f>
        <v>8.1412999999999999E-2</v>
      </c>
      <c r="K119" s="2" cm="1">
        <f t="array" aca="1" ref="K119" ca="1">-_xll.YCP($E119,"ytd_return",'Database Query'!$E$14)+J119</f>
        <v>-5.2199999999999469E-4</v>
      </c>
      <c r="L119" s="2" cm="1">
        <f t="array" aca="1" ref="L119" ca="1">_xlfn.IFS($B119="etf", _xll.YCP($A119,"one_year_total_return",'Database Query'!$E$14),$B119&lt;&gt;"etf",_xll.YCP("M:"&amp; $A119,"one_year_total_return",'Database Query'!$E$14))</f>
        <v>8.1412999999999999E-2</v>
      </c>
      <c r="M119" s="2" cm="1">
        <f t="array" aca="1" ref="M119" ca="1">-_xll.YCP($E119,"one_year_return",'Database Query'!$E$14)+L119</f>
        <v>-5.2199999999999469E-4</v>
      </c>
      <c r="N119" s="2" cm="1">
        <f t="array" aca="1" ref="N119" ca="1">_xlfn.IFS($B119="etf", _xll.YCP($A119,"three_year_total_return",'Database Query'!$E$14),$B119&lt;&gt;"etf",_xll.YCP("M:"&amp; $A119,"three_year_total_return",'Database Query'!$E$14))</f>
        <v>8.0438999999999997E-2</v>
      </c>
      <c r="O119" s="2" cm="1">
        <f t="array" aca="1" ref="O119" ca="1">-_xll.YCP($E119,"three_year_return",'Database Query'!$E$14)+N119</f>
        <v>-9.6340000000000037E-3</v>
      </c>
      <c r="P119" s="2" cm="1">
        <f t="array" aca="1" ref="P119" ca="1">_xlfn.IFS($B119="etf", _xll.YCP($A119,"five_year_total_return",'Database Query'!$E$14),$B119&lt;&gt;"etf",_xll.YCP("M:"&amp; $A119,"five_year_total_return",'Database Query'!$E$14))</f>
        <v>0.17949200000000001</v>
      </c>
      <c r="Q119" s="2" cm="1">
        <f t="array" aca="1" ref="Q119" ca="1">-_xll.YCP($E119,"five_year_return",'Database Query'!$E$14)+P119</f>
        <v>-4.9744999999999984E-2</v>
      </c>
    </row>
    <row r="120" spans="1:17" x14ac:dyDescent="0.25">
      <c r="A120" t="str">
        <v>HYMB</v>
      </c>
      <c r="B120" t="str" cm="1">
        <f t="array" aca="1" ref="B120" ca="1">_xll.YCI(A120,"detailed_security_type",TODAY())</f>
        <v>etf</v>
      </c>
      <c r="C120" t="str" cm="1">
        <f t="array" aca="1" ref="C120" ca="1">_xlfn.IFS(B120="etf", _xll.YCI(A120, "security_name",TODAY()),B120&lt;&gt;"etf",_xll.YCI("M:" &amp; A120, "security_name",TODAY()))</f>
        <v>SPDR Nuveen Bloomberg High Yield Municipal Bd ETF</v>
      </c>
      <c r="D120" t="str" cm="1">
        <f t="array" aca="1" ref="D120" ca="1">_xlfn.IFS($B120="etf", _xll.YCI($A120, "ycharts_benchmark_category",TODAY()),$B120&lt;&gt;"etf",_xll.YCI("M:" &amp; $A120, "ycharts_benchmark_category",TODAY()))</f>
        <v>US High Yield Municipal Bond</v>
      </c>
      <c r="E120" t="str" cm="1">
        <f t="array" aca="1" ref="E120" ca="1">_xlfn.IFS($B120="etf", _xll.YCI($A120, "ycharts_benchmark_index_symbol",TODAY()),$B120&lt;&gt;"etf",_xll.YCI("M:" &amp; $A120, "ycharts_benchmark_index_symbol",TODAY()))</f>
        <v>^BMBHYTR</v>
      </c>
      <c r="F120" t="str" cm="1">
        <f t="array" aca="1" ref="F120" ca="1">_xlfn.IFS($B120="etf", _xll.YCI($E120, "security_name",TODAY()),$B120&lt;&gt;"etf",_xll.YCI( $E120, "security_name",TODAY()))</f>
        <v>Bloomberg Municipal Bond High Yield</v>
      </c>
      <c r="G120" t="str" cm="1">
        <f t="array" aca="1" ref="G120" ca="1">_xlfn.IFS($B120="etf", _xll.YCI($A120, "prospectus_benchmark_index",TODAY()),$B120&lt;&gt;"etf",_xll.YCI("M:" &amp; $A120, "prospectus_benchmark_index",TODAY()))</f>
        <v>Bloomberg Municipal Yield TR USDU</v>
      </c>
      <c r="H120" s="2" cm="1">
        <f t="array" aca="1" ref="H120" ca="1">_xlfn.IFS($B120="etf", _xll.YCP($A120,"quarterly_total_return",'Database Query'!$E$14),$B120&lt;&gt;"etf",_xll.YCP("M:"&amp; $A120,"quarterly_total_return",'Database Query'!$E$14))</f>
        <v>-1.2357E-2</v>
      </c>
      <c r="I120" s="2" cm="1">
        <f t="array" aca="1" ref="I120" ca="1">-_xll.YCP($E120,"quarterly_return",'Database Query'!$E$14)+H120</f>
        <v>-1.5460000000000005E-3</v>
      </c>
      <c r="J120" s="2" cm="1">
        <f t="array" aca="1" ref="J120" ca="1">_xlfn.IFS($B120="etf", _xll.YCP($A120,"ytd_total_return",'Database Query'!$E$14),$B120&lt;&gt;"etf",_xll.YCP("M:"&amp; $A120,"ytd_total_return",'Database Query'!$E$14))</f>
        <v>5.5130999999999999E-2</v>
      </c>
      <c r="K120" s="2" cm="1">
        <f t="array" aca="1" ref="K120" ca="1">-_xll.YCP($E120,"ytd_return",'Database Query'!$E$14)+J120</f>
        <v>-8.0479999999999996E-3</v>
      </c>
      <c r="L120" s="2" cm="1">
        <f t="array" aca="1" ref="L120" ca="1">_xlfn.IFS($B120="etf", _xll.YCP($A120,"one_year_total_return",'Database Query'!$E$14),$B120&lt;&gt;"etf",_xll.YCP("M:"&amp; $A120,"one_year_total_return",'Database Query'!$E$14))</f>
        <v>5.5130999999999999E-2</v>
      </c>
      <c r="M120" s="2" cm="1">
        <f t="array" aca="1" ref="M120" ca="1">-_xll.YCP($E120,"one_year_return",'Database Query'!$E$14)+L120</f>
        <v>-8.0479999999999996E-3</v>
      </c>
      <c r="N120" s="2" cm="1">
        <f t="array" aca="1" ref="N120" ca="1">_xlfn.IFS($B120="etf", _xll.YCP($A120,"three_year_total_return",'Database Query'!$E$14),$B120&lt;&gt;"etf",_xll.YCP("M:"&amp; $A120,"three_year_total_return",'Database Query'!$E$14))</f>
        <v>-4.0023000000000003E-2</v>
      </c>
      <c r="O120" s="2" cm="1">
        <f t="array" aca="1" ref="O120" ca="1">-_xll.YCP($E120,"three_year_return",'Database Query'!$E$14)+N120</f>
        <v>-4.8994000000000003E-2</v>
      </c>
      <c r="P120" s="2" cm="1">
        <f t="array" aca="1" ref="P120" ca="1">_xlfn.IFS($B120="etf", _xll.YCP($A120,"five_year_total_return",'Database Query'!$E$14),$B120&lt;&gt;"etf",_xll.YCP("M:"&amp; $A120,"five_year_total_return",'Database Query'!$E$14))</f>
        <v>4.7252000000000002E-2</v>
      </c>
      <c r="Q120" s="2" cm="1">
        <f t="array" aca="1" ref="Q120" ca="1">-_xll.YCP($E120,"five_year_return",'Database Query'!$E$14)+P120</f>
        <v>-9.3250999999999987E-2</v>
      </c>
    </row>
    <row r="121" spans="1:17" x14ac:dyDescent="0.25">
      <c r="A121" t="str">
        <v>ICEIX</v>
      </c>
      <c r="B121" t="e" cm="1">
        <f t="array" aca="1" ref="B121" ca="1">_xll.YCI(A121,"detailed_security_type",TODAY())</f>
        <v>#VALUE!</v>
      </c>
      <c r="C121" t="e" cm="1">
        <f t="array" aca="1" ref="C121" ca="1">_xlfn.IFS(B121="etf", _xll.YCI(A121, "security_name",TODAY()),B121&lt;&gt;"etf",_xll.YCI("M:" &amp; A121, "security_name",TODAY()))</f>
        <v>#VALUE!</v>
      </c>
      <c r="D121" t="e" cm="1">
        <f t="array" aca="1" ref="D121" ca="1">_xlfn.IFS($B121="etf", _xll.YCI($A121, "ycharts_benchmark_category",TODAY()),$B121&lt;&gt;"etf",_xll.YCI("M:" &amp; $A121, "ycharts_benchmark_category",TODAY()))</f>
        <v>#VALUE!</v>
      </c>
      <c r="E121" t="e" cm="1">
        <f t="array" aca="1" ref="E121" ca="1">_xlfn.IFS($B121="etf", _xll.YCI($A121, "ycharts_benchmark_index_symbol",TODAY()),$B121&lt;&gt;"etf",_xll.YCI("M:" &amp; $A121, "ycharts_benchmark_index_symbol",TODAY()))</f>
        <v>#VALUE!</v>
      </c>
      <c r="F121" t="e" cm="1">
        <f t="array" aca="1" ref="F121" ca="1">_xlfn.IFS($B121="etf", _xll.YCI($E121, "security_name",TODAY()),$B121&lt;&gt;"etf",_xll.YCI( $E121, "security_name",TODAY()))</f>
        <v>#VALUE!</v>
      </c>
      <c r="G121" t="e" cm="1">
        <f t="array" aca="1" ref="G121" ca="1">_xlfn.IFS($B121="etf", _xll.YCI($A121, "prospectus_benchmark_index",TODAY()),$B121&lt;&gt;"etf",_xll.YCI("M:" &amp; $A121, "prospectus_benchmark_index",TODAY()))</f>
        <v>#VALUE!</v>
      </c>
      <c r="H121" s="2" t="e" cm="1">
        <f t="array" aca="1" ref="H121" ca="1">_xlfn.IFS($B121="etf", _xll.YCP($A121,"quarterly_total_return",'Database Query'!$E$14),$B121&lt;&gt;"etf",_xll.YCP("M:"&amp; $A121,"quarterly_total_return",'Database Query'!$E$14))</f>
        <v>#VALUE!</v>
      </c>
      <c r="I121" s="2" t="e" cm="1">
        <f t="array" aca="1" ref="I121" ca="1">-_xll.YCP($E121,"quarterly_return",'Database Query'!$E$14)+H121</f>
        <v>#VALUE!</v>
      </c>
      <c r="J121" s="2" t="e" cm="1">
        <f t="array" aca="1" ref="J121" ca="1">_xlfn.IFS($B121="etf", _xll.YCP($A121,"ytd_total_return",'Database Query'!$E$14),$B121&lt;&gt;"etf",_xll.YCP("M:"&amp; $A121,"ytd_total_return",'Database Query'!$E$14))</f>
        <v>#VALUE!</v>
      </c>
      <c r="K121" s="2" t="e" cm="1">
        <f t="array" aca="1" ref="K121" ca="1">-_xll.YCP($E121,"ytd_return",'Database Query'!$E$14)+J121</f>
        <v>#VALUE!</v>
      </c>
      <c r="L121" s="2" t="e" cm="1">
        <f t="array" aca="1" ref="L121" ca="1">_xlfn.IFS($B121="etf", _xll.YCP($A121,"one_year_total_return",'Database Query'!$E$14),$B121&lt;&gt;"etf",_xll.YCP("M:"&amp; $A121,"one_year_total_return",'Database Query'!$E$14))</f>
        <v>#VALUE!</v>
      </c>
      <c r="M121" s="2" t="e" cm="1">
        <f t="array" aca="1" ref="M121" ca="1">-_xll.YCP($E121,"one_year_return",'Database Query'!$E$14)+L121</f>
        <v>#VALUE!</v>
      </c>
      <c r="N121" s="2" t="e" cm="1">
        <f t="array" aca="1" ref="N121" ca="1">_xlfn.IFS($B121="etf", _xll.YCP($A121,"three_year_total_return",'Database Query'!$E$14),$B121&lt;&gt;"etf",_xll.YCP("M:"&amp; $A121,"three_year_total_return",'Database Query'!$E$14))</f>
        <v>#VALUE!</v>
      </c>
      <c r="O121" s="2" t="e" cm="1">
        <f t="array" aca="1" ref="O121" ca="1">-_xll.YCP($E121,"three_year_return",'Database Query'!$E$14)+N121</f>
        <v>#VALUE!</v>
      </c>
      <c r="P121" s="2" t="e" cm="1">
        <f t="array" aca="1" ref="P121" ca="1">_xlfn.IFS($B121="etf", _xll.YCP($A121,"five_year_total_return",'Database Query'!$E$14),$B121&lt;&gt;"etf",_xll.YCP("M:"&amp; $A121,"five_year_total_return",'Database Query'!$E$14))</f>
        <v>#VALUE!</v>
      </c>
      <c r="Q121" s="2" t="e" cm="1">
        <f t="array" aca="1" ref="Q121" ca="1">-_xll.YCP($E121,"five_year_return",'Database Query'!$E$14)+P121</f>
        <v>#VALUE!</v>
      </c>
    </row>
    <row r="122" spans="1:17" x14ac:dyDescent="0.25">
      <c r="A122" t="str">
        <v>ICOW</v>
      </c>
      <c r="B122" t="str" cm="1">
        <f t="array" aca="1" ref="B122" ca="1">_xll.YCI(A122,"detailed_security_type",TODAY())</f>
        <v>etf</v>
      </c>
      <c r="C122" t="str" cm="1">
        <f t="array" aca="1" ref="C122" ca="1">_xlfn.IFS(B122="etf", _xll.YCI(A122, "security_name",TODAY()),B122&lt;&gt;"etf",_xll.YCI("M:" &amp; A122, "security_name",TODAY()))</f>
        <v>Pacer Developed Markets International Cash Cws 100</v>
      </c>
      <c r="D122" t="str" cm="1">
        <f t="array" aca="1" ref="D122" ca="1">_xlfn.IFS($B122="etf", _xll.YCI($A122, "ycharts_benchmark_category",TODAY()),$B122&lt;&gt;"etf",_xll.YCI("M:" &amp; $A122, "ycharts_benchmark_category",TODAY()))</f>
        <v>International Multi-Cap Value</v>
      </c>
      <c r="E122" t="str" cm="1">
        <f t="array" aca="1" ref="E122" ca="1">_xlfn.IFS($B122="etf", _xll.YCI($A122, "ycharts_benchmark_index_symbol",TODAY()),$B122&lt;&gt;"etf",_xll.YCI("M:" &amp; $A122, "ycharts_benchmark_index_symbol",TODAY()))</f>
        <v>^MSACXUSNTR</v>
      </c>
      <c r="F122" t="str" cm="1">
        <f t="array" aca="1" ref="F122" ca="1">_xlfn.IFS($B122="etf", _xll.YCI($E122, "security_name",TODAY()),$B122&lt;&gt;"etf",_xll.YCI( $E122, "security_name",TODAY()))</f>
        <v>MSCI ACWI Ex USA Net Total Return</v>
      </c>
      <c r="G122" t="str" cm="1">
        <f t="array" aca="1" ref="G122" ca="1">_xlfn.IFS($B122="etf", _xll.YCI($A122, "prospectus_benchmark_index",TODAY()),$B122&lt;&gt;"etf",_xll.YCI("M:" &amp; $A122, "prospectus_benchmark_index",TODAY()))</f>
        <v>Pacer DM Internationl CashCows100 TR USD</v>
      </c>
      <c r="H122" s="2" cm="1">
        <f t="array" aca="1" ref="H122" ca="1">_xlfn.IFS($B122="etf", _xll.YCP($A122,"quarterly_total_return",'Database Query'!$E$14),$B122&lt;&gt;"etf",_xll.YCP("M:"&amp; $A122,"quarterly_total_return",'Database Query'!$E$14))</f>
        <v>-7.4021000000000003E-2</v>
      </c>
      <c r="I122" s="2" cm="1">
        <f t="array" aca="1" ref="I122" ca="1">-_xll.YCP($E122,"quarterly_return",'Database Query'!$E$14)+H122</f>
        <v>1.9600000000000034E-3</v>
      </c>
      <c r="J122" s="2" cm="1">
        <f t="array" aca="1" ref="J122" ca="1">_xlfn.IFS($B122="etf", _xll.YCP($A122,"ytd_total_return",'Database Query'!$E$14),$B122&lt;&gt;"etf",_xll.YCP("M:"&amp; $A122,"ytd_total_return",'Database Query'!$E$14))</f>
        <v>-2.5942E-2</v>
      </c>
      <c r="K122" s="2" cm="1">
        <f t="array" aca="1" ref="K122" ca="1">-_xll.YCP($E122,"ytd_return",'Database Query'!$E$14)+J122</f>
        <v>-8.1282999999999994E-2</v>
      </c>
      <c r="L122" s="2" cm="1">
        <f t="array" aca="1" ref="L122" ca="1">_xlfn.IFS($B122="etf", _xll.YCP($A122,"one_year_total_return",'Database Query'!$E$14),$B122&lt;&gt;"etf",_xll.YCP("M:"&amp; $A122,"one_year_total_return",'Database Query'!$E$14))</f>
        <v>-2.5942E-2</v>
      </c>
      <c r="M122" s="2" cm="1">
        <f t="array" aca="1" ref="M122" ca="1">-_xll.YCP($E122,"one_year_return",'Database Query'!$E$14)+L122</f>
        <v>-8.1282999999999994E-2</v>
      </c>
      <c r="N122" s="2" cm="1">
        <f t="array" aca="1" ref="N122" ca="1">_xlfn.IFS($B122="etf", _xll.YCP($A122,"three_year_total_return",'Database Query'!$E$14),$B122&lt;&gt;"etf",_xll.YCP("M:"&amp; $A122,"three_year_total_return",'Database Query'!$E$14))</f>
        <v>6.6755999999999996E-2</v>
      </c>
      <c r="O122" s="2" cm="1">
        <f t="array" aca="1" ref="O122" ca="1">-_xll.YCP($E122,"three_year_return",'Database Query'!$E$14)+N122</f>
        <v>4.1874999999999996E-2</v>
      </c>
      <c r="P122" s="2" cm="1">
        <f t="array" aca="1" ref="P122" ca="1">_xlfn.IFS($B122="etf", _xll.YCP($A122,"five_year_total_return",'Database Query'!$E$14),$B122&lt;&gt;"etf",_xll.YCP("M:"&amp; $A122,"five_year_total_return",'Database Query'!$E$14))</f>
        <v>0.27582800000000002</v>
      </c>
      <c r="Q122" s="2" cm="1">
        <f t="array" aca="1" ref="Q122" ca="1">-_xll.YCP($E122,"five_year_return",'Database Query'!$E$14)+P122</f>
        <v>5.3047000000000011E-2</v>
      </c>
    </row>
    <row r="123" spans="1:17" x14ac:dyDescent="0.25">
      <c r="A123" t="str">
        <v>IEF</v>
      </c>
      <c r="B123" t="str" cm="1">
        <f t="array" aca="1" ref="B123" ca="1">_xll.YCI(A123,"detailed_security_type",TODAY())</f>
        <v>etf</v>
      </c>
      <c r="C123" t="str" cm="1">
        <f t="array" aca="1" ref="C123" ca="1">_xlfn.IFS(B123="etf", _xll.YCI(A123, "security_name",TODAY()),B123&lt;&gt;"etf",_xll.YCI("M:" &amp; A123, "security_name",TODAY()))</f>
        <v>iShares 7-10 Year Treasury Bond ETF</v>
      </c>
      <c r="D123" t="str" cm="1">
        <f t="array" aca="1" ref="D123" ca="1">_xlfn.IFS($B123="etf", _xll.YCI($A123, "ycharts_benchmark_category",TODAY()),$B123&lt;&gt;"etf",_xll.YCI("M:" &amp; $A123, "ycharts_benchmark_category",TODAY()))</f>
        <v>US Government Bond</v>
      </c>
      <c r="E123" t="str" cm="1">
        <f t="array" aca="1" ref="E123" ca="1">_xlfn.IFS($B123="etf", _xll.YCI($A123, "ycharts_benchmark_index_symbol",TODAY()),$B123&lt;&gt;"etf",_xll.YCI("M:" &amp; $A123, "ycharts_benchmark_index_symbol",TODAY()))</f>
        <v>^BBUSTTR</v>
      </c>
      <c r="F123" t="str" cm="1">
        <f t="array" aca="1" ref="F123" ca="1">_xlfn.IFS($B123="etf", _xll.YCI($E123, "security_name",TODAY()),$B123&lt;&gt;"etf",_xll.YCI( $E123, "security_name",TODAY()))</f>
        <v>Bloomberg US Treasury</v>
      </c>
      <c r="G123" t="str" cm="1">
        <f t="array" aca="1" ref="G123" ca="1">_xlfn.IFS($B123="etf", _xll.YCI($A123, "prospectus_benchmark_index",TODAY()),$B123&lt;&gt;"etf",_xll.YCI("M:" &amp; $A123, "prospectus_benchmark_index",TODAY()))</f>
        <v>ICE U.S. Treasury 7-10 Year Bond TR USD</v>
      </c>
      <c r="H123" s="2" cm="1">
        <f t="array" aca="1" ref="H123" ca="1">_xlfn.IFS($B123="etf", _xll.YCP($A123,"quarterly_total_return",'Database Query'!$E$14),$B123&lt;&gt;"etf",_xll.YCP("M:"&amp; $A123,"quarterly_total_return",'Database Query'!$E$14))</f>
        <v>-4.6030000000000001E-2</v>
      </c>
      <c r="I123" s="2" cm="1">
        <f t="array" aca="1" ref="I123" ca="1">-_xll.YCP($E123,"quarterly_return",'Database Query'!$E$14)+H123</f>
        <v>-1.4649000000000002E-2</v>
      </c>
      <c r="J123" s="2" cm="1">
        <f t="array" aca="1" ref="J123" ca="1">_xlfn.IFS($B123="etf", _xll.YCP($A123,"ytd_total_return",'Database Query'!$E$14),$B123&lt;&gt;"etf",_xll.YCP("M:"&amp; $A123,"ytd_total_return",'Database Query'!$E$14))</f>
        <v>-6.3530000000000001E-3</v>
      </c>
      <c r="K123" s="2" cm="1">
        <f t="array" aca="1" ref="K123" ca="1">-_xll.YCP($E123,"ytd_return",'Database Query'!$E$14)+J123</f>
        <v>-1.213E-2</v>
      </c>
      <c r="L123" s="2" cm="1">
        <f t="array" aca="1" ref="L123" ca="1">_xlfn.IFS($B123="etf", _xll.YCP($A123,"one_year_total_return",'Database Query'!$E$14),$B123&lt;&gt;"etf",_xll.YCP("M:"&amp; $A123,"one_year_total_return",'Database Query'!$E$14))</f>
        <v>-6.3530000000000001E-3</v>
      </c>
      <c r="M123" s="2" cm="1">
        <f t="array" aca="1" ref="M123" ca="1">-_xll.YCP($E123,"one_year_return",'Database Query'!$E$14)+L123</f>
        <v>-1.213E-2</v>
      </c>
      <c r="N123" s="2" cm="1">
        <f t="array" aca="1" ref="N123" ca="1">_xlfn.IFS($B123="etf", _xll.YCP($A123,"three_year_total_return",'Database Query'!$E$14),$B123&lt;&gt;"etf",_xll.YCP("M:"&amp; $A123,"three_year_total_return",'Database Query'!$E$14))</f>
        <v>-0.126274</v>
      </c>
      <c r="O123" s="2" cm="1">
        <f t="array" aca="1" ref="O123" ca="1">-_xll.YCP($E123,"three_year_return",'Database Query'!$E$14)+N123</f>
        <v>-4.2389999999999997E-2</v>
      </c>
      <c r="P123" s="2" cm="1">
        <f t="array" aca="1" ref="P123" ca="1">_xlfn.IFS($B123="etf", _xll.YCP($A123,"five_year_total_return",'Database Query'!$E$14),$B123&lt;&gt;"etf",_xll.YCP("M:"&amp; $A123,"five_year_total_return",'Database Query'!$E$14))</f>
        <v>-7.0843000000000003E-2</v>
      </c>
      <c r="Q123" s="2" cm="1">
        <f t="array" aca="1" ref="Q123" ca="1">-_xll.YCP($E123,"five_year_return",'Database Query'!$E$14)+P123</f>
        <v>-3.7279000000000007E-2</v>
      </c>
    </row>
    <row r="124" spans="1:17" x14ac:dyDescent="0.25">
      <c r="A124" t="str">
        <v>IEI</v>
      </c>
      <c r="B124" t="str" cm="1">
        <f t="array" aca="1" ref="B124" ca="1">_xll.YCI(A124,"detailed_security_type",TODAY())</f>
        <v>etf</v>
      </c>
      <c r="C124" t="str" cm="1">
        <f t="array" aca="1" ref="C124" ca="1">_xlfn.IFS(B124="etf", _xll.YCI(A124, "security_name",TODAY()),B124&lt;&gt;"etf",_xll.YCI("M:" &amp; A124, "security_name",TODAY()))</f>
        <v>iShares 3-7 Year Treasury Bond ETF</v>
      </c>
      <c r="D124" t="str" cm="1">
        <f t="array" aca="1" ref="D124" ca="1">_xlfn.IFS($B124="etf", _xll.YCI($A124, "ycharts_benchmark_category",TODAY()),$B124&lt;&gt;"etf",_xll.YCI("M:" &amp; $A124, "ycharts_benchmark_category",TODAY()))</f>
        <v>US Government Bond</v>
      </c>
      <c r="E124" t="str" cm="1">
        <f t="array" aca="1" ref="E124" ca="1">_xlfn.IFS($B124="etf", _xll.YCI($A124, "ycharts_benchmark_index_symbol",TODAY()),$B124&lt;&gt;"etf",_xll.YCI("M:" &amp; $A124, "ycharts_benchmark_index_symbol",TODAY()))</f>
        <v>^BBUSTTR</v>
      </c>
      <c r="F124" t="str" cm="1">
        <f t="array" aca="1" ref="F124" ca="1">_xlfn.IFS($B124="etf", _xll.YCI($E124, "security_name",TODAY()),$B124&lt;&gt;"etf",_xll.YCI( $E124, "security_name",TODAY()))</f>
        <v>Bloomberg US Treasury</v>
      </c>
      <c r="G124" t="str" cm="1">
        <f t="array" aca="1" ref="G124" ca="1">_xlfn.IFS($B124="etf", _xll.YCI($A124, "prospectus_benchmark_index",TODAY()),$B124&lt;&gt;"etf",_xll.YCI("M:" &amp; $A124, "prospectus_benchmark_index",TODAY()))</f>
        <v>ICE U.S. Treasury 3-7 Year Bond TR USD</v>
      </c>
      <c r="H124" s="2" cm="1">
        <f t="array" aca="1" ref="H124" ca="1">_xlfn.IFS($B124="etf", _xll.YCP($A124,"quarterly_total_return",'Database Query'!$E$14),$B124&lt;&gt;"etf",_xll.YCP("M:"&amp; $A124,"quarterly_total_return",'Database Query'!$E$14))</f>
        <v>-2.3307999999999999E-2</v>
      </c>
      <c r="I124" s="2" cm="1">
        <f t="array" aca="1" ref="I124" ca="1">-_xll.YCP($E124,"quarterly_return",'Database Query'!$E$14)+H124</f>
        <v>8.0730000000000003E-3</v>
      </c>
      <c r="J124" s="2" cm="1">
        <f t="array" aca="1" ref="J124" ca="1">_xlfn.IFS($B124="etf", _xll.YCP($A124,"ytd_total_return",'Database Query'!$E$14),$B124&lt;&gt;"etf",_xll.YCP("M:"&amp; $A124,"ytd_total_return",'Database Query'!$E$14))</f>
        <v>1.814E-2</v>
      </c>
      <c r="K124" s="2" cm="1">
        <f t="array" aca="1" ref="K124" ca="1">-_xll.YCP($E124,"ytd_return",'Database Query'!$E$14)+J124</f>
        <v>1.2362999999999999E-2</v>
      </c>
      <c r="L124" s="2" cm="1">
        <f t="array" aca="1" ref="L124" ca="1">_xlfn.IFS($B124="etf", _xll.YCP($A124,"one_year_total_return",'Database Query'!$E$14),$B124&lt;&gt;"etf",_xll.YCP("M:"&amp; $A124,"one_year_total_return",'Database Query'!$E$14))</f>
        <v>1.814E-2</v>
      </c>
      <c r="M124" s="2" cm="1">
        <f t="array" aca="1" ref="M124" ca="1">-_xll.YCP($E124,"one_year_return",'Database Query'!$E$14)+L124</f>
        <v>1.2362999999999999E-2</v>
      </c>
      <c r="N124" s="2" cm="1">
        <f t="array" aca="1" ref="N124" ca="1">_xlfn.IFS($B124="etf", _xll.YCP($A124,"three_year_total_return",'Database Query'!$E$14),$B124&lt;&gt;"etf",_xll.YCP("M:"&amp; $A124,"three_year_total_return",'Database Query'!$E$14))</f>
        <v>-3.7978999999999999E-2</v>
      </c>
      <c r="O124" s="2" cm="1">
        <f t="array" aca="1" ref="O124" ca="1">-_xll.YCP($E124,"three_year_return",'Database Query'!$E$14)+N124</f>
        <v>4.5905000000000001E-2</v>
      </c>
      <c r="P124" s="2" cm="1">
        <f t="array" aca="1" ref="P124" ca="1">_xlfn.IFS($B124="etf", _xll.YCP($A124,"five_year_total_return",'Database Query'!$E$14),$B124&lt;&gt;"etf",_xll.YCP("M:"&amp; $A124,"five_year_total_return",'Database Query'!$E$14))</f>
        <v>2.7179999999999999E-3</v>
      </c>
      <c r="Q124" s="2" cm="1">
        <f t="array" aca="1" ref="Q124" ca="1">-_xll.YCP($E124,"five_year_return",'Database Query'!$E$14)+P124</f>
        <v>3.6281999999999995E-2</v>
      </c>
    </row>
    <row r="125" spans="1:17" x14ac:dyDescent="0.25">
      <c r="A125" t="str">
        <v>IEMG</v>
      </c>
      <c r="B125" t="str" cm="1">
        <f t="array" aca="1" ref="B125" ca="1">_xll.YCI(A125,"detailed_security_type",TODAY())</f>
        <v>etf</v>
      </c>
      <c r="C125" t="str" cm="1">
        <f t="array" aca="1" ref="C125" ca="1">_xlfn.IFS(B125="etf", _xll.YCI(A125, "security_name",TODAY()),B125&lt;&gt;"etf",_xll.YCI("M:" &amp; A125, "security_name",TODAY()))</f>
        <v>iShares Core MSCI Emerging Markets ETF</v>
      </c>
      <c r="D125" t="str" cm="1">
        <f t="array" aca="1" ref="D125" ca="1">_xlfn.IFS($B125="etf", _xll.YCI($A125, "ycharts_benchmark_category",TODAY()),$B125&lt;&gt;"etf",_xll.YCI("M:" &amp; $A125, "ycharts_benchmark_category",TODAY()))</f>
        <v>Emerging Markets Equity</v>
      </c>
      <c r="E125" t="str" cm="1">
        <f t="array" aca="1" ref="E125" ca="1">_xlfn.IFS($B125="etf", _xll.YCI($A125, "ycharts_benchmark_index_symbol",TODAY()),$B125&lt;&gt;"etf",_xll.YCI("M:" &amp; $A125, "ycharts_benchmark_index_symbol",TODAY()))</f>
        <v>^MSEMTR</v>
      </c>
      <c r="F125" t="str" cm="1">
        <f t="array" aca="1" ref="F125" ca="1">_xlfn.IFS($B125="etf", _xll.YCI($E125, "security_name",TODAY()),$B125&lt;&gt;"etf",_xll.YCI( $E125, "security_name",TODAY()))</f>
        <v>MSCI Emerging Markets Total Return</v>
      </c>
      <c r="G125" t="str" cm="1">
        <f t="array" aca="1" ref="G125" ca="1">_xlfn.IFS($B125="etf", _xll.YCI($A125, "prospectus_benchmark_index",TODAY()),$B125&lt;&gt;"etf",_xll.YCI("M:" &amp; $A125, "prospectus_benchmark_index",TODAY()))</f>
        <v>MSCI EM IMI NR USD</v>
      </c>
      <c r="H125" s="2" cm="1">
        <f t="array" aca="1" ref="H125" ca="1">_xlfn.IFS($B125="etf", _xll.YCP($A125,"quarterly_total_return",'Database Query'!$E$14),$B125&lt;&gt;"etf",_xll.YCP("M:"&amp; $A125,"quarterly_total_return",'Database Query'!$E$14))</f>
        <v>-7.0640999999999995E-2</v>
      </c>
      <c r="I125" s="2" cm="1">
        <f t="array" aca="1" ref="I125" ca="1">-_xll.YCP($E125,"quarterly_return",'Database Query'!$E$14)+H125</f>
        <v>7.7260000000000106E-3</v>
      </c>
      <c r="J125" s="2" cm="1">
        <f t="array" aca="1" ref="J125" ca="1">_xlfn.IFS($B125="etf", _xll.YCP($A125,"ytd_total_return",'Database Query'!$E$14),$B125&lt;&gt;"etf",_xll.YCP("M:"&amp; $A125,"ytd_total_return",'Database Query'!$E$14))</f>
        <v>6.5074999999999994E-2</v>
      </c>
      <c r="K125" s="2" cm="1">
        <f t="array" aca="1" ref="K125" ca="1">-_xll.YCP($E125,"ytd_return",'Database Query'!$E$14)+J125</f>
        <v>-1.5431E-2</v>
      </c>
      <c r="L125" s="2" cm="1">
        <f t="array" aca="1" ref="L125" ca="1">_xlfn.IFS($B125="etf", _xll.YCP($A125,"one_year_total_return",'Database Query'!$E$14),$B125&lt;&gt;"etf",_xll.YCP("M:"&amp; $A125,"one_year_total_return",'Database Query'!$E$14))</f>
        <v>6.5074999999999994E-2</v>
      </c>
      <c r="M125" s="2" cm="1">
        <f t="array" aca="1" ref="M125" ca="1">-_xll.YCP($E125,"one_year_return",'Database Query'!$E$14)+L125</f>
        <v>-1.5431E-2</v>
      </c>
      <c r="N125" s="2" cm="1">
        <f t="array" aca="1" ref="N125" ca="1">_xlfn.IFS($B125="etf", _xll.YCP($A125,"three_year_total_return",'Database Query'!$E$14),$B125&lt;&gt;"etf",_xll.YCP("M:"&amp; $A125,"three_year_total_return",'Database Query'!$E$14))</f>
        <v>-4.8965000000000002E-2</v>
      </c>
      <c r="O125" s="2" cm="1">
        <f t="array" aca="1" ref="O125" ca="1">-_xll.YCP($E125,"three_year_return",'Database Query'!$E$14)+N125</f>
        <v>-5.2500000000000047E-3</v>
      </c>
      <c r="P125" s="2" cm="1">
        <f t="array" aca="1" ref="P125" ca="1">_xlfn.IFS($B125="etf", _xll.YCP($A125,"five_year_total_return",'Database Query'!$E$14),$B125&lt;&gt;"etf",_xll.YCP("M:"&amp; $A125,"five_year_total_return",'Database Query'!$E$14))</f>
        <v>0.11428000000000001</v>
      </c>
      <c r="Q125" s="2" cm="1">
        <f t="array" aca="1" ref="Q125" ca="1">-_xll.YCP($E125,"five_year_return",'Database Query'!$E$14)+P125</f>
        <v>4.5280000000000042E-3</v>
      </c>
    </row>
    <row r="126" spans="1:17" x14ac:dyDescent="0.25">
      <c r="A126" t="str">
        <v>IFAIX</v>
      </c>
      <c r="B126" t="e" cm="1">
        <f t="array" aca="1" ref="B126" ca="1">_xll.YCI(A126,"detailed_security_type",TODAY())</f>
        <v>#VALUE!</v>
      </c>
      <c r="C126" t="e" cm="1">
        <f t="array" aca="1" ref="C126" ca="1">_xlfn.IFS(B126="etf", _xll.YCI(A126, "security_name",TODAY()),B126&lt;&gt;"etf",_xll.YCI("M:" &amp; A126, "security_name",TODAY()))</f>
        <v>#VALUE!</v>
      </c>
      <c r="D126" t="e" cm="1">
        <f t="array" aca="1" ref="D126" ca="1">_xlfn.IFS($B126="etf", _xll.YCI($A126, "ycharts_benchmark_category",TODAY()),$B126&lt;&gt;"etf",_xll.YCI("M:" &amp; $A126, "ycharts_benchmark_category",TODAY()))</f>
        <v>#VALUE!</v>
      </c>
      <c r="E126" t="e" cm="1">
        <f t="array" aca="1" ref="E126" ca="1">_xlfn.IFS($B126="etf", _xll.YCI($A126, "ycharts_benchmark_index_symbol",TODAY()),$B126&lt;&gt;"etf",_xll.YCI("M:" &amp; $A126, "ycharts_benchmark_index_symbol",TODAY()))</f>
        <v>#VALUE!</v>
      </c>
      <c r="F126" t="e" cm="1">
        <f t="array" aca="1" ref="F126" ca="1">_xlfn.IFS($B126="etf", _xll.YCI($E126, "security_name",TODAY()),$B126&lt;&gt;"etf",_xll.YCI( $E126, "security_name",TODAY()))</f>
        <v>#VALUE!</v>
      </c>
      <c r="G126" t="e" cm="1">
        <f t="array" aca="1" ref="G126" ca="1">_xlfn.IFS($B126="etf", _xll.YCI($A126, "prospectus_benchmark_index",TODAY()),$B126&lt;&gt;"etf",_xll.YCI("M:" &amp; $A126, "prospectus_benchmark_index",TODAY()))</f>
        <v>#VALUE!</v>
      </c>
      <c r="H126" s="2" t="e" cm="1">
        <f t="array" aca="1" ref="H126" ca="1">_xlfn.IFS($B126="etf", _xll.YCP($A126,"quarterly_total_return",'Database Query'!$E$14),$B126&lt;&gt;"etf",_xll.YCP("M:"&amp; $A126,"quarterly_total_return",'Database Query'!$E$14))</f>
        <v>#VALUE!</v>
      </c>
      <c r="I126" s="2" t="e" cm="1">
        <f t="array" aca="1" ref="I126" ca="1">-_xll.YCP($E126,"quarterly_return",'Database Query'!$E$14)+H126</f>
        <v>#VALUE!</v>
      </c>
      <c r="J126" s="2" t="e" cm="1">
        <f t="array" aca="1" ref="J126" ca="1">_xlfn.IFS($B126="etf", _xll.YCP($A126,"ytd_total_return",'Database Query'!$E$14),$B126&lt;&gt;"etf",_xll.YCP("M:"&amp; $A126,"ytd_total_return",'Database Query'!$E$14))</f>
        <v>#VALUE!</v>
      </c>
      <c r="K126" s="2" t="e" cm="1">
        <f t="array" aca="1" ref="K126" ca="1">-_xll.YCP($E126,"ytd_return",'Database Query'!$E$14)+J126</f>
        <v>#VALUE!</v>
      </c>
      <c r="L126" s="2" t="e" cm="1">
        <f t="array" aca="1" ref="L126" ca="1">_xlfn.IFS($B126="etf", _xll.YCP($A126,"one_year_total_return",'Database Query'!$E$14),$B126&lt;&gt;"etf",_xll.YCP("M:"&amp; $A126,"one_year_total_return",'Database Query'!$E$14))</f>
        <v>#VALUE!</v>
      </c>
      <c r="M126" s="2" t="e" cm="1">
        <f t="array" aca="1" ref="M126" ca="1">-_xll.YCP($E126,"one_year_return",'Database Query'!$E$14)+L126</f>
        <v>#VALUE!</v>
      </c>
      <c r="N126" s="2" t="e" cm="1">
        <f t="array" aca="1" ref="N126" ca="1">_xlfn.IFS($B126="etf", _xll.YCP($A126,"three_year_total_return",'Database Query'!$E$14),$B126&lt;&gt;"etf",_xll.YCP("M:"&amp; $A126,"three_year_total_return",'Database Query'!$E$14))</f>
        <v>#VALUE!</v>
      </c>
      <c r="O126" s="2" t="e" cm="1">
        <f t="array" aca="1" ref="O126" ca="1">-_xll.YCP($E126,"three_year_return",'Database Query'!$E$14)+N126</f>
        <v>#VALUE!</v>
      </c>
      <c r="P126" s="2" t="e" cm="1">
        <f t="array" aca="1" ref="P126" ca="1">_xlfn.IFS($B126="etf", _xll.YCP($A126,"five_year_total_return",'Database Query'!$E$14),$B126&lt;&gt;"etf",_xll.YCP("M:"&amp; $A126,"five_year_total_return",'Database Query'!$E$14))</f>
        <v>#VALUE!</v>
      </c>
      <c r="Q126" s="2" t="e" cm="1">
        <f t="array" aca="1" ref="Q126" ca="1">-_xll.YCP($E126,"five_year_return",'Database Query'!$E$14)+P126</f>
        <v>#VALUE!</v>
      </c>
    </row>
    <row r="127" spans="1:17" x14ac:dyDescent="0.25">
      <c r="A127" t="str">
        <v>IGE</v>
      </c>
      <c r="B127" t="str" cm="1">
        <f t="array" aca="1" ref="B127" ca="1">_xll.YCI(A127,"detailed_security_type",TODAY())</f>
        <v>etf</v>
      </c>
      <c r="C127" t="str" cm="1">
        <f t="array" aca="1" ref="C127" ca="1">_xlfn.IFS(B127="etf", _xll.YCI(A127, "security_name",TODAY()),B127&lt;&gt;"etf",_xll.YCI("M:" &amp; A127, "security_name",TODAY()))</f>
        <v>iShares North American Natural Resources ETF</v>
      </c>
      <c r="D127" t="str" cm="1">
        <f t="array" aca="1" ref="D127" ca="1">_xlfn.IFS($B127="etf", _xll.YCI($A127, "ycharts_benchmark_category",TODAY()),$B127&lt;&gt;"etf",_xll.YCI("M:" &amp; $A127, "ycharts_benchmark_category",TODAY()))</f>
        <v>Other</v>
      </c>
      <c r="E127" t="str" cm="1">
        <f t="array" aca="1" ref="E127" ca="1">_xlfn.IFS($B127="etf", _xll.YCI($A127, "ycharts_benchmark_index_symbol",TODAY()),$B127&lt;&gt;"etf",_xll.YCI("M:" &amp; $A127, "ycharts_benchmark_index_symbol",TODAY()))</f>
        <v>^SPXTR</v>
      </c>
      <c r="F127" t="str" cm="1">
        <f t="array" aca="1" ref="F127" ca="1">_xlfn.IFS($B127="etf", _xll.YCI($E127, "security_name",TODAY()),$B127&lt;&gt;"etf",_xll.YCI( $E127, "security_name",TODAY()))</f>
        <v>S&amp;P 500 Total Return</v>
      </c>
      <c r="G127" t="str" cm="1">
        <f t="array" aca="1" ref="G127" ca="1">_xlfn.IFS($B127="etf", _xll.YCI($A127, "prospectus_benchmark_index",TODAY()),$B127&lt;&gt;"etf",_xll.YCI("M:" &amp; $A127, "prospectus_benchmark_index",TODAY()))</f>
        <v>S&amp;P North American Natural Resources TR</v>
      </c>
      <c r="H127" s="2" cm="1">
        <f t="array" aca="1" ref="H127" ca="1">_xlfn.IFS($B127="etf", _xll.YCP($A127,"quarterly_total_return",'Database Query'!$E$14),$B127&lt;&gt;"etf",_xll.YCP("M:"&amp; $A127,"quarterly_total_return",'Database Query'!$E$14))</f>
        <v>-2.4417999999999999E-2</v>
      </c>
      <c r="I127" s="2" cm="1">
        <f t="array" aca="1" ref="I127" ca="1">-_xll.YCP($E127,"quarterly_return",'Database Query'!$E$14)+H127</f>
        <v>-4.8509999999999998E-2</v>
      </c>
      <c r="J127" s="2" cm="1">
        <f t="array" aca="1" ref="J127" ca="1">_xlfn.IFS($B127="etf", _xll.YCP($A127,"ytd_total_return",'Database Query'!$E$14),$B127&lt;&gt;"etf",_xll.YCP("M:"&amp; $A127,"ytd_total_return",'Database Query'!$E$14))</f>
        <v>7.5627E-2</v>
      </c>
      <c r="K127" s="2" cm="1">
        <f t="array" aca="1" ref="K127" ca="1">-_xll.YCP($E127,"ytd_return",'Database Query'!$E$14)+J127</f>
        <v>-0.17457</v>
      </c>
      <c r="L127" s="2" cm="1">
        <f t="array" aca="1" ref="L127" ca="1">_xlfn.IFS($B127="etf", _xll.YCP($A127,"one_year_total_return",'Database Query'!$E$14),$B127&lt;&gt;"etf",_xll.YCP("M:"&amp; $A127,"one_year_total_return",'Database Query'!$E$14))</f>
        <v>7.5627E-2</v>
      </c>
      <c r="M127" s="2" cm="1">
        <f t="array" aca="1" ref="M127" ca="1">-_xll.YCP($E127,"one_year_return",'Database Query'!$E$14)+L127</f>
        <v>-0.17457</v>
      </c>
      <c r="N127" s="2" cm="1">
        <f t="array" aca="1" ref="N127" ca="1">_xlfn.IFS($B127="etf", _xll.YCP($A127,"three_year_total_return",'Database Query'!$E$14),$B127&lt;&gt;"etf",_xll.YCP("M:"&amp; $A127,"three_year_total_return",'Database Query'!$E$14))</f>
        <v>0.47843200000000002</v>
      </c>
      <c r="O127" s="2" cm="1">
        <f t="array" aca="1" ref="O127" ca="1">-_xll.YCP($E127,"three_year_return",'Database Query'!$E$14)+N127</f>
        <v>0.18553000000000003</v>
      </c>
      <c r="P127" s="2" cm="1">
        <f t="array" aca="1" ref="P127" ca="1">_xlfn.IFS($B127="etf", _xll.YCP($A127,"five_year_total_return",'Database Query'!$E$14),$B127&lt;&gt;"etf",_xll.YCP("M:"&amp; $A127,"five_year_total_return",'Database Query'!$E$14))</f>
        <v>0.65822199999999997</v>
      </c>
      <c r="Q127" s="2" cm="1">
        <f t="array" aca="1" ref="Q127" ca="1">-_xll.YCP($E127,"five_year_return",'Database Query'!$E$14)+P127</f>
        <v>-0.311975</v>
      </c>
    </row>
    <row r="128" spans="1:17" x14ac:dyDescent="0.25">
      <c r="A128" t="str">
        <v>IJR</v>
      </c>
      <c r="B128" t="str" cm="1">
        <f t="array" aca="1" ref="B128" ca="1">_xll.YCI(A128,"detailed_security_type",TODAY())</f>
        <v>etf</v>
      </c>
      <c r="C128" t="str" cm="1">
        <f t="array" aca="1" ref="C128" ca="1">_xlfn.IFS(B128="etf", _xll.YCI(A128, "security_name",TODAY()),B128&lt;&gt;"etf",_xll.YCI("M:" &amp; A128, "security_name",TODAY()))</f>
        <v>iShares Core S&amp;P Small-Cap ETF</v>
      </c>
      <c r="D128" t="str" cm="1">
        <f t="array" aca="1" ref="D128" ca="1">_xlfn.IFS($B128="etf", _xll.YCI($A128, "ycharts_benchmark_category",TODAY()),$B128&lt;&gt;"etf",_xll.YCI("M:" &amp; $A128, "ycharts_benchmark_category",TODAY()))</f>
        <v>US Small-Cap Core</v>
      </c>
      <c r="E128" t="str" cm="1">
        <f t="array" aca="1" ref="E128" ca="1">_xlfn.IFS($B128="etf", _xll.YCI($A128, "ycharts_benchmark_index_symbol",TODAY()),$B128&lt;&gt;"etf",_xll.YCI("M:" &amp; $A128, "ycharts_benchmark_index_symbol",TODAY()))</f>
        <v>^RUTTR</v>
      </c>
      <c r="F128" t="str" cm="1">
        <f t="array" aca="1" ref="F128" ca="1">_xlfn.IFS($B128="etf", _xll.YCI($E128, "security_name",TODAY()),$B128&lt;&gt;"etf",_xll.YCI( $E128, "security_name",TODAY()))</f>
        <v>Russell 2000 Total Return</v>
      </c>
      <c r="G128" t="str" cm="1">
        <f t="array" aca="1" ref="G128" ca="1">_xlfn.IFS($B128="etf", _xll.YCI($A128, "prospectus_benchmark_index",TODAY()),$B128&lt;&gt;"etf",_xll.YCI("M:" &amp; $A128, "prospectus_benchmark_index",TODAY()))</f>
        <v>S&amp;P SmallCap 600 TR USD</v>
      </c>
      <c r="H128" s="2" cm="1">
        <f t="array" aca="1" ref="H128" ca="1">_xlfn.IFS($B128="etf", _xll.YCP($A128,"quarterly_total_return",'Database Query'!$E$14),$B128&lt;&gt;"etf",_xll.YCP("M:"&amp; $A128,"quarterly_total_return",'Database Query'!$E$14))</f>
        <v>-5.5700000000000003E-3</v>
      </c>
      <c r="I128" s="2" cm="1">
        <f t="array" aca="1" ref="I128" ca="1">-_xll.YCP($E128,"quarterly_return",'Database Query'!$E$14)+H128</f>
        <v>-8.9149999999999993E-3</v>
      </c>
      <c r="J128" s="2" cm="1">
        <f t="array" aca="1" ref="J128" ca="1">_xlfn.IFS($B128="etf", _xll.YCP($A128,"ytd_total_return",'Database Query'!$E$14),$B128&lt;&gt;"etf",_xll.YCP("M:"&amp; $A128,"ytd_total_return",'Database Query'!$E$14))</f>
        <v>8.6433999999999997E-2</v>
      </c>
      <c r="K128" s="2" cm="1">
        <f t="array" aca="1" ref="K128" ca="1">-_xll.YCP($E128,"ytd_return",'Database Query'!$E$14)+J128</f>
        <v>-2.8944999999999999E-2</v>
      </c>
      <c r="L128" s="2" cm="1">
        <f t="array" aca="1" ref="L128" ca="1">_xlfn.IFS($B128="etf", _xll.YCP($A128,"one_year_total_return",'Database Query'!$E$14),$B128&lt;&gt;"etf",_xll.YCP("M:"&amp; $A128,"one_year_total_return",'Database Query'!$E$14))</f>
        <v>8.6433999999999997E-2</v>
      </c>
      <c r="M128" s="2" cm="1">
        <f t="array" aca="1" ref="M128" ca="1">-_xll.YCP($E128,"one_year_return",'Database Query'!$E$14)+L128</f>
        <v>-2.8944999999999999E-2</v>
      </c>
      <c r="N128" s="2" cm="1">
        <f t="array" aca="1" ref="N128" ca="1">_xlfn.IFS($B128="etf", _xll.YCP($A128,"three_year_total_return",'Database Query'!$E$14),$B128&lt;&gt;"etf",_xll.YCP("M:"&amp; $A128,"three_year_total_return",'Database Query'!$E$14))</f>
        <v>5.6887E-2</v>
      </c>
      <c r="O128" s="2" cm="1">
        <f t="array" aca="1" ref="O128" ca="1">-_xll.YCP($E128,"three_year_return",'Database Query'!$E$14)+N128</f>
        <v>1.9219E-2</v>
      </c>
      <c r="P128" s="2" cm="1">
        <f t="array" aca="1" ref="P128" ca="1">_xlfn.IFS($B128="etf", _xll.YCP($A128,"five_year_total_return",'Database Query'!$E$14),$B128&lt;&gt;"etf",_xll.YCP("M:"&amp; $A128,"five_year_total_return",'Database Query'!$E$14))</f>
        <v>0.48885499999999998</v>
      </c>
      <c r="Q128" s="2" cm="1">
        <f t="array" aca="1" ref="Q128" ca="1">-_xll.YCP($E128,"five_year_return",'Database Query'!$E$14)+P128</f>
        <v>5.959399999999998E-2</v>
      </c>
    </row>
    <row r="129" spans="1:17" x14ac:dyDescent="0.25">
      <c r="A129" t="str">
        <v>IJS</v>
      </c>
      <c r="B129" t="str" cm="1">
        <f t="array" aca="1" ref="B129" ca="1">_xll.YCI(A129,"detailed_security_type",TODAY())</f>
        <v>etf</v>
      </c>
      <c r="C129" t="str" cm="1">
        <f t="array" aca="1" ref="C129" ca="1">_xlfn.IFS(B129="etf", _xll.YCI(A129, "security_name",TODAY()),B129&lt;&gt;"etf",_xll.YCI("M:" &amp; A129, "security_name",TODAY()))</f>
        <v>iShares S&amp;P Small-Cap 600 Value ETF</v>
      </c>
      <c r="D129" t="str" cm="1">
        <f t="array" aca="1" ref="D129" ca="1">_xlfn.IFS($B129="etf", _xll.YCI($A129, "ycharts_benchmark_category",TODAY()),$B129&lt;&gt;"etf",_xll.YCI("M:" &amp; $A129, "ycharts_benchmark_category",TODAY()))</f>
        <v>US Small-Cap Value</v>
      </c>
      <c r="E129" t="str" cm="1">
        <f t="array" aca="1" ref="E129" ca="1">_xlfn.IFS($B129="etf", _xll.YCI($A129, "ycharts_benchmark_index_symbol",TODAY()),$B129&lt;&gt;"etf",_xll.YCI("M:" &amp; $A129, "ycharts_benchmark_index_symbol",TODAY()))</f>
        <v>^RUJTR</v>
      </c>
      <c r="F129" t="str" cm="1">
        <f t="array" aca="1" ref="F129" ca="1">_xlfn.IFS($B129="etf", _xll.YCI($E129, "security_name",TODAY()),$B129&lt;&gt;"etf",_xll.YCI( $E129, "security_name",TODAY()))</f>
        <v>Russell 2000 Value Total Return</v>
      </c>
      <c r="G129" t="str" cm="1">
        <f t="array" aca="1" ref="G129" ca="1">_xlfn.IFS($B129="etf", _xll.YCI($A129, "prospectus_benchmark_index",TODAY()),$B129&lt;&gt;"etf",_xll.YCI("M:" &amp; $A129, "prospectus_benchmark_index",TODAY()))</f>
        <v>S&amp;P SmallCap 600 Value TR USD</v>
      </c>
      <c r="H129" s="2" cm="1">
        <f t="array" aca="1" ref="H129" ca="1">_xlfn.IFS($B129="etf", _xll.YCP($A129,"quarterly_total_return",'Database Query'!$E$14),$B129&lt;&gt;"etf",_xll.YCP("M:"&amp; $A129,"quarterly_total_return",'Database Query'!$E$14))</f>
        <v>1.3598000000000001E-2</v>
      </c>
      <c r="I129" s="2" cm="1">
        <f t="array" aca="1" ref="I129" ca="1">-_xll.YCP($E129,"quarterly_return",'Database Query'!$E$14)+H129</f>
        <v>2.4229000000000001E-2</v>
      </c>
      <c r="J129" s="2" cm="1">
        <f t="array" aca="1" ref="J129" ca="1">_xlfn.IFS($B129="etf", _xll.YCP($A129,"ytd_total_return",'Database Query'!$E$14),$B129&lt;&gt;"etf",_xll.YCP("M:"&amp; $A129,"ytd_total_return",'Database Query'!$E$14))</f>
        <v>7.3446999999999998E-2</v>
      </c>
      <c r="K129" s="2" cm="1">
        <f t="array" aca="1" ref="K129" ca="1">-_xll.YCP($E129,"ytd_return",'Database Query'!$E$14)+J129</f>
        <v>-7.0990000000000081E-3</v>
      </c>
      <c r="L129" s="2" cm="1">
        <f t="array" aca="1" ref="L129" ca="1">_xlfn.IFS($B129="etf", _xll.YCP($A129,"one_year_total_return",'Database Query'!$E$14),$B129&lt;&gt;"etf",_xll.YCP("M:"&amp; $A129,"one_year_total_return",'Database Query'!$E$14))</f>
        <v>7.3446999999999998E-2</v>
      </c>
      <c r="M129" s="2" cm="1">
        <f t="array" aca="1" ref="M129" ca="1">-_xll.YCP($E129,"one_year_return",'Database Query'!$E$14)+L129</f>
        <v>-7.0990000000000081E-3</v>
      </c>
      <c r="N129" s="2" cm="1">
        <f t="array" aca="1" ref="N129" ca="1">_xlfn.IFS($B129="etf", _xll.YCP($A129,"three_year_total_return",'Database Query'!$E$14),$B129&lt;&gt;"etf",_xll.YCP("M:"&amp; $A129,"three_year_total_return",'Database Query'!$E$14))</f>
        <v>9.1685000000000003E-2</v>
      </c>
      <c r="O129" s="2" cm="1">
        <f t="array" aca="1" ref="O129" ca="1">-_xll.YCP($E129,"three_year_return",'Database Query'!$E$14)+N129</f>
        <v>3.2296999999999999E-2</v>
      </c>
      <c r="P129" s="2" cm="1">
        <f t="array" aca="1" ref="P129" ca="1">_xlfn.IFS($B129="etf", _xll.YCP($A129,"five_year_total_return",'Database Query'!$E$14),$B129&lt;&gt;"etf",_xll.YCP("M:"&amp; $A129,"five_year_total_return",'Database Query'!$E$14))</f>
        <v>0.46244400000000002</v>
      </c>
      <c r="Q129" s="2" cm="1">
        <f t="array" aca="1" ref="Q129" ca="1">-_xll.YCP($E129,"five_year_return",'Database Query'!$E$14)+P129</f>
        <v>4.0588000000000013E-2</v>
      </c>
    </row>
    <row r="130" spans="1:17" x14ac:dyDescent="0.25">
      <c r="A130" t="str">
        <v>ILCV</v>
      </c>
      <c r="B130" t="str" cm="1">
        <f t="array" aca="1" ref="B130" ca="1">_xll.YCI(A130,"detailed_security_type",TODAY())</f>
        <v>etf</v>
      </c>
      <c r="C130" t="str" cm="1">
        <f t="array" aca="1" ref="C130" ca="1">_xlfn.IFS(B130="etf", _xll.YCI(A130, "security_name",TODAY()),B130&lt;&gt;"etf",_xll.YCI("M:" &amp; A130, "security_name",TODAY()))</f>
        <v>iShares Morningstar Value ETF</v>
      </c>
      <c r="D130" t="str" cm="1">
        <f t="array" aca="1" ref="D130" ca="1">_xlfn.IFS($B130="etf", _xll.YCI($A130, "ycharts_benchmark_category",TODAY()),$B130&lt;&gt;"etf",_xll.YCI("M:" &amp; $A130, "ycharts_benchmark_category",TODAY()))</f>
        <v>US Large Cap Value</v>
      </c>
      <c r="E130" t="str" cm="1">
        <f t="array" aca="1" ref="E130" ca="1">_xlfn.IFS($B130="etf", _xll.YCI($A130, "ycharts_benchmark_index_symbol",TODAY()),$B130&lt;&gt;"etf",_xll.YCI("M:" &amp; $A130, "ycharts_benchmark_index_symbol",TODAY()))</f>
        <v>^RLVTR</v>
      </c>
      <c r="F130" t="str" cm="1">
        <f t="array" aca="1" ref="F130" ca="1">_xlfn.IFS($B130="etf", _xll.YCI($E130, "security_name",TODAY()),$B130&lt;&gt;"etf",_xll.YCI( $E130, "security_name",TODAY()))</f>
        <v>Russell 1000 Value Total Return</v>
      </c>
      <c r="G130" t="str" cm="1">
        <f t="array" aca="1" ref="G130" ca="1">_xlfn.IFS($B130="etf", _xll.YCI($A130, "prospectus_benchmark_index",TODAY()),$B130&lt;&gt;"etf",_xll.YCI("M:" &amp; $A130, "prospectus_benchmark_index",TODAY()))</f>
        <v>Morningstar US LM Brd Value TR USD</v>
      </c>
      <c r="H130" s="2" cm="1">
        <f t="array" aca="1" ref="H130" ca="1">_xlfn.IFS($B130="etf", _xll.YCP($A130,"quarterly_total_return",'Database Query'!$E$14),$B130&lt;&gt;"etf",_xll.YCP("M:"&amp; $A130,"quarterly_total_return",'Database Query'!$E$14))</f>
        <v>-9.6710000000000008E-3</v>
      </c>
      <c r="I130" s="2" cm="1">
        <f t="array" aca="1" ref="I130" ca="1">-_xll.YCP($E130,"quarterly_return",'Database Query'!$E$14)+H130</f>
        <v>1.0137999999999999E-2</v>
      </c>
      <c r="J130" s="2" cm="1">
        <f t="array" aca="1" ref="J130" ca="1">_xlfn.IFS($B130="etf", _xll.YCP($A130,"ytd_total_return",'Database Query'!$E$14),$B130&lt;&gt;"etf",_xll.YCP("M:"&amp; $A130,"ytd_total_return",'Database Query'!$E$14))</f>
        <v>0.17030699999999999</v>
      </c>
      <c r="K130" s="2" cm="1">
        <f t="array" aca="1" ref="K130" ca="1">-_xll.YCP($E130,"ytd_return",'Database Query'!$E$14)+J130</f>
        <v>2.6623999999999981E-2</v>
      </c>
      <c r="L130" s="2" cm="1">
        <f t="array" aca="1" ref="L130" ca="1">_xlfn.IFS($B130="etf", _xll.YCP($A130,"one_year_total_return",'Database Query'!$E$14),$B130&lt;&gt;"etf",_xll.YCP("M:"&amp; $A130,"one_year_total_return",'Database Query'!$E$14))</f>
        <v>0.17030699999999999</v>
      </c>
      <c r="M130" s="2" cm="1">
        <f t="array" aca="1" ref="M130" ca="1">-_xll.YCP($E130,"one_year_return",'Database Query'!$E$14)+L130</f>
        <v>2.6623999999999981E-2</v>
      </c>
      <c r="N130" s="2" cm="1">
        <f t="array" aca="1" ref="N130" ca="1">_xlfn.IFS($B130="etf", _xll.YCP($A130,"three_year_total_return",'Database Query'!$E$14),$B130&lt;&gt;"etf",_xll.YCP("M:"&amp; $A130,"three_year_total_return",'Database Query'!$E$14))</f>
        <v>0.24557300000000001</v>
      </c>
      <c r="O130" s="2" cm="1">
        <f t="array" aca="1" ref="O130" ca="1">-_xll.YCP($E130,"three_year_return",'Database Query'!$E$14)+N130</f>
        <v>6.6884000000000027E-2</v>
      </c>
      <c r="P130" s="2" cm="1">
        <f t="array" aca="1" ref="P130" ca="1">_xlfn.IFS($B130="etf", _xll.YCP($A130,"five_year_total_return",'Database Query'!$E$14),$B130&lt;&gt;"etf",_xll.YCP("M:"&amp; $A130,"five_year_total_return",'Database Query'!$E$14))</f>
        <v>0.56519799999999998</v>
      </c>
      <c r="Q130" s="2" cm="1">
        <f t="array" aca="1" ref="Q130" ca="1">-_xll.YCP($E130,"five_year_return",'Database Query'!$E$14)+P130</f>
        <v>4.8702999999999941E-2</v>
      </c>
    </row>
    <row r="131" spans="1:17" x14ac:dyDescent="0.25">
      <c r="A131" t="str">
        <v>ISCG</v>
      </c>
      <c r="B131" t="str" cm="1">
        <f t="array" aca="1" ref="B131" ca="1">_xll.YCI(A131,"detailed_security_type",TODAY())</f>
        <v>etf</v>
      </c>
      <c r="C131" t="str" cm="1">
        <f t="array" aca="1" ref="C131" ca="1">_xlfn.IFS(B131="etf", _xll.YCI(A131, "security_name",TODAY()),B131&lt;&gt;"etf",_xll.YCI("M:" &amp; A131, "security_name",TODAY()))</f>
        <v>iShares Morningstar Small-Cap Growth ETF</v>
      </c>
      <c r="D131" t="str" cm="1">
        <f t="array" aca="1" ref="D131" ca="1">_xlfn.IFS($B131="etf", _xll.YCI($A131, "ycharts_benchmark_category",TODAY()),$B131&lt;&gt;"etf",_xll.YCI("M:" &amp; $A131, "ycharts_benchmark_category",TODAY()))</f>
        <v>US Small-Cap Growth</v>
      </c>
      <c r="E131" t="str" cm="1">
        <f t="array" aca="1" ref="E131" ca="1">_xlfn.IFS($B131="etf", _xll.YCI($A131, "ycharts_benchmark_index_symbol",TODAY()),$B131&lt;&gt;"etf",_xll.YCI("M:" &amp; $A131, "ycharts_benchmark_index_symbol",TODAY()))</f>
        <v>^RUOTR</v>
      </c>
      <c r="F131" t="str" cm="1">
        <f t="array" aca="1" ref="F131" ca="1">_xlfn.IFS($B131="etf", _xll.YCI($E131, "security_name",TODAY()),$B131&lt;&gt;"etf",_xll.YCI( $E131, "security_name",TODAY()))</f>
        <v>Russell 2000 Growth Total Return</v>
      </c>
      <c r="G131" t="str" cm="1">
        <f t="array" aca="1" ref="G131" ca="1">_xlfn.IFS($B131="etf", _xll.YCI($A131, "prospectus_benchmark_index",TODAY()),$B131&lt;&gt;"etf",_xll.YCI("M:" &amp; $A131, "prospectus_benchmark_index",TODAY()))</f>
        <v>Morningstar US Small Brd Grt Ext TR USD</v>
      </c>
      <c r="H131" s="2" cm="1">
        <f t="array" aca="1" ref="H131" ca="1">_xlfn.IFS($B131="etf", _xll.YCP($A131,"quarterly_total_return",'Database Query'!$E$14),$B131&lt;&gt;"etf",_xll.YCP("M:"&amp; $A131,"quarterly_total_return",'Database Query'!$E$14))</f>
        <v>1.4312999999999999E-2</v>
      </c>
      <c r="I131" s="2" cm="1">
        <f t="array" aca="1" ref="I131" ca="1">-_xll.YCP($E131,"quarterly_return",'Database Query'!$E$14)+H131</f>
        <v>-2.7259999999999993E-3</v>
      </c>
      <c r="J131" s="2" cm="1">
        <f t="array" aca="1" ref="J131" ca="1">_xlfn.IFS($B131="etf", _xll.YCP($A131,"ytd_total_return",'Database Query'!$E$14),$B131&lt;&gt;"etf",_xll.YCP("M:"&amp; $A131,"ytd_total_return",'Database Query'!$E$14))</f>
        <v>0.133578</v>
      </c>
      <c r="K131" s="2" cm="1">
        <f t="array" aca="1" ref="K131" ca="1">-_xll.YCP($E131,"ytd_return",'Database Query'!$E$14)+J131</f>
        <v>-1.7964000000000008E-2</v>
      </c>
      <c r="L131" s="2" cm="1">
        <f t="array" aca="1" ref="L131" ca="1">_xlfn.IFS($B131="etf", _xll.YCP($A131,"one_year_total_return",'Database Query'!$E$14),$B131&lt;&gt;"etf",_xll.YCP("M:"&amp; $A131,"one_year_total_return",'Database Query'!$E$14))</f>
        <v>0.133578</v>
      </c>
      <c r="M131" s="2" cm="1">
        <f t="array" aca="1" ref="M131" ca="1">-_xll.YCP($E131,"one_year_return",'Database Query'!$E$14)+L131</f>
        <v>-1.7964000000000008E-2</v>
      </c>
      <c r="N131" s="2" cm="1">
        <f t="array" aca="1" ref="N131" ca="1">_xlfn.IFS($B131="etf", _xll.YCP($A131,"three_year_total_return",'Database Query'!$E$14),$B131&lt;&gt;"etf",_xll.YCP("M:"&amp; $A131,"three_year_total_return",'Database Query'!$E$14))</f>
        <v>2.2471000000000001E-2</v>
      </c>
      <c r="O131" s="2" cm="1">
        <f t="array" aca="1" ref="O131" ca="1">-_xll.YCP($E131,"three_year_return",'Database Query'!$E$14)+N131</f>
        <v>1.6218000000000003E-2</v>
      </c>
      <c r="P131" s="2" cm="1">
        <f t="array" aca="1" ref="P131" ca="1">_xlfn.IFS($B131="etf", _xll.YCP($A131,"five_year_total_return",'Database Query'!$E$14),$B131&lt;&gt;"etf",_xll.YCP("M:"&amp; $A131,"five_year_total_return",'Database Query'!$E$14))</f>
        <v>0.44795099999999999</v>
      </c>
      <c r="Q131" s="2" cm="1">
        <f t="array" aca="1" ref="Q131" ca="1">-_xll.YCP($E131,"five_year_return",'Database Query'!$E$14)+P131</f>
        <v>5.4804999999999993E-2</v>
      </c>
    </row>
    <row r="132" spans="1:17" x14ac:dyDescent="0.25">
      <c r="A132" t="str">
        <v>ISCV</v>
      </c>
      <c r="B132" t="str" cm="1">
        <f t="array" aca="1" ref="B132" ca="1">_xll.YCI(A132,"detailed_security_type",TODAY())</f>
        <v>etf</v>
      </c>
      <c r="C132" t="str" cm="1">
        <f t="array" aca="1" ref="C132" ca="1">_xlfn.IFS(B132="etf", _xll.YCI(A132, "security_name",TODAY()),B132&lt;&gt;"etf",_xll.YCI("M:" &amp; A132, "security_name",TODAY()))</f>
        <v>iShares Morningstar Small-Cap Value ETF</v>
      </c>
      <c r="D132" t="str" cm="1">
        <f t="array" aca="1" ref="D132" ca="1">_xlfn.IFS($B132="etf", _xll.YCI($A132, "ycharts_benchmark_category",TODAY()),$B132&lt;&gt;"etf",_xll.YCI("M:" &amp; $A132, "ycharts_benchmark_category",TODAY()))</f>
        <v>US Small-Cap Value</v>
      </c>
      <c r="E132" t="str" cm="1">
        <f t="array" aca="1" ref="E132" ca="1">_xlfn.IFS($B132="etf", _xll.YCI($A132, "ycharts_benchmark_index_symbol",TODAY()),$B132&lt;&gt;"etf",_xll.YCI("M:" &amp; $A132, "ycharts_benchmark_index_symbol",TODAY()))</f>
        <v>^RUJTR</v>
      </c>
      <c r="F132" t="str" cm="1">
        <f t="array" aca="1" ref="F132" ca="1">_xlfn.IFS($B132="etf", _xll.YCI($E132, "security_name",TODAY()),$B132&lt;&gt;"etf",_xll.YCI( $E132, "security_name",TODAY()))</f>
        <v>Russell 2000 Value Total Return</v>
      </c>
      <c r="G132" t="str" cm="1">
        <f t="array" aca="1" ref="G132" ca="1">_xlfn.IFS($B132="etf", _xll.YCI($A132, "prospectus_benchmark_index",TODAY()),$B132&lt;&gt;"etf",_xll.YCI("M:" &amp; $A132, "prospectus_benchmark_index",TODAY()))</f>
        <v>Morningstar US Small Brd Val Ext TR USD</v>
      </c>
      <c r="H132" s="2" cm="1">
        <f t="array" aca="1" ref="H132" ca="1">_xlfn.IFS($B132="etf", _xll.YCP($A132,"quarterly_total_return",'Database Query'!$E$14),$B132&lt;&gt;"etf",_xll.YCP("M:"&amp; $A132,"quarterly_total_return",'Database Query'!$E$14))</f>
        <v>4.692E-3</v>
      </c>
      <c r="I132" s="2" cm="1">
        <f t="array" aca="1" ref="I132" ca="1">-_xll.YCP($E132,"quarterly_return",'Database Query'!$E$14)+H132</f>
        <v>1.5323E-2</v>
      </c>
      <c r="J132" s="2" cm="1">
        <f t="array" aca="1" ref="J132" ca="1">_xlfn.IFS($B132="etf", _xll.YCP($A132,"ytd_total_return",'Database Query'!$E$14),$B132&lt;&gt;"etf",_xll.YCP("M:"&amp; $A132,"ytd_total_return",'Database Query'!$E$14))</f>
        <v>9.3237E-2</v>
      </c>
      <c r="K132" s="2" cm="1">
        <f t="array" aca="1" ref="K132" ca="1">-_xll.YCP($E132,"ytd_return",'Database Query'!$E$14)+J132</f>
        <v>1.2690999999999994E-2</v>
      </c>
      <c r="L132" s="2" cm="1">
        <f t="array" aca="1" ref="L132" ca="1">_xlfn.IFS($B132="etf", _xll.YCP($A132,"one_year_total_return",'Database Query'!$E$14),$B132&lt;&gt;"etf",_xll.YCP("M:"&amp; $A132,"one_year_total_return",'Database Query'!$E$14))</f>
        <v>9.3237E-2</v>
      </c>
      <c r="M132" s="2" cm="1">
        <f t="array" aca="1" ref="M132" ca="1">-_xll.YCP($E132,"one_year_return",'Database Query'!$E$14)+L132</f>
        <v>1.2690999999999994E-2</v>
      </c>
      <c r="N132" s="2" cm="1">
        <f t="array" aca="1" ref="N132" ca="1">_xlfn.IFS($B132="etf", _xll.YCP($A132,"three_year_total_return",'Database Query'!$E$14),$B132&lt;&gt;"etf",_xll.YCP("M:"&amp; $A132,"three_year_total_return",'Database Query'!$E$14))</f>
        <v>0.13972599999999999</v>
      </c>
      <c r="O132" s="2" cm="1">
        <f t="array" aca="1" ref="O132" ca="1">-_xll.YCP($E132,"three_year_return",'Database Query'!$E$14)+N132</f>
        <v>8.0337999999999993E-2</v>
      </c>
      <c r="P132" s="2" cm="1">
        <f t="array" aca="1" ref="P132" ca="1">_xlfn.IFS($B132="etf", _xll.YCP($A132,"five_year_total_return",'Database Query'!$E$14),$B132&lt;&gt;"etf",_xll.YCP("M:"&amp; $A132,"five_year_total_return",'Database Query'!$E$14))</f>
        <v>0.48416399999999998</v>
      </c>
      <c r="Q132" s="2" cm="1">
        <f t="array" aca="1" ref="Q132" ca="1">-_xll.YCP($E132,"five_year_return",'Database Query'!$E$14)+P132</f>
        <v>6.2307999999999975E-2</v>
      </c>
    </row>
    <row r="133" spans="1:17" x14ac:dyDescent="0.25">
      <c r="A133" t="str">
        <v>ISTB</v>
      </c>
      <c r="B133" t="str" cm="1">
        <f t="array" aca="1" ref="B133" ca="1">_xll.YCI(A133,"detailed_security_type",TODAY())</f>
        <v>etf</v>
      </c>
      <c r="C133" t="str" cm="1">
        <f t="array" aca="1" ref="C133" ca="1">_xlfn.IFS(B133="etf", _xll.YCI(A133, "security_name",TODAY()),B133&lt;&gt;"etf",_xll.YCI("M:" &amp; A133, "security_name",TODAY()))</f>
        <v>iShares Core 1-5 Year USD Bond ETF</v>
      </c>
      <c r="D133" t="str" cm="1">
        <f t="array" aca="1" ref="D133" ca="1">_xlfn.IFS($B133="etf", _xll.YCI($A133, "ycharts_benchmark_category",TODAY()),$B133&lt;&gt;"etf",_xll.YCI("M:" &amp; $A133, "ycharts_benchmark_category",TODAY()))</f>
        <v>US Aggregate Bond</v>
      </c>
      <c r="E133" t="str" cm="1">
        <f t="array" aca="1" ref="E133" ca="1">_xlfn.IFS($B133="etf", _xll.YCI($A133, "ycharts_benchmark_index_symbol",TODAY()),$B133&lt;&gt;"etf",_xll.YCI("M:" &amp; $A133, "ycharts_benchmark_index_symbol",TODAY()))</f>
        <v>^BBUSATR</v>
      </c>
      <c r="F133" t="str" cm="1">
        <f t="array" aca="1" ref="F133" ca="1">_xlfn.IFS($B133="etf", _xll.YCI($E133, "security_name",TODAY()),$B133&lt;&gt;"etf",_xll.YCI( $E133, "security_name",TODAY()))</f>
        <v>Bloomberg US Aggregate</v>
      </c>
      <c r="G133" t="str" cm="1">
        <f t="array" aca="1" ref="G133" ca="1">_xlfn.IFS($B133="etf", _xll.YCI($A133, "prospectus_benchmark_index",TODAY()),$B133&lt;&gt;"etf",_xll.YCI("M:" &amp; $A133, "prospectus_benchmark_index",TODAY()))</f>
        <v>Bloomberg US Universal 1-5 Years TR USD</v>
      </c>
      <c r="H133" s="2" cm="1">
        <f t="array" aca="1" ref="H133" ca="1">_xlfn.IFS($B133="etf", _xll.YCP($A133,"quarterly_total_return",'Database Query'!$E$14),$B133&lt;&gt;"etf",_xll.YCP("M:"&amp; $A133,"quarterly_total_return",'Database Query'!$E$14))</f>
        <v>-5.5519999999999996E-3</v>
      </c>
      <c r="I133" s="2" cm="1">
        <f t="array" aca="1" ref="I133" ca="1">-_xll.YCP($E133,"quarterly_return",'Database Query'!$E$14)+H133</f>
        <v>2.5064999999999997E-2</v>
      </c>
      <c r="J133" s="2" cm="1">
        <f t="array" aca="1" ref="J133" ca="1">_xlfn.IFS($B133="etf", _xll.YCP($A133,"ytd_total_return",'Database Query'!$E$14),$B133&lt;&gt;"etf",_xll.YCP("M:"&amp; $A133,"ytd_total_return",'Database Query'!$E$14))</f>
        <v>4.3721000000000003E-2</v>
      </c>
      <c r="K133" s="2" cm="1">
        <f t="array" aca="1" ref="K133" ca="1">-_xll.YCP($E133,"ytd_return",'Database Query'!$E$14)+J133</f>
        <v>3.1219000000000004E-2</v>
      </c>
      <c r="L133" s="2" cm="1">
        <f t="array" aca="1" ref="L133" ca="1">_xlfn.IFS($B133="etf", _xll.YCP($A133,"one_year_total_return",'Database Query'!$E$14),$B133&lt;&gt;"etf",_xll.YCP("M:"&amp; $A133,"one_year_total_return",'Database Query'!$E$14))</f>
        <v>4.3721000000000003E-2</v>
      </c>
      <c r="M133" s="2" cm="1">
        <f t="array" aca="1" ref="M133" ca="1">-_xll.YCP($E133,"one_year_return",'Database Query'!$E$14)+L133</f>
        <v>3.1219000000000004E-2</v>
      </c>
      <c r="N133" s="2" cm="1">
        <f t="array" aca="1" ref="N133" ca="1">_xlfn.IFS($B133="etf", _xll.YCP($A133,"three_year_total_return",'Database Query'!$E$14),$B133&lt;&gt;"etf",_xll.YCP("M:"&amp; $A133,"three_year_total_return",'Database Query'!$E$14))</f>
        <v>3.4716999999999998E-2</v>
      </c>
      <c r="O133" s="2" cm="1">
        <f t="array" aca="1" ref="O133" ca="1">-_xll.YCP($E133,"three_year_return",'Database Query'!$E$14)+N133</f>
        <v>0.10524599999999999</v>
      </c>
      <c r="P133" s="2" cm="1">
        <f t="array" aca="1" ref="P133" ca="1">_xlfn.IFS($B133="etf", _xll.YCP($A133,"five_year_total_return",'Database Query'!$E$14),$B133&lt;&gt;"etf",_xll.YCP("M:"&amp; $A133,"five_year_total_return",'Database Query'!$E$14))</f>
        <v>7.6248999999999997E-2</v>
      </c>
      <c r="Q133" s="2" cm="1">
        <f t="array" aca="1" ref="Q133" ca="1">-_xll.YCP($E133,"five_year_return",'Database Query'!$E$14)+P133</f>
        <v>9.2414999999999997E-2</v>
      </c>
    </row>
    <row r="134" spans="1:17" x14ac:dyDescent="0.25">
      <c r="A134" t="str">
        <v>IVE</v>
      </c>
      <c r="B134" t="str" cm="1">
        <f t="array" aca="1" ref="B134" ca="1">_xll.YCI(A134,"detailed_security_type",TODAY())</f>
        <v>etf</v>
      </c>
      <c r="C134" t="str" cm="1">
        <f t="array" aca="1" ref="C134" ca="1">_xlfn.IFS(B134="etf", _xll.YCI(A134, "security_name",TODAY()),B134&lt;&gt;"etf",_xll.YCI("M:" &amp; A134, "security_name",TODAY()))</f>
        <v>iShares S&amp;P 500 Value ETF</v>
      </c>
      <c r="D134" t="str" cm="1">
        <f t="array" aca="1" ref="D134" ca="1">_xlfn.IFS($B134="etf", _xll.YCI($A134, "ycharts_benchmark_category",TODAY()),$B134&lt;&gt;"etf",_xll.YCI("M:" &amp; $A134, "ycharts_benchmark_category",TODAY()))</f>
        <v>US Large Cap Value</v>
      </c>
      <c r="E134" t="str" cm="1">
        <f t="array" aca="1" ref="E134" ca="1">_xlfn.IFS($B134="etf", _xll.YCI($A134, "ycharts_benchmark_index_symbol",TODAY()),$B134&lt;&gt;"etf",_xll.YCI("M:" &amp; $A134, "ycharts_benchmark_index_symbol",TODAY()))</f>
        <v>^RLVTR</v>
      </c>
      <c r="F134" t="str" cm="1">
        <f t="array" aca="1" ref="F134" ca="1">_xlfn.IFS($B134="etf", _xll.YCI($E134, "security_name",TODAY()),$B134&lt;&gt;"etf",_xll.YCI( $E134, "security_name",TODAY()))</f>
        <v>Russell 1000 Value Total Return</v>
      </c>
      <c r="G134" t="str" cm="1">
        <f t="array" aca="1" ref="G134" ca="1">_xlfn.IFS($B134="etf", _xll.YCI($A134, "prospectus_benchmark_index",TODAY()),$B134&lt;&gt;"etf",_xll.YCI("M:" &amp; $A134, "prospectus_benchmark_index",TODAY()))</f>
        <v>S&amp;P 500 Value TR USD</v>
      </c>
      <c r="H134" s="2" cm="1">
        <f t="array" aca="1" ref="H134" ca="1">_xlfn.IFS($B134="etf", _xll.YCP($A134,"quarterly_total_return",'Database Query'!$E$14),$B134&lt;&gt;"etf",_xll.YCP("M:"&amp; $A134,"quarterly_total_return",'Database Query'!$E$14))</f>
        <v>-2.6610999999999999E-2</v>
      </c>
      <c r="I134" s="2" cm="1">
        <f t="array" aca="1" ref="I134" ca="1">-_xll.YCP($E134,"quarterly_return",'Database Query'!$E$14)+H134</f>
        <v>-6.801999999999999E-3</v>
      </c>
      <c r="J134" s="2" cm="1">
        <f t="array" aca="1" ref="J134" ca="1">_xlfn.IFS($B134="etf", _xll.YCP($A134,"ytd_total_return",'Database Query'!$E$14),$B134&lt;&gt;"etf",_xll.YCP("M:"&amp; $A134,"ytd_total_return",'Database Query'!$E$14))</f>
        <v>0.120422</v>
      </c>
      <c r="K134" s="2" cm="1">
        <f t="array" aca="1" ref="K134" ca="1">-_xll.YCP($E134,"ytd_return",'Database Query'!$E$14)+J134</f>
        <v>-2.3261000000000004E-2</v>
      </c>
      <c r="L134" s="2" cm="1">
        <f t="array" aca="1" ref="L134" ca="1">_xlfn.IFS($B134="etf", _xll.YCP($A134,"one_year_total_return",'Database Query'!$E$14),$B134&lt;&gt;"etf",_xll.YCP("M:"&amp; $A134,"one_year_total_return",'Database Query'!$E$14))</f>
        <v>0.120422</v>
      </c>
      <c r="M134" s="2" cm="1">
        <f t="array" aca="1" ref="M134" ca="1">-_xll.YCP($E134,"one_year_return",'Database Query'!$E$14)+L134</f>
        <v>-2.3261000000000004E-2</v>
      </c>
      <c r="N134" s="2" cm="1">
        <f t="array" aca="1" ref="N134" ca="1">_xlfn.IFS($B134="etf", _xll.YCP($A134,"three_year_total_return",'Database Query'!$E$14),$B134&lt;&gt;"etf",_xll.YCP("M:"&amp; $A134,"three_year_total_return",'Database Query'!$E$14))</f>
        <v>0.29408600000000001</v>
      </c>
      <c r="O134" s="2" cm="1">
        <f t="array" aca="1" ref="O134" ca="1">-_xll.YCP($E134,"three_year_return",'Database Query'!$E$14)+N134</f>
        <v>0.11539700000000003</v>
      </c>
      <c r="P134" s="2" cm="1">
        <f t="array" aca="1" ref="P134" ca="1">_xlfn.IFS($B134="etf", _xll.YCP($A134,"five_year_total_return",'Database Query'!$E$14),$B134&lt;&gt;"etf",_xll.YCP("M:"&amp; $A134,"five_year_total_return",'Database Query'!$E$14))</f>
        <v>0.63350600000000001</v>
      </c>
      <c r="Q134" s="2" cm="1">
        <f t="array" aca="1" ref="Q134" ca="1">-_xll.YCP($E134,"five_year_return",'Database Query'!$E$14)+P134</f>
        <v>0.11701099999999998</v>
      </c>
    </row>
    <row r="135" spans="1:17" x14ac:dyDescent="0.25">
      <c r="A135" t="str">
        <v>IVHIX</v>
      </c>
      <c r="B135" t="e" cm="1">
        <f t="array" aca="1" ref="B135" ca="1">_xll.YCI(A135,"detailed_security_type",TODAY())</f>
        <v>#VALUE!</v>
      </c>
      <c r="C135" t="e" cm="1">
        <f t="array" aca="1" ref="C135" ca="1">_xlfn.IFS(B135="etf", _xll.YCI(A135, "security_name",TODAY()),B135&lt;&gt;"etf",_xll.YCI("M:" &amp; A135, "security_name",TODAY()))</f>
        <v>#VALUE!</v>
      </c>
      <c r="D135" t="e" cm="1">
        <f t="array" aca="1" ref="D135" ca="1">_xlfn.IFS($B135="etf", _xll.YCI($A135, "ycharts_benchmark_category",TODAY()),$B135&lt;&gt;"etf",_xll.YCI("M:" &amp; $A135, "ycharts_benchmark_category",TODAY()))</f>
        <v>#VALUE!</v>
      </c>
      <c r="E135" t="e" cm="1">
        <f t="array" aca="1" ref="E135" ca="1">_xlfn.IFS($B135="etf", _xll.YCI($A135, "ycharts_benchmark_index_symbol",TODAY()),$B135&lt;&gt;"etf",_xll.YCI("M:" &amp; $A135, "ycharts_benchmark_index_symbol",TODAY()))</f>
        <v>#VALUE!</v>
      </c>
      <c r="F135" t="e" cm="1">
        <f t="array" aca="1" ref="F135" ca="1">_xlfn.IFS($B135="etf", _xll.YCI($E135, "security_name",TODAY()),$B135&lt;&gt;"etf",_xll.YCI( $E135, "security_name",TODAY()))</f>
        <v>#VALUE!</v>
      </c>
      <c r="G135" t="e" cm="1">
        <f t="array" aca="1" ref="G135" ca="1">_xlfn.IFS($B135="etf", _xll.YCI($A135, "prospectus_benchmark_index",TODAY()),$B135&lt;&gt;"etf",_xll.YCI("M:" &amp; $A135, "prospectus_benchmark_index",TODAY()))</f>
        <v>#VALUE!</v>
      </c>
      <c r="H135" s="2" t="e" cm="1">
        <f t="array" aca="1" ref="H135" ca="1">_xlfn.IFS($B135="etf", _xll.YCP($A135,"quarterly_total_return",'Database Query'!$E$14),$B135&lt;&gt;"etf",_xll.YCP("M:"&amp; $A135,"quarterly_total_return",'Database Query'!$E$14))</f>
        <v>#VALUE!</v>
      </c>
      <c r="I135" s="2" t="e" cm="1">
        <f t="array" aca="1" ref="I135" ca="1">-_xll.YCP($E135,"quarterly_return",'Database Query'!$E$14)+H135</f>
        <v>#VALUE!</v>
      </c>
      <c r="J135" s="2" t="e" cm="1">
        <f t="array" aca="1" ref="J135" ca="1">_xlfn.IFS($B135="etf", _xll.YCP($A135,"ytd_total_return",'Database Query'!$E$14),$B135&lt;&gt;"etf",_xll.YCP("M:"&amp; $A135,"ytd_total_return",'Database Query'!$E$14))</f>
        <v>#VALUE!</v>
      </c>
      <c r="K135" s="2" t="e" cm="1">
        <f t="array" aca="1" ref="K135" ca="1">-_xll.YCP($E135,"ytd_return",'Database Query'!$E$14)+J135</f>
        <v>#VALUE!</v>
      </c>
      <c r="L135" s="2" t="e" cm="1">
        <f t="array" aca="1" ref="L135" ca="1">_xlfn.IFS($B135="etf", _xll.YCP($A135,"one_year_total_return",'Database Query'!$E$14),$B135&lt;&gt;"etf",_xll.YCP("M:"&amp; $A135,"one_year_total_return",'Database Query'!$E$14))</f>
        <v>#VALUE!</v>
      </c>
      <c r="M135" s="2" t="e" cm="1">
        <f t="array" aca="1" ref="M135" ca="1">-_xll.YCP($E135,"one_year_return",'Database Query'!$E$14)+L135</f>
        <v>#VALUE!</v>
      </c>
      <c r="N135" s="2" t="e" cm="1">
        <f t="array" aca="1" ref="N135" ca="1">_xlfn.IFS($B135="etf", _xll.YCP($A135,"three_year_total_return",'Database Query'!$E$14),$B135&lt;&gt;"etf",_xll.YCP("M:"&amp; $A135,"three_year_total_return",'Database Query'!$E$14))</f>
        <v>#VALUE!</v>
      </c>
      <c r="O135" s="2" t="e" cm="1">
        <f t="array" aca="1" ref="O135" ca="1">-_xll.YCP($E135,"three_year_return",'Database Query'!$E$14)+N135</f>
        <v>#VALUE!</v>
      </c>
      <c r="P135" s="2" t="e" cm="1">
        <f t="array" aca="1" ref="P135" ca="1">_xlfn.IFS($B135="etf", _xll.YCP($A135,"five_year_total_return",'Database Query'!$E$14),$B135&lt;&gt;"etf",_xll.YCP("M:"&amp; $A135,"five_year_total_return",'Database Query'!$E$14))</f>
        <v>#VALUE!</v>
      </c>
      <c r="Q135" s="2" t="e" cm="1">
        <f t="array" aca="1" ref="Q135" ca="1">-_xll.YCP($E135,"five_year_return",'Database Query'!$E$14)+P135</f>
        <v>#VALUE!</v>
      </c>
    </row>
    <row r="136" spans="1:17" x14ac:dyDescent="0.25">
      <c r="A136" t="str">
        <v>IWF</v>
      </c>
      <c r="B136" t="str" cm="1">
        <f t="array" aca="1" ref="B136" ca="1">_xll.YCI(A136,"detailed_security_type",TODAY())</f>
        <v>etf</v>
      </c>
      <c r="C136" t="str" cm="1">
        <f t="array" aca="1" ref="C136" ca="1">_xlfn.IFS(B136="etf", _xll.YCI(A136, "security_name",TODAY()),B136&lt;&gt;"etf",_xll.YCI("M:" &amp; A136, "security_name",TODAY()))</f>
        <v>iShares Russell 1000 Growth</v>
      </c>
      <c r="D136" t="str" cm="1">
        <f t="array" aca="1" ref="D136" ca="1">_xlfn.IFS($B136="etf", _xll.YCI($A136, "ycharts_benchmark_category",TODAY()),$B136&lt;&gt;"etf",_xll.YCI("M:" &amp; $A136, "ycharts_benchmark_category",TODAY()))</f>
        <v>US Large Cap Growth</v>
      </c>
      <c r="E136" t="str" cm="1">
        <f t="array" aca="1" ref="E136" ca="1">_xlfn.IFS($B136="etf", _xll.YCI($A136, "ycharts_benchmark_index_symbol",TODAY()),$B136&lt;&gt;"etf",_xll.YCI("M:" &amp; $A136, "ycharts_benchmark_index_symbol",TODAY()))</f>
        <v>^RLGTR</v>
      </c>
      <c r="F136" t="str" cm="1">
        <f t="array" aca="1" ref="F136" ca="1">_xlfn.IFS($B136="etf", _xll.YCI($E136, "security_name",TODAY()),$B136&lt;&gt;"etf",_xll.YCI( $E136, "security_name",TODAY()))</f>
        <v>Russell 1000 Growth Total Return</v>
      </c>
      <c r="G136" t="str" cm="1">
        <f t="array" aca="1" ref="G136" ca="1">_xlfn.IFS($B136="etf", _xll.YCI($A136, "prospectus_benchmark_index",TODAY()),$B136&lt;&gt;"etf",_xll.YCI("M:" &amp; $A136, "prospectus_benchmark_index",TODAY()))</f>
        <v>Russell 1000 Growth TR USD</v>
      </c>
      <c r="H136" s="2" cm="1">
        <f t="array" aca="1" ref="H136" ca="1">_xlfn.IFS($B136="etf", _xll.YCP($A136,"quarterly_total_return",'Database Query'!$E$14),$B136&lt;&gt;"etf",_xll.YCP("M:"&amp; $A136,"quarterly_total_return",'Database Query'!$E$14))</f>
        <v>7.0888000000000007E-2</v>
      </c>
      <c r="I136" s="2" cm="1">
        <f t="array" aca="1" ref="I136" ca="1">-_xll.YCP($E136,"quarterly_return",'Database Query'!$E$14)+H136</f>
        <v>1.8300000000000261E-4</v>
      </c>
      <c r="J136" s="2" cm="1">
        <f t="array" aca="1" ref="J136" ca="1">_xlfn.IFS($B136="etf", _xll.YCP($A136,"ytd_total_return",'Database Query'!$E$14),$B136&lt;&gt;"etf",_xll.YCP("M:"&amp; $A136,"ytd_total_return",'Database Query'!$E$14))</f>
        <v>0.331206</v>
      </c>
      <c r="K136" s="2" cm="1">
        <f t="array" aca="1" ref="K136" ca="1">-_xll.YCP($E136,"ytd_return",'Database Query'!$E$14)+J136</f>
        <v>-2.3560000000000247E-3</v>
      </c>
      <c r="L136" s="2" cm="1">
        <f t="array" aca="1" ref="L136" ca="1">_xlfn.IFS($B136="etf", _xll.YCP($A136,"one_year_total_return",'Database Query'!$E$14),$B136&lt;&gt;"etf",_xll.YCP("M:"&amp; $A136,"one_year_total_return",'Database Query'!$E$14))</f>
        <v>0.331206</v>
      </c>
      <c r="M136" s="2" cm="1">
        <f t="array" aca="1" ref="M136" ca="1">-_xll.YCP($E136,"one_year_return",'Database Query'!$E$14)+L136</f>
        <v>-2.3560000000000247E-3</v>
      </c>
      <c r="N136" s="2" cm="1">
        <f t="array" aca="1" ref="N136" ca="1">_xlfn.IFS($B136="etf", _xll.YCP($A136,"three_year_total_return",'Database Query'!$E$14),$B136&lt;&gt;"etf",_xll.YCP("M:"&amp; $A136,"three_year_total_return",'Database Query'!$E$14))</f>
        <v>0.34195999999999999</v>
      </c>
      <c r="O136" s="2" cm="1">
        <f t="array" aca="1" ref="O136" ca="1">-_xll.YCP($E136,"three_year_return",'Database Query'!$E$14)+N136</f>
        <v>-6.3540000000000263E-3</v>
      </c>
      <c r="P136" s="2" cm="1">
        <f t="array" aca="1" ref="P136" ca="1">_xlfn.IFS($B136="etf", _xll.YCP($A136,"five_year_total_return",'Database Query'!$E$14),$B136&lt;&gt;"etf",_xll.YCP("M:"&amp; $A136,"five_year_total_return",'Database Query'!$E$14))</f>
        <v>1.3643190000000001</v>
      </c>
      <c r="Q136" s="2" cm="1">
        <f t="array" aca="1" ref="Q136" ca="1">-_xll.YCP($E136,"five_year_return",'Database Query'!$E$14)+P136</f>
        <v>-1.8316999999999917E-2</v>
      </c>
    </row>
    <row r="137" spans="1:17" x14ac:dyDescent="0.25">
      <c r="A137" t="str">
        <v>IWN</v>
      </c>
      <c r="B137" t="str" cm="1">
        <f t="array" aca="1" ref="B137" ca="1">_xll.YCI(A137,"detailed_security_type",TODAY())</f>
        <v>etf</v>
      </c>
      <c r="C137" t="str" cm="1">
        <f t="array" aca="1" ref="C137" ca="1">_xlfn.IFS(B137="etf", _xll.YCI(A137, "security_name",TODAY()),B137&lt;&gt;"etf",_xll.YCI("M:" &amp; A137, "security_name",TODAY()))</f>
        <v>iShares Russell 2000 Value ETF</v>
      </c>
      <c r="D137" t="str" cm="1">
        <f t="array" aca="1" ref="D137" ca="1">_xlfn.IFS($B137="etf", _xll.YCI($A137, "ycharts_benchmark_category",TODAY()),$B137&lt;&gt;"etf",_xll.YCI("M:" &amp; $A137, "ycharts_benchmark_category",TODAY()))</f>
        <v>US Small-Cap Core</v>
      </c>
      <c r="E137" t="str" cm="1">
        <f t="array" aca="1" ref="E137" ca="1">_xlfn.IFS($B137="etf", _xll.YCI($A137, "ycharts_benchmark_index_symbol",TODAY()),$B137&lt;&gt;"etf",_xll.YCI("M:" &amp; $A137, "ycharts_benchmark_index_symbol",TODAY()))</f>
        <v>^RUTTR</v>
      </c>
      <c r="F137" t="str" cm="1">
        <f t="array" aca="1" ref="F137" ca="1">_xlfn.IFS($B137="etf", _xll.YCI($E137, "security_name",TODAY()),$B137&lt;&gt;"etf",_xll.YCI( $E137, "security_name",TODAY()))</f>
        <v>Russell 2000 Total Return</v>
      </c>
      <c r="G137" t="str" cm="1">
        <f t="array" aca="1" ref="G137" ca="1">_xlfn.IFS($B137="etf", _xll.YCI($A137, "prospectus_benchmark_index",TODAY()),$B137&lt;&gt;"etf",_xll.YCI("M:" &amp; $A137, "prospectus_benchmark_index",TODAY()))</f>
        <v>Russell 2000 Value TR USD</v>
      </c>
      <c r="H137" s="2" cm="1">
        <f t="array" aca="1" ref="H137" ca="1">_xlfn.IFS($B137="etf", _xll.YCP($A137,"quarterly_total_return",'Database Query'!$E$14),$B137&lt;&gt;"etf",_xll.YCP("M:"&amp; $A137,"quarterly_total_return",'Database Query'!$E$14))</f>
        <v>-1.0956E-2</v>
      </c>
      <c r="I137" s="2" cm="1">
        <f t="array" aca="1" ref="I137" ca="1">-_xll.YCP($E137,"quarterly_return",'Database Query'!$E$14)+H137</f>
        <v>-1.4301000000000001E-2</v>
      </c>
      <c r="J137" s="2" cm="1">
        <f t="array" aca="1" ref="J137" ca="1">_xlfn.IFS($B137="etf", _xll.YCP($A137,"ytd_total_return",'Database Query'!$E$14),$B137&lt;&gt;"etf",_xll.YCP("M:"&amp; $A137,"ytd_total_return",'Database Query'!$E$14))</f>
        <v>7.6415999999999998E-2</v>
      </c>
      <c r="K137" s="2" cm="1">
        <f t="array" aca="1" ref="K137" ca="1">-_xll.YCP($E137,"ytd_return",'Database Query'!$E$14)+J137</f>
        <v>-3.8962999999999998E-2</v>
      </c>
      <c r="L137" s="2" cm="1">
        <f t="array" aca="1" ref="L137" ca="1">_xlfn.IFS($B137="etf", _xll.YCP($A137,"one_year_total_return",'Database Query'!$E$14),$B137&lt;&gt;"etf",_xll.YCP("M:"&amp; $A137,"one_year_total_return",'Database Query'!$E$14))</f>
        <v>7.6415999999999998E-2</v>
      </c>
      <c r="M137" s="2" cm="1">
        <f t="array" aca="1" ref="M137" ca="1">-_xll.YCP($E137,"one_year_return",'Database Query'!$E$14)+L137</f>
        <v>-3.8962999999999998E-2</v>
      </c>
      <c r="N137" s="2" cm="1">
        <f t="array" aca="1" ref="N137" ca="1">_xlfn.IFS($B137="etf", _xll.YCP($A137,"three_year_total_return",'Database Query'!$E$14),$B137&lt;&gt;"etf",_xll.YCP("M:"&amp; $A137,"three_year_total_return",'Database Query'!$E$14))</f>
        <v>5.1316000000000001E-2</v>
      </c>
      <c r="O137" s="2" cm="1">
        <f t="array" aca="1" ref="O137" ca="1">-_xll.YCP($E137,"three_year_return",'Database Query'!$E$14)+N137</f>
        <v>1.3648E-2</v>
      </c>
      <c r="P137" s="2" cm="1">
        <f t="array" aca="1" ref="P137" ca="1">_xlfn.IFS($B137="etf", _xll.YCP($A137,"five_year_total_return",'Database Query'!$E$14),$B137&lt;&gt;"etf",_xll.YCP("M:"&amp; $A137,"five_year_total_return",'Database Query'!$E$14))</f>
        <v>0.40802699999999997</v>
      </c>
      <c r="Q137" s="2" cm="1">
        <f t="array" aca="1" ref="Q137" ca="1">-_xll.YCP($E137,"five_year_return",'Database Query'!$E$14)+P137</f>
        <v>-2.1234000000000031E-2</v>
      </c>
    </row>
    <row r="138" spans="1:17" x14ac:dyDescent="0.25">
      <c r="A138" t="str">
        <v>IWO</v>
      </c>
      <c r="B138" t="str" cm="1">
        <f t="array" aca="1" ref="B138" ca="1">_xll.YCI(A138,"detailed_security_type",TODAY())</f>
        <v>etf</v>
      </c>
      <c r="C138" t="str" cm="1">
        <f t="array" aca="1" ref="C138" ca="1">_xlfn.IFS(B138="etf", _xll.YCI(A138, "security_name",TODAY()),B138&lt;&gt;"etf",_xll.YCI("M:" &amp; A138, "security_name",TODAY()))</f>
        <v>iShares Russell 2000 Growth ETF</v>
      </c>
      <c r="D138" t="str" cm="1">
        <f t="array" aca="1" ref="D138" ca="1">_xlfn.IFS($B138="etf", _xll.YCI($A138, "ycharts_benchmark_category",TODAY()),$B138&lt;&gt;"etf",_xll.YCI("M:" &amp; $A138, "ycharts_benchmark_category",TODAY()))</f>
        <v>US Small-Cap Growth</v>
      </c>
      <c r="E138" t="str" cm="1">
        <f t="array" aca="1" ref="E138" ca="1">_xlfn.IFS($B138="etf", _xll.YCI($A138, "ycharts_benchmark_index_symbol",TODAY()),$B138&lt;&gt;"etf",_xll.YCI("M:" &amp; $A138, "ycharts_benchmark_index_symbol",TODAY()))</f>
        <v>^RUOTR</v>
      </c>
      <c r="F138" t="str" cm="1">
        <f t="array" aca="1" ref="F138" ca="1">_xlfn.IFS($B138="etf", _xll.YCI($E138, "security_name",TODAY()),$B138&lt;&gt;"etf",_xll.YCI( $E138, "security_name",TODAY()))</f>
        <v>Russell 2000 Growth Total Return</v>
      </c>
      <c r="G138" t="str" cm="1">
        <f t="array" aca="1" ref="G138" ca="1">_xlfn.IFS($B138="etf", _xll.YCI($A138, "prospectus_benchmark_index",TODAY()),$B138&lt;&gt;"etf",_xll.YCI("M:" &amp; $A138, "prospectus_benchmark_index",TODAY()))</f>
        <v>Russell 2000 Growth TR USD</v>
      </c>
      <c r="H138" s="2" cm="1">
        <f t="array" aca="1" ref="H138" ca="1">_xlfn.IFS($B138="etf", _xll.YCP($A138,"quarterly_total_return",'Database Query'!$E$14),$B138&lt;&gt;"etf",_xll.YCP("M:"&amp; $A138,"quarterly_total_return",'Database Query'!$E$14))</f>
        <v>1.6975000000000001E-2</v>
      </c>
      <c r="I138" s="2" cm="1">
        <f t="array" aca="1" ref="I138" ca="1">-_xll.YCP($E138,"quarterly_return",'Database Query'!$E$14)+H138</f>
        <v>-6.3999999999998086E-5</v>
      </c>
      <c r="J138" s="2" cm="1">
        <f t="array" aca="1" ref="J138" ca="1">_xlfn.IFS($B138="etf", _xll.YCP($A138,"ytd_total_return",'Database Query'!$E$14),$B138&lt;&gt;"etf",_xll.YCP("M:"&amp; $A138,"ytd_total_return",'Database Query'!$E$14))</f>
        <v>0.150425</v>
      </c>
      <c r="K138" s="2" cm="1">
        <f t="array" aca="1" ref="K138" ca="1">-_xll.YCP($E138,"ytd_return",'Database Query'!$E$14)+J138</f>
        <v>-1.1170000000000069E-3</v>
      </c>
      <c r="L138" s="2" cm="1">
        <f t="array" aca="1" ref="L138" ca="1">_xlfn.IFS($B138="etf", _xll.YCP($A138,"one_year_total_return",'Database Query'!$E$14),$B138&lt;&gt;"etf",_xll.YCP("M:"&amp; $A138,"one_year_total_return",'Database Query'!$E$14))</f>
        <v>0.150425</v>
      </c>
      <c r="M138" s="2" cm="1">
        <f t="array" aca="1" ref="M138" ca="1">-_xll.YCP($E138,"one_year_return",'Database Query'!$E$14)+L138</f>
        <v>-1.1170000000000069E-3</v>
      </c>
      <c r="N138" s="2" cm="1">
        <f t="array" aca="1" ref="N138" ca="1">_xlfn.IFS($B138="etf", _xll.YCP($A138,"three_year_total_return",'Database Query'!$E$14),$B138&lt;&gt;"etf",_xll.YCP("M:"&amp; $A138,"three_year_total_return",'Database Query'!$E$14))</f>
        <v>5.4770000000000001E-3</v>
      </c>
      <c r="O138" s="2" cm="1">
        <f t="array" aca="1" ref="O138" ca="1">-_xll.YCP($E138,"three_year_return",'Database Query'!$E$14)+N138</f>
        <v>-7.7599999999999978E-4</v>
      </c>
      <c r="P138" s="2" cm="1">
        <f t="array" aca="1" ref="P138" ca="1">_xlfn.IFS($B138="etf", _xll.YCP($A138,"five_year_total_return",'Database Query'!$E$14),$B138&lt;&gt;"etf",_xll.YCP("M:"&amp; $A138,"five_year_total_return",'Database Query'!$E$14))</f>
        <v>0.38856499999999999</v>
      </c>
      <c r="Q138" s="2" cm="1">
        <f t="array" aca="1" ref="Q138" ca="1">-_xll.YCP($E138,"five_year_return",'Database Query'!$E$14)+P138</f>
        <v>-4.5810000000000017E-3</v>
      </c>
    </row>
    <row r="139" spans="1:17" x14ac:dyDescent="0.25">
      <c r="A139" t="str">
        <v>IWP</v>
      </c>
      <c r="B139" t="str" cm="1">
        <f t="array" aca="1" ref="B139" ca="1">_xll.YCI(A139,"detailed_security_type",TODAY())</f>
        <v>etf</v>
      </c>
      <c r="C139" t="str" cm="1">
        <f t="array" aca="1" ref="C139" ca="1">_xlfn.IFS(B139="etf", _xll.YCI(A139, "security_name",TODAY()),B139&lt;&gt;"etf",_xll.YCI("M:" &amp; A139, "security_name",TODAY()))</f>
        <v>iShares Russell Mid-Cap Growth ETF</v>
      </c>
      <c r="D139" t="str" cm="1">
        <f t="array" aca="1" ref="D139" ca="1">_xlfn.IFS($B139="etf", _xll.YCI($A139, "ycharts_benchmark_category",TODAY()),$B139&lt;&gt;"etf",_xll.YCI("M:" &amp; $A139, "ycharts_benchmark_category",TODAY()))</f>
        <v>US Mid-Cap Growth</v>
      </c>
      <c r="E139" t="str" cm="1">
        <f t="array" aca="1" ref="E139" ca="1">_xlfn.IFS($B139="etf", _xll.YCI($A139, "ycharts_benchmark_index_symbol",TODAY()),$B139&lt;&gt;"etf",_xll.YCI("M:" &amp; $A139, "ycharts_benchmark_index_symbol",TODAY()))</f>
        <v>^RDGTR</v>
      </c>
      <c r="F139" t="str" cm="1">
        <f t="array" aca="1" ref="F139" ca="1">_xlfn.IFS($B139="etf", _xll.YCI($E139, "security_name",TODAY()),$B139&lt;&gt;"etf",_xll.YCI( $E139, "security_name",TODAY()))</f>
        <v>Russell Midcap Growth Total Return</v>
      </c>
      <c r="G139" t="str" cm="1">
        <f t="array" aca="1" ref="G139" ca="1">_xlfn.IFS($B139="etf", _xll.YCI($A139, "prospectus_benchmark_index",TODAY()),$B139&lt;&gt;"etf",_xll.YCI("M:" &amp; $A139, "prospectus_benchmark_index",TODAY()))</f>
        <v>Russell Mid Cap Growth TR USD</v>
      </c>
      <c r="H139" s="2" cm="1">
        <f t="array" aca="1" ref="H139" ca="1">_xlfn.IFS($B139="etf", _xll.YCP($A139,"quarterly_total_return",'Database Query'!$E$14),$B139&lt;&gt;"etf",_xll.YCP("M:"&amp; $A139,"quarterly_total_return",'Database Query'!$E$14))</f>
        <v>8.1626000000000004E-2</v>
      </c>
      <c r="I139" s="2" cm="1">
        <f t="array" aca="1" ref="I139" ca="1">-_xll.YCP($E139,"quarterly_return",'Database Query'!$E$14)+H139</f>
        <v>2.1000000000000185E-4</v>
      </c>
      <c r="J139" s="2" cm="1">
        <f t="array" aca="1" ref="J139" ca="1">_xlfn.IFS($B139="etf", _xll.YCP($A139,"ytd_total_return",'Database Query'!$E$14),$B139&lt;&gt;"etf",_xll.YCP("M:"&amp; $A139,"ytd_total_return",'Database Query'!$E$14))</f>
        <v>0.21862000000000001</v>
      </c>
      <c r="K139" s="2" cm="1">
        <f t="array" aca="1" ref="K139" ca="1">-_xll.YCP($E139,"ytd_return",'Database Query'!$E$14)+J139</f>
        <v>-2.4109999999999965E-3</v>
      </c>
      <c r="L139" s="2" cm="1">
        <f t="array" aca="1" ref="L139" ca="1">_xlfn.IFS($B139="etf", _xll.YCP($A139,"one_year_total_return",'Database Query'!$E$14),$B139&lt;&gt;"etf",_xll.YCP("M:"&amp; $A139,"one_year_total_return",'Database Query'!$E$14))</f>
        <v>0.21862000000000001</v>
      </c>
      <c r="M139" s="2" cm="1">
        <f t="array" aca="1" ref="M139" ca="1">-_xll.YCP($E139,"one_year_return",'Database Query'!$E$14)+L139</f>
        <v>-2.4109999999999965E-3</v>
      </c>
      <c r="N139" s="2" cm="1">
        <f t="array" aca="1" ref="N139" ca="1">_xlfn.IFS($B139="etf", _xll.YCP($A139,"three_year_total_return",'Database Query'!$E$14),$B139&lt;&gt;"etf",_xll.YCP("M:"&amp; $A139,"three_year_total_return",'Database Query'!$E$14))</f>
        <v>0.11981899999999999</v>
      </c>
      <c r="O139" s="2" cm="1">
        <f t="array" aca="1" ref="O139" ca="1">-_xll.YCP($E139,"three_year_return",'Database Query'!$E$14)+N139</f>
        <v>-6.3870000000000177E-3</v>
      </c>
      <c r="P139" s="2" cm="1">
        <f t="array" aca="1" ref="P139" ca="1">_xlfn.IFS($B139="etf", _xll.YCP($A139,"five_year_total_return",'Database Query'!$E$14),$B139&lt;&gt;"etf",_xll.YCP("M:"&amp; $A139,"five_year_total_return",'Database Query'!$E$14))</f>
        <v>0.70523400000000003</v>
      </c>
      <c r="Q139" s="2" cm="1">
        <f t="array" aca="1" ref="Q139" ca="1">-_xll.YCP($E139,"five_year_return",'Database Query'!$E$14)+P139</f>
        <v>-1.6106999999999982E-2</v>
      </c>
    </row>
    <row r="140" spans="1:17" x14ac:dyDescent="0.25">
      <c r="A140" t="str">
        <v>JABNX</v>
      </c>
      <c r="B140" t="e" cm="1">
        <f t="array" aca="1" ref="B140" ca="1">_xll.YCI(A140,"detailed_security_type",TODAY())</f>
        <v>#VALUE!</v>
      </c>
      <c r="C140" t="e" cm="1">
        <f t="array" aca="1" ref="C140" ca="1">_xlfn.IFS(B140="etf", _xll.YCI(A140, "security_name",TODAY()),B140&lt;&gt;"etf",_xll.YCI("M:" &amp; A140, "security_name",TODAY()))</f>
        <v>#VALUE!</v>
      </c>
      <c r="D140" t="e" cm="1">
        <f t="array" aca="1" ref="D140" ca="1">_xlfn.IFS($B140="etf", _xll.YCI($A140, "ycharts_benchmark_category",TODAY()),$B140&lt;&gt;"etf",_xll.YCI("M:" &amp; $A140, "ycharts_benchmark_category",TODAY()))</f>
        <v>#VALUE!</v>
      </c>
      <c r="E140" t="e" cm="1">
        <f t="array" aca="1" ref="E140" ca="1">_xlfn.IFS($B140="etf", _xll.YCI($A140, "ycharts_benchmark_index_symbol",TODAY()),$B140&lt;&gt;"etf",_xll.YCI("M:" &amp; $A140, "ycharts_benchmark_index_symbol",TODAY()))</f>
        <v>#VALUE!</v>
      </c>
      <c r="F140" t="e" cm="1">
        <f t="array" aca="1" ref="F140" ca="1">_xlfn.IFS($B140="etf", _xll.YCI($E140, "security_name",TODAY()),$B140&lt;&gt;"etf",_xll.YCI( $E140, "security_name",TODAY()))</f>
        <v>#VALUE!</v>
      </c>
      <c r="G140" t="e" cm="1">
        <f t="array" aca="1" ref="G140" ca="1">_xlfn.IFS($B140="etf", _xll.YCI($A140, "prospectus_benchmark_index",TODAY()),$B140&lt;&gt;"etf",_xll.YCI("M:" &amp; $A140, "prospectus_benchmark_index",TODAY()))</f>
        <v>#VALUE!</v>
      </c>
      <c r="H140" s="2" t="e" cm="1">
        <f t="array" aca="1" ref="H140" ca="1">_xlfn.IFS($B140="etf", _xll.YCP($A140,"quarterly_total_return",'Database Query'!$E$14),$B140&lt;&gt;"etf",_xll.YCP("M:"&amp; $A140,"quarterly_total_return",'Database Query'!$E$14))</f>
        <v>#VALUE!</v>
      </c>
      <c r="I140" s="2" t="e" cm="1">
        <f t="array" aca="1" ref="I140" ca="1">-_xll.YCP($E140,"quarterly_return",'Database Query'!$E$14)+H140</f>
        <v>#VALUE!</v>
      </c>
      <c r="J140" s="2" t="e" cm="1">
        <f t="array" aca="1" ref="J140" ca="1">_xlfn.IFS($B140="etf", _xll.YCP($A140,"ytd_total_return",'Database Query'!$E$14),$B140&lt;&gt;"etf",_xll.YCP("M:"&amp; $A140,"ytd_total_return",'Database Query'!$E$14))</f>
        <v>#VALUE!</v>
      </c>
      <c r="K140" s="2" t="e" cm="1">
        <f t="array" aca="1" ref="K140" ca="1">-_xll.YCP($E140,"ytd_return",'Database Query'!$E$14)+J140</f>
        <v>#VALUE!</v>
      </c>
      <c r="L140" s="2" t="e" cm="1">
        <f t="array" aca="1" ref="L140" ca="1">_xlfn.IFS($B140="etf", _xll.YCP($A140,"one_year_total_return",'Database Query'!$E$14),$B140&lt;&gt;"etf",_xll.YCP("M:"&amp; $A140,"one_year_total_return",'Database Query'!$E$14))</f>
        <v>#VALUE!</v>
      </c>
      <c r="M140" s="2" t="e" cm="1">
        <f t="array" aca="1" ref="M140" ca="1">-_xll.YCP($E140,"one_year_return",'Database Query'!$E$14)+L140</f>
        <v>#VALUE!</v>
      </c>
      <c r="N140" s="2" t="e" cm="1">
        <f t="array" aca="1" ref="N140" ca="1">_xlfn.IFS($B140="etf", _xll.YCP($A140,"three_year_total_return",'Database Query'!$E$14),$B140&lt;&gt;"etf",_xll.YCP("M:"&amp; $A140,"three_year_total_return",'Database Query'!$E$14))</f>
        <v>#VALUE!</v>
      </c>
      <c r="O140" s="2" t="e" cm="1">
        <f t="array" aca="1" ref="O140" ca="1">-_xll.YCP($E140,"three_year_return",'Database Query'!$E$14)+N140</f>
        <v>#VALUE!</v>
      </c>
      <c r="P140" s="2" t="e" cm="1">
        <f t="array" aca="1" ref="P140" ca="1">_xlfn.IFS($B140="etf", _xll.YCP($A140,"five_year_total_return",'Database Query'!$E$14),$B140&lt;&gt;"etf",_xll.YCP("M:"&amp; $A140,"five_year_total_return",'Database Query'!$E$14))</f>
        <v>#VALUE!</v>
      </c>
      <c r="Q140" s="2" t="e" cm="1">
        <f t="array" aca="1" ref="Q140" ca="1">-_xll.YCP($E140,"five_year_return",'Database Query'!$E$14)+P140</f>
        <v>#VALUE!</v>
      </c>
    </row>
    <row r="141" spans="1:17" x14ac:dyDescent="0.25">
      <c r="A141" t="str">
        <v>JEPI</v>
      </c>
      <c r="B141" t="str" cm="1">
        <f t="array" aca="1" ref="B141" ca="1">_xll.YCI(A141,"detailed_security_type",TODAY())</f>
        <v>etf</v>
      </c>
      <c r="C141" t="str" cm="1">
        <f t="array" aca="1" ref="C141" ca="1">_xlfn.IFS(B141="etf", _xll.YCI(A141, "security_name",TODAY()),B141&lt;&gt;"etf",_xll.YCI("M:" &amp; A141, "security_name",TODAY()))</f>
        <v>JPMorgan Equity Premium Income ETF</v>
      </c>
      <c r="D141" t="str" cm="1">
        <f t="array" aca="1" ref="D141" ca="1">_xlfn.IFS($B141="etf", _xll.YCI($A141, "ycharts_benchmark_category",TODAY()),$B141&lt;&gt;"etf",_xll.YCI("M:" &amp; $A141, "ycharts_benchmark_category",TODAY()))</f>
        <v>Alts</v>
      </c>
      <c r="E141" t="str" cm="1">
        <f t="array" aca="1" ref="E141" ca="1">_xlfn.IFS($B141="etf", _xll.YCI($A141, "ycharts_benchmark_index_symbol",TODAY()),$B141&lt;&gt;"etf",_xll.YCI("M:" &amp; $A141, "ycharts_benchmark_index_symbol",TODAY()))</f>
        <v>^PEATR</v>
      </c>
      <c r="F141" t="str" cm="1">
        <f t="array" aca="1" ref="F141" ca="1">_xlfn.IFS($B141="etf", _xll.YCI($E141, "security_name",TODAY()),$B141&lt;&gt;"etf",_xll.YCI( $E141, "security_name",TODAY()))</f>
        <v>Private Equity Index Total Return</v>
      </c>
      <c r="G141" t="str" cm="1">
        <f t="array" aca="1" ref="G141" ca="1">_xlfn.IFS($B141="etf", _xll.YCI($A141, "prospectus_benchmark_index",TODAY()),$B141&lt;&gt;"etf",_xll.YCI("M:" &amp; $A141, "prospectus_benchmark_index",TODAY()))</f>
        <v>S&amp;P 500 TR USD</v>
      </c>
      <c r="H141" s="2" cm="1">
        <f t="array" aca="1" ref="H141" ca="1">_xlfn.IFS($B141="etf", _xll.YCP($A141,"quarterly_total_return",'Database Query'!$E$14),$B141&lt;&gt;"etf",_xll.YCP("M:"&amp; $A141,"quarterly_total_return",'Database Query'!$E$14))</f>
        <v>-7.3220000000000004E-3</v>
      </c>
      <c r="I141" s="2" cm="1">
        <f t="array" aca="1" ref="I141" ca="1">-_xll.YCP($E141,"quarterly_return",'Database Query'!$E$14)+H141</f>
        <v>1.7154000000000003E-2</v>
      </c>
      <c r="J141" s="2" cm="1">
        <f t="array" aca="1" ref="J141" ca="1">_xlfn.IFS($B141="etf", _xll.YCP($A141,"ytd_total_return",'Database Query'!$E$14),$B141&lt;&gt;"etf",_xll.YCP("M:"&amp; $A141,"ytd_total_return",'Database Query'!$E$14))</f>
        <v>0.12579099999999999</v>
      </c>
      <c r="K141" s="2" cm="1">
        <f t="array" aca="1" ref="K141" ca="1">-_xll.YCP($E141,"ytd_return",'Database Query'!$E$14)+J141</f>
        <v>-0.162769</v>
      </c>
      <c r="L141" s="2" cm="1">
        <f t="array" aca="1" ref="L141" ca="1">_xlfn.IFS($B141="etf", _xll.YCP($A141,"one_year_total_return",'Database Query'!$E$14),$B141&lt;&gt;"etf",_xll.YCP("M:"&amp; $A141,"one_year_total_return",'Database Query'!$E$14))</f>
        <v>0.12579099999999999</v>
      </c>
      <c r="M141" s="2" cm="1">
        <f t="array" aca="1" ref="M141" ca="1">-_xll.YCP($E141,"one_year_return",'Database Query'!$E$14)+L141</f>
        <v>-0.162769</v>
      </c>
      <c r="N141" s="2" cm="1">
        <f t="array" aca="1" ref="N141" ca="1">_xlfn.IFS($B141="etf", _xll.YCP($A141,"three_year_total_return",'Database Query'!$E$14),$B141&lt;&gt;"etf",_xll.YCP("M:"&amp; $A141,"three_year_total_return",'Database Query'!$E$14))</f>
        <v>0.19270499999999999</v>
      </c>
      <c r="O141" s="2" cm="1">
        <f t="array" aca="1" ref="O141" ca="1">-_xll.YCP($E141,"three_year_return",'Database Query'!$E$14)+N141</f>
        <v>-6.6484999999999989E-2</v>
      </c>
      <c r="P141" s="2" t="str" cm="1">
        <f t="array" aca="1" ref="P141" ca="1">_xlfn.IFS($B141="etf", _xll.YCP($A141,"five_year_total_return",'Database Query'!$E$14),$B141&lt;&gt;"etf",_xll.YCP("M:"&amp; $A141,"five_year_total_return",'Database Query'!$E$14))</f>
        <v>ERR: NO DATA</v>
      </c>
      <c r="Q141" s="2" t="e" cm="1">
        <f t="array" aca="1" ref="Q141" ca="1">-_xll.YCP($E141,"five_year_return",'Database Query'!$E$14)+P141</f>
        <v>#VALUE!</v>
      </c>
    </row>
    <row r="142" spans="1:17" x14ac:dyDescent="0.25">
      <c r="A142" t="str">
        <v>JEPIX</v>
      </c>
      <c r="B142" t="e" cm="1">
        <f t="array" aca="1" ref="B142" ca="1">_xll.YCI(A142,"detailed_security_type",TODAY())</f>
        <v>#VALUE!</v>
      </c>
      <c r="C142" t="e" cm="1">
        <f t="array" aca="1" ref="C142" ca="1">_xlfn.IFS(B142="etf", _xll.YCI(A142, "security_name",TODAY()),B142&lt;&gt;"etf",_xll.YCI("M:" &amp; A142, "security_name",TODAY()))</f>
        <v>#VALUE!</v>
      </c>
      <c r="D142" t="e" cm="1">
        <f t="array" aca="1" ref="D142" ca="1">_xlfn.IFS($B142="etf", _xll.YCI($A142, "ycharts_benchmark_category",TODAY()),$B142&lt;&gt;"etf",_xll.YCI("M:" &amp; $A142, "ycharts_benchmark_category",TODAY()))</f>
        <v>#VALUE!</v>
      </c>
      <c r="E142" t="e" cm="1">
        <f t="array" aca="1" ref="E142" ca="1">_xlfn.IFS($B142="etf", _xll.YCI($A142, "ycharts_benchmark_index_symbol",TODAY()),$B142&lt;&gt;"etf",_xll.YCI("M:" &amp; $A142, "ycharts_benchmark_index_symbol",TODAY()))</f>
        <v>#VALUE!</v>
      </c>
      <c r="F142" t="e" cm="1">
        <f t="array" aca="1" ref="F142" ca="1">_xlfn.IFS($B142="etf", _xll.YCI($E142, "security_name",TODAY()),$B142&lt;&gt;"etf",_xll.YCI( $E142, "security_name",TODAY()))</f>
        <v>#VALUE!</v>
      </c>
      <c r="G142" t="e" cm="1">
        <f t="array" aca="1" ref="G142" ca="1">_xlfn.IFS($B142="etf", _xll.YCI($A142, "prospectus_benchmark_index",TODAY()),$B142&lt;&gt;"etf",_xll.YCI("M:" &amp; $A142, "prospectus_benchmark_index",TODAY()))</f>
        <v>#VALUE!</v>
      </c>
      <c r="H142" s="2" t="e" cm="1">
        <f t="array" aca="1" ref="H142" ca="1">_xlfn.IFS($B142="etf", _xll.YCP($A142,"quarterly_total_return",'Database Query'!$E$14),$B142&lt;&gt;"etf",_xll.YCP("M:"&amp; $A142,"quarterly_total_return",'Database Query'!$E$14))</f>
        <v>#VALUE!</v>
      </c>
      <c r="I142" s="2" t="e" cm="1">
        <f t="array" aca="1" ref="I142" ca="1">-_xll.YCP($E142,"quarterly_return",'Database Query'!$E$14)+H142</f>
        <v>#VALUE!</v>
      </c>
      <c r="J142" s="2" t="e" cm="1">
        <f t="array" aca="1" ref="J142" ca="1">_xlfn.IFS($B142="etf", _xll.YCP($A142,"ytd_total_return",'Database Query'!$E$14),$B142&lt;&gt;"etf",_xll.YCP("M:"&amp; $A142,"ytd_total_return",'Database Query'!$E$14))</f>
        <v>#VALUE!</v>
      </c>
      <c r="K142" s="2" t="e" cm="1">
        <f t="array" aca="1" ref="K142" ca="1">-_xll.YCP($E142,"ytd_return",'Database Query'!$E$14)+J142</f>
        <v>#VALUE!</v>
      </c>
      <c r="L142" s="2" t="e" cm="1">
        <f t="array" aca="1" ref="L142" ca="1">_xlfn.IFS($B142="etf", _xll.YCP($A142,"one_year_total_return",'Database Query'!$E$14),$B142&lt;&gt;"etf",_xll.YCP("M:"&amp; $A142,"one_year_total_return",'Database Query'!$E$14))</f>
        <v>#VALUE!</v>
      </c>
      <c r="M142" s="2" t="e" cm="1">
        <f t="array" aca="1" ref="M142" ca="1">-_xll.YCP($E142,"one_year_return",'Database Query'!$E$14)+L142</f>
        <v>#VALUE!</v>
      </c>
      <c r="N142" s="2" t="e" cm="1">
        <f t="array" aca="1" ref="N142" ca="1">_xlfn.IFS($B142="etf", _xll.YCP($A142,"three_year_total_return",'Database Query'!$E$14),$B142&lt;&gt;"etf",_xll.YCP("M:"&amp; $A142,"three_year_total_return",'Database Query'!$E$14))</f>
        <v>#VALUE!</v>
      </c>
      <c r="O142" s="2" t="e" cm="1">
        <f t="array" aca="1" ref="O142" ca="1">-_xll.YCP($E142,"three_year_return",'Database Query'!$E$14)+N142</f>
        <v>#VALUE!</v>
      </c>
      <c r="P142" s="2" t="e" cm="1">
        <f t="array" aca="1" ref="P142" ca="1">_xlfn.IFS($B142="etf", _xll.YCP($A142,"five_year_total_return",'Database Query'!$E$14),$B142&lt;&gt;"etf",_xll.YCP("M:"&amp; $A142,"five_year_total_return",'Database Query'!$E$14))</f>
        <v>#VALUE!</v>
      </c>
      <c r="Q142" s="2" t="e" cm="1">
        <f t="array" aca="1" ref="Q142" ca="1">-_xll.YCP($E142,"five_year_return",'Database Query'!$E$14)+P142</f>
        <v>#VALUE!</v>
      </c>
    </row>
    <row r="143" spans="1:17" x14ac:dyDescent="0.25">
      <c r="A143" t="str">
        <v>JGASX</v>
      </c>
      <c r="B143" t="e" cm="1">
        <f t="array" aca="1" ref="B143" ca="1">_xll.YCI(A143,"detailed_security_type",TODAY())</f>
        <v>#VALUE!</v>
      </c>
      <c r="C143" t="e" cm="1">
        <f t="array" aca="1" ref="C143" ca="1">_xlfn.IFS(B143="etf", _xll.YCI(A143, "security_name",TODAY()),B143&lt;&gt;"etf",_xll.YCI("M:" &amp; A143, "security_name",TODAY()))</f>
        <v>#VALUE!</v>
      </c>
      <c r="D143" t="e" cm="1">
        <f t="array" aca="1" ref="D143" ca="1">_xlfn.IFS($B143="etf", _xll.YCI($A143, "ycharts_benchmark_category",TODAY()),$B143&lt;&gt;"etf",_xll.YCI("M:" &amp; $A143, "ycharts_benchmark_category",TODAY()))</f>
        <v>#VALUE!</v>
      </c>
      <c r="E143" t="e" cm="1">
        <f t="array" aca="1" ref="E143" ca="1">_xlfn.IFS($B143="etf", _xll.YCI($A143, "ycharts_benchmark_index_symbol",TODAY()),$B143&lt;&gt;"etf",_xll.YCI("M:" &amp; $A143, "ycharts_benchmark_index_symbol",TODAY()))</f>
        <v>#VALUE!</v>
      </c>
      <c r="F143" t="e" cm="1">
        <f t="array" aca="1" ref="F143" ca="1">_xlfn.IFS($B143="etf", _xll.YCI($E143, "security_name",TODAY()),$B143&lt;&gt;"etf",_xll.YCI( $E143, "security_name",TODAY()))</f>
        <v>#VALUE!</v>
      </c>
      <c r="G143" t="e" cm="1">
        <f t="array" aca="1" ref="G143" ca="1">_xlfn.IFS($B143="etf", _xll.YCI($A143, "prospectus_benchmark_index",TODAY()),$B143&lt;&gt;"etf",_xll.YCI("M:" &amp; $A143, "prospectus_benchmark_index",TODAY()))</f>
        <v>#VALUE!</v>
      </c>
      <c r="H143" s="2" t="e" cm="1">
        <f t="array" aca="1" ref="H143" ca="1">_xlfn.IFS($B143="etf", _xll.YCP($A143,"quarterly_total_return",'Database Query'!$E$14),$B143&lt;&gt;"etf",_xll.YCP("M:"&amp; $A143,"quarterly_total_return",'Database Query'!$E$14))</f>
        <v>#VALUE!</v>
      </c>
      <c r="I143" s="2" t="e" cm="1">
        <f t="array" aca="1" ref="I143" ca="1">-_xll.YCP($E143,"quarterly_return",'Database Query'!$E$14)+H143</f>
        <v>#VALUE!</v>
      </c>
      <c r="J143" s="2" t="e" cm="1">
        <f t="array" aca="1" ref="J143" ca="1">_xlfn.IFS($B143="etf", _xll.YCP($A143,"ytd_total_return",'Database Query'!$E$14),$B143&lt;&gt;"etf",_xll.YCP("M:"&amp; $A143,"ytd_total_return",'Database Query'!$E$14))</f>
        <v>#VALUE!</v>
      </c>
      <c r="K143" s="2" t="e" cm="1">
        <f t="array" aca="1" ref="K143" ca="1">-_xll.YCP($E143,"ytd_return",'Database Query'!$E$14)+J143</f>
        <v>#VALUE!</v>
      </c>
      <c r="L143" s="2" t="e" cm="1">
        <f t="array" aca="1" ref="L143" ca="1">_xlfn.IFS($B143="etf", _xll.YCP($A143,"one_year_total_return",'Database Query'!$E$14),$B143&lt;&gt;"etf",_xll.YCP("M:"&amp; $A143,"one_year_total_return",'Database Query'!$E$14))</f>
        <v>#VALUE!</v>
      </c>
      <c r="M143" s="2" t="e" cm="1">
        <f t="array" aca="1" ref="M143" ca="1">-_xll.YCP($E143,"one_year_return",'Database Query'!$E$14)+L143</f>
        <v>#VALUE!</v>
      </c>
      <c r="N143" s="2" t="e" cm="1">
        <f t="array" aca="1" ref="N143" ca="1">_xlfn.IFS($B143="etf", _xll.YCP($A143,"three_year_total_return",'Database Query'!$E$14),$B143&lt;&gt;"etf",_xll.YCP("M:"&amp; $A143,"three_year_total_return",'Database Query'!$E$14))</f>
        <v>#VALUE!</v>
      </c>
      <c r="O143" s="2" t="e" cm="1">
        <f t="array" aca="1" ref="O143" ca="1">-_xll.YCP($E143,"three_year_return",'Database Query'!$E$14)+N143</f>
        <v>#VALUE!</v>
      </c>
      <c r="P143" s="2" t="e" cm="1">
        <f t="array" aca="1" ref="P143" ca="1">_xlfn.IFS($B143="etf", _xll.YCP($A143,"five_year_total_return",'Database Query'!$E$14),$B143&lt;&gt;"etf",_xll.YCP("M:"&amp; $A143,"five_year_total_return",'Database Query'!$E$14))</f>
        <v>#VALUE!</v>
      </c>
      <c r="Q143" s="2" t="e" cm="1">
        <f t="array" aca="1" ref="Q143" ca="1">-_xll.YCP($E143,"five_year_return",'Database Query'!$E$14)+P143</f>
        <v>#VALUE!</v>
      </c>
    </row>
    <row r="144" spans="1:17" x14ac:dyDescent="0.25">
      <c r="A144" t="str">
        <v>JGSMX</v>
      </c>
      <c r="B144" t="e" cm="1">
        <f t="array" aca="1" ref="B144" ca="1">_xll.YCI(A144,"detailed_security_type",TODAY())</f>
        <v>#VALUE!</v>
      </c>
      <c r="C144" t="e" cm="1">
        <f t="array" aca="1" ref="C144" ca="1">_xlfn.IFS(B144="etf", _xll.YCI(A144, "security_name",TODAY()),B144&lt;&gt;"etf",_xll.YCI("M:" &amp; A144, "security_name",TODAY()))</f>
        <v>#VALUE!</v>
      </c>
      <c r="D144" t="e" cm="1">
        <f t="array" aca="1" ref="D144" ca="1">_xlfn.IFS($B144="etf", _xll.YCI($A144, "ycharts_benchmark_category",TODAY()),$B144&lt;&gt;"etf",_xll.YCI("M:" &amp; $A144, "ycharts_benchmark_category",TODAY()))</f>
        <v>#VALUE!</v>
      </c>
      <c r="E144" t="e" cm="1">
        <f t="array" aca="1" ref="E144" ca="1">_xlfn.IFS($B144="etf", _xll.YCI($A144, "ycharts_benchmark_index_symbol",TODAY()),$B144&lt;&gt;"etf",_xll.YCI("M:" &amp; $A144, "ycharts_benchmark_index_symbol",TODAY()))</f>
        <v>#VALUE!</v>
      </c>
      <c r="F144" t="e" cm="1">
        <f t="array" aca="1" ref="F144" ca="1">_xlfn.IFS($B144="etf", _xll.YCI($E144, "security_name",TODAY()),$B144&lt;&gt;"etf",_xll.YCI( $E144, "security_name",TODAY()))</f>
        <v>#VALUE!</v>
      </c>
      <c r="G144" t="e" cm="1">
        <f t="array" aca="1" ref="G144" ca="1">_xlfn.IFS($B144="etf", _xll.YCI($A144, "prospectus_benchmark_index",TODAY()),$B144&lt;&gt;"etf",_xll.YCI("M:" &amp; $A144, "prospectus_benchmark_index",TODAY()))</f>
        <v>#VALUE!</v>
      </c>
      <c r="H144" s="2" t="e" cm="1">
        <f t="array" aca="1" ref="H144" ca="1">_xlfn.IFS($B144="etf", _xll.YCP($A144,"quarterly_total_return",'Database Query'!$E$14),$B144&lt;&gt;"etf",_xll.YCP("M:"&amp; $A144,"quarterly_total_return",'Database Query'!$E$14))</f>
        <v>#VALUE!</v>
      </c>
      <c r="I144" s="2" t="e" cm="1">
        <f t="array" aca="1" ref="I144" ca="1">-_xll.YCP($E144,"quarterly_return",'Database Query'!$E$14)+H144</f>
        <v>#VALUE!</v>
      </c>
      <c r="J144" s="2" t="e" cm="1">
        <f t="array" aca="1" ref="J144" ca="1">_xlfn.IFS($B144="etf", _xll.YCP($A144,"ytd_total_return",'Database Query'!$E$14),$B144&lt;&gt;"etf",_xll.YCP("M:"&amp; $A144,"ytd_total_return",'Database Query'!$E$14))</f>
        <v>#VALUE!</v>
      </c>
      <c r="K144" s="2" t="e" cm="1">
        <f t="array" aca="1" ref="K144" ca="1">-_xll.YCP($E144,"ytd_return",'Database Query'!$E$14)+J144</f>
        <v>#VALUE!</v>
      </c>
      <c r="L144" s="2" t="e" cm="1">
        <f t="array" aca="1" ref="L144" ca="1">_xlfn.IFS($B144="etf", _xll.YCP($A144,"one_year_total_return",'Database Query'!$E$14),$B144&lt;&gt;"etf",_xll.YCP("M:"&amp; $A144,"one_year_total_return",'Database Query'!$E$14))</f>
        <v>#VALUE!</v>
      </c>
      <c r="M144" s="2" t="e" cm="1">
        <f t="array" aca="1" ref="M144" ca="1">-_xll.YCP($E144,"one_year_return",'Database Query'!$E$14)+L144</f>
        <v>#VALUE!</v>
      </c>
      <c r="N144" s="2" t="e" cm="1">
        <f t="array" aca="1" ref="N144" ca="1">_xlfn.IFS($B144="etf", _xll.YCP($A144,"three_year_total_return",'Database Query'!$E$14),$B144&lt;&gt;"etf",_xll.YCP("M:"&amp; $A144,"three_year_total_return",'Database Query'!$E$14))</f>
        <v>#VALUE!</v>
      </c>
      <c r="O144" s="2" t="e" cm="1">
        <f t="array" aca="1" ref="O144" ca="1">-_xll.YCP($E144,"three_year_return",'Database Query'!$E$14)+N144</f>
        <v>#VALUE!</v>
      </c>
      <c r="P144" s="2" t="e" cm="1">
        <f t="array" aca="1" ref="P144" ca="1">_xlfn.IFS($B144="etf", _xll.YCP($A144,"five_year_total_return",'Database Query'!$E$14),$B144&lt;&gt;"etf",_xll.YCP("M:"&amp; $A144,"five_year_total_return",'Database Query'!$E$14))</f>
        <v>#VALUE!</v>
      </c>
      <c r="Q144" s="2" t="e" cm="1">
        <f t="array" aca="1" ref="Q144" ca="1">-_xll.YCP($E144,"five_year_return",'Database Query'!$E$14)+P144</f>
        <v>#VALUE!</v>
      </c>
    </row>
    <row r="145" spans="1:17" x14ac:dyDescent="0.25">
      <c r="A145" t="str">
        <v>JHAIX</v>
      </c>
      <c r="B145" t="e" cm="1">
        <f t="array" aca="1" ref="B145" ca="1">_xll.YCI(A145,"detailed_security_type",TODAY())</f>
        <v>#VALUE!</v>
      </c>
      <c r="C145" t="e" cm="1">
        <f t="array" aca="1" ref="C145" ca="1">_xlfn.IFS(B145="etf", _xll.YCI(A145, "security_name",TODAY()),B145&lt;&gt;"etf",_xll.YCI("M:" &amp; A145, "security_name",TODAY()))</f>
        <v>#VALUE!</v>
      </c>
      <c r="D145" t="e" cm="1">
        <f t="array" aca="1" ref="D145" ca="1">_xlfn.IFS($B145="etf", _xll.YCI($A145, "ycharts_benchmark_category",TODAY()),$B145&lt;&gt;"etf",_xll.YCI("M:" &amp; $A145, "ycharts_benchmark_category",TODAY()))</f>
        <v>#VALUE!</v>
      </c>
      <c r="E145" t="e" cm="1">
        <f t="array" aca="1" ref="E145" ca="1">_xlfn.IFS($B145="etf", _xll.YCI($A145, "ycharts_benchmark_index_symbol",TODAY()),$B145&lt;&gt;"etf",_xll.YCI("M:" &amp; $A145, "ycharts_benchmark_index_symbol",TODAY()))</f>
        <v>#VALUE!</v>
      </c>
      <c r="F145" t="e" cm="1">
        <f t="array" aca="1" ref="F145" ca="1">_xlfn.IFS($B145="etf", _xll.YCI($E145, "security_name",TODAY()),$B145&lt;&gt;"etf",_xll.YCI( $E145, "security_name",TODAY()))</f>
        <v>#VALUE!</v>
      </c>
      <c r="G145" t="e" cm="1">
        <f t="array" aca="1" ref="G145" ca="1">_xlfn.IFS($B145="etf", _xll.YCI($A145, "prospectus_benchmark_index",TODAY()),$B145&lt;&gt;"etf",_xll.YCI("M:" &amp; $A145, "prospectus_benchmark_index",TODAY()))</f>
        <v>#VALUE!</v>
      </c>
      <c r="H145" s="2" t="e" cm="1">
        <f t="array" aca="1" ref="H145" ca="1">_xlfn.IFS($B145="etf", _xll.YCP($A145,"quarterly_total_return",'Database Query'!$E$14),$B145&lt;&gt;"etf",_xll.YCP("M:"&amp; $A145,"quarterly_total_return",'Database Query'!$E$14))</f>
        <v>#VALUE!</v>
      </c>
      <c r="I145" s="2" t="e" cm="1">
        <f t="array" aca="1" ref="I145" ca="1">-_xll.YCP($E145,"quarterly_return",'Database Query'!$E$14)+H145</f>
        <v>#VALUE!</v>
      </c>
      <c r="J145" s="2" t="e" cm="1">
        <f t="array" aca="1" ref="J145" ca="1">_xlfn.IFS($B145="etf", _xll.YCP($A145,"ytd_total_return",'Database Query'!$E$14),$B145&lt;&gt;"etf",_xll.YCP("M:"&amp; $A145,"ytd_total_return",'Database Query'!$E$14))</f>
        <v>#VALUE!</v>
      </c>
      <c r="K145" s="2" t="e" cm="1">
        <f t="array" aca="1" ref="K145" ca="1">-_xll.YCP($E145,"ytd_return",'Database Query'!$E$14)+J145</f>
        <v>#VALUE!</v>
      </c>
      <c r="L145" s="2" t="e" cm="1">
        <f t="array" aca="1" ref="L145" ca="1">_xlfn.IFS($B145="etf", _xll.YCP($A145,"one_year_total_return",'Database Query'!$E$14),$B145&lt;&gt;"etf",_xll.YCP("M:"&amp; $A145,"one_year_total_return",'Database Query'!$E$14))</f>
        <v>#VALUE!</v>
      </c>
      <c r="M145" s="2" t="e" cm="1">
        <f t="array" aca="1" ref="M145" ca="1">-_xll.YCP($E145,"one_year_return",'Database Query'!$E$14)+L145</f>
        <v>#VALUE!</v>
      </c>
      <c r="N145" s="2" t="e" cm="1">
        <f t="array" aca="1" ref="N145" ca="1">_xlfn.IFS($B145="etf", _xll.YCP($A145,"three_year_total_return",'Database Query'!$E$14),$B145&lt;&gt;"etf",_xll.YCP("M:"&amp; $A145,"three_year_total_return",'Database Query'!$E$14))</f>
        <v>#VALUE!</v>
      </c>
      <c r="O145" s="2" t="e" cm="1">
        <f t="array" aca="1" ref="O145" ca="1">-_xll.YCP($E145,"three_year_return",'Database Query'!$E$14)+N145</f>
        <v>#VALUE!</v>
      </c>
      <c r="P145" s="2" t="e" cm="1">
        <f t="array" aca="1" ref="P145" ca="1">_xlfn.IFS($B145="etf", _xll.YCP($A145,"five_year_total_return",'Database Query'!$E$14),$B145&lt;&gt;"etf",_xll.YCP("M:"&amp; $A145,"five_year_total_return",'Database Query'!$E$14))</f>
        <v>#VALUE!</v>
      </c>
      <c r="Q145" s="2" t="e" cm="1">
        <f t="array" aca="1" ref="Q145" ca="1">-_xll.YCP($E145,"five_year_return",'Database Query'!$E$14)+P145</f>
        <v>#VALUE!</v>
      </c>
    </row>
    <row r="146" spans="1:17" x14ac:dyDescent="0.25">
      <c r="A146" t="str">
        <v>JHEQX</v>
      </c>
      <c r="B146" t="e" cm="1">
        <f t="array" aca="1" ref="B146" ca="1">_xll.YCI(A146,"detailed_security_type",TODAY())</f>
        <v>#VALUE!</v>
      </c>
      <c r="C146" t="e" cm="1">
        <f t="array" aca="1" ref="C146" ca="1">_xlfn.IFS(B146="etf", _xll.YCI(A146, "security_name",TODAY()),B146&lt;&gt;"etf",_xll.YCI("M:" &amp; A146, "security_name",TODAY()))</f>
        <v>#VALUE!</v>
      </c>
      <c r="D146" t="e" cm="1">
        <f t="array" aca="1" ref="D146" ca="1">_xlfn.IFS($B146="etf", _xll.YCI($A146, "ycharts_benchmark_category",TODAY()),$B146&lt;&gt;"etf",_xll.YCI("M:" &amp; $A146, "ycharts_benchmark_category",TODAY()))</f>
        <v>#VALUE!</v>
      </c>
      <c r="E146" t="e" cm="1">
        <f t="array" aca="1" ref="E146" ca="1">_xlfn.IFS($B146="etf", _xll.YCI($A146, "ycharts_benchmark_index_symbol",TODAY()),$B146&lt;&gt;"etf",_xll.YCI("M:" &amp; $A146, "ycharts_benchmark_index_symbol",TODAY()))</f>
        <v>#VALUE!</v>
      </c>
      <c r="F146" t="e" cm="1">
        <f t="array" aca="1" ref="F146" ca="1">_xlfn.IFS($B146="etf", _xll.YCI($E146, "security_name",TODAY()),$B146&lt;&gt;"etf",_xll.YCI( $E146, "security_name",TODAY()))</f>
        <v>#VALUE!</v>
      </c>
      <c r="G146" t="e" cm="1">
        <f t="array" aca="1" ref="G146" ca="1">_xlfn.IFS($B146="etf", _xll.YCI($A146, "prospectus_benchmark_index",TODAY()),$B146&lt;&gt;"etf",_xll.YCI("M:" &amp; $A146, "prospectus_benchmark_index",TODAY()))</f>
        <v>#VALUE!</v>
      </c>
      <c r="H146" s="2" t="e" cm="1">
        <f t="array" aca="1" ref="H146" ca="1">_xlfn.IFS($B146="etf", _xll.YCP($A146,"quarterly_total_return",'Database Query'!$E$14),$B146&lt;&gt;"etf",_xll.YCP("M:"&amp; $A146,"quarterly_total_return",'Database Query'!$E$14))</f>
        <v>#VALUE!</v>
      </c>
      <c r="I146" s="2" t="e" cm="1">
        <f t="array" aca="1" ref="I146" ca="1">-_xll.YCP($E146,"quarterly_return",'Database Query'!$E$14)+H146</f>
        <v>#VALUE!</v>
      </c>
      <c r="J146" s="2" t="e" cm="1">
        <f t="array" aca="1" ref="J146" ca="1">_xlfn.IFS($B146="etf", _xll.YCP($A146,"ytd_total_return",'Database Query'!$E$14),$B146&lt;&gt;"etf",_xll.YCP("M:"&amp; $A146,"ytd_total_return",'Database Query'!$E$14))</f>
        <v>#VALUE!</v>
      </c>
      <c r="K146" s="2" t="e" cm="1">
        <f t="array" aca="1" ref="K146" ca="1">-_xll.YCP($E146,"ytd_return",'Database Query'!$E$14)+J146</f>
        <v>#VALUE!</v>
      </c>
      <c r="L146" s="2" t="e" cm="1">
        <f t="array" aca="1" ref="L146" ca="1">_xlfn.IFS($B146="etf", _xll.YCP($A146,"one_year_total_return",'Database Query'!$E$14),$B146&lt;&gt;"etf",_xll.YCP("M:"&amp; $A146,"one_year_total_return",'Database Query'!$E$14))</f>
        <v>#VALUE!</v>
      </c>
      <c r="M146" s="2" t="e" cm="1">
        <f t="array" aca="1" ref="M146" ca="1">-_xll.YCP($E146,"one_year_return",'Database Query'!$E$14)+L146</f>
        <v>#VALUE!</v>
      </c>
      <c r="N146" s="2" t="e" cm="1">
        <f t="array" aca="1" ref="N146" ca="1">_xlfn.IFS($B146="etf", _xll.YCP($A146,"three_year_total_return",'Database Query'!$E$14),$B146&lt;&gt;"etf",_xll.YCP("M:"&amp; $A146,"three_year_total_return",'Database Query'!$E$14))</f>
        <v>#VALUE!</v>
      </c>
      <c r="O146" s="2" t="e" cm="1">
        <f t="array" aca="1" ref="O146" ca="1">-_xll.YCP($E146,"three_year_return",'Database Query'!$E$14)+N146</f>
        <v>#VALUE!</v>
      </c>
      <c r="P146" s="2" t="e" cm="1">
        <f t="array" aca="1" ref="P146" ca="1">_xlfn.IFS($B146="etf", _xll.YCP($A146,"five_year_total_return",'Database Query'!$E$14),$B146&lt;&gt;"etf",_xll.YCP("M:"&amp; $A146,"five_year_total_return",'Database Query'!$E$14))</f>
        <v>#VALUE!</v>
      </c>
      <c r="Q146" s="2" t="e" cm="1">
        <f t="array" aca="1" ref="Q146" ca="1">-_xll.YCP($E146,"five_year_return",'Database Query'!$E$14)+P146</f>
        <v>#VALUE!</v>
      </c>
    </row>
    <row r="147" spans="1:17" x14ac:dyDescent="0.25">
      <c r="A147" t="str">
        <v>JMGRX</v>
      </c>
      <c r="B147" t="e" cm="1">
        <f t="array" aca="1" ref="B147" ca="1">_xll.YCI(A147,"detailed_security_type",TODAY())</f>
        <v>#VALUE!</v>
      </c>
      <c r="C147" t="e" cm="1">
        <f t="array" aca="1" ref="C147" ca="1">_xlfn.IFS(B147="etf", _xll.YCI(A147, "security_name",TODAY()),B147&lt;&gt;"etf",_xll.YCI("M:" &amp; A147, "security_name",TODAY()))</f>
        <v>#VALUE!</v>
      </c>
      <c r="D147" t="e" cm="1">
        <f t="array" aca="1" ref="D147" ca="1">_xlfn.IFS($B147="etf", _xll.YCI($A147, "ycharts_benchmark_category",TODAY()),$B147&lt;&gt;"etf",_xll.YCI("M:" &amp; $A147, "ycharts_benchmark_category",TODAY()))</f>
        <v>#VALUE!</v>
      </c>
      <c r="E147" t="e" cm="1">
        <f t="array" aca="1" ref="E147" ca="1">_xlfn.IFS($B147="etf", _xll.YCI($A147, "ycharts_benchmark_index_symbol",TODAY()),$B147&lt;&gt;"etf",_xll.YCI("M:" &amp; $A147, "ycharts_benchmark_index_symbol",TODAY()))</f>
        <v>#VALUE!</v>
      </c>
      <c r="F147" t="e" cm="1">
        <f t="array" aca="1" ref="F147" ca="1">_xlfn.IFS($B147="etf", _xll.YCI($E147, "security_name",TODAY()),$B147&lt;&gt;"etf",_xll.YCI( $E147, "security_name",TODAY()))</f>
        <v>#VALUE!</v>
      </c>
      <c r="G147" t="e" cm="1">
        <f t="array" aca="1" ref="G147" ca="1">_xlfn.IFS($B147="etf", _xll.YCI($A147, "prospectus_benchmark_index",TODAY()),$B147&lt;&gt;"etf",_xll.YCI("M:" &amp; $A147, "prospectus_benchmark_index",TODAY()))</f>
        <v>#VALUE!</v>
      </c>
      <c r="H147" s="2" t="e" cm="1">
        <f t="array" aca="1" ref="H147" ca="1">_xlfn.IFS($B147="etf", _xll.YCP($A147,"quarterly_total_return",'Database Query'!$E$14),$B147&lt;&gt;"etf",_xll.YCP("M:"&amp; $A147,"quarterly_total_return",'Database Query'!$E$14))</f>
        <v>#VALUE!</v>
      </c>
      <c r="I147" s="2" t="e" cm="1">
        <f t="array" aca="1" ref="I147" ca="1">-_xll.YCP($E147,"quarterly_return",'Database Query'!$E$14)+H147</f>
        <v>#VALUE!</v>
      </c>
      <c r="J147" s="2" t="e" cm="1">
        <f t="array" aca="1" ref="J147" ca="1">_xlfn.IFS($B147="etf", _xll.YCP($A147,"ytd_total_return",'Database Query'!$E$14),$B147&lt;&gt;"etf",_xll.YCP("M:"&amp; $A147,"ytd_total_return",'Database Query'!$E$14))</f>
        <v>#VALUE!</v>
      </c>
      <c r="K147" s="2" t="e" cm="1">
        <f t="array" aca="1" ref="K147" ca="1">-_xll.YCP($E147,"ytd_return",'Database Query'!$E$14)+J147</f>
        <v>#VALUE!</v>
      </c>
      <c r="L147" s="2" t="e" cm="1">
        <f t="array" aca="1" ref="L147" ca="1">_xlfn.IFS($B147="etf", _xll.YCP($A147,"one_year_total_return",'Database Query'!$E$14),$B147&lt;&gt;"etf",_xll.YCP("M:"&amp; $A147,"one_year_total_return",'Database Query'!$E$14))</f>
        <v>#VALUE!</v>
      </c>
      <c r="M147" s="2" t="e" cm="1">
        <f t="array" aca="1" ref="M147" ca="1">-_xll.YCP($E147,"one_year_return",'Database Query'!$E$14)+L147</f>
        <v>#VALUE!</v>
      </c>
      <c r="N147" s="2" t="e" cm="1">
        <f t="array" aca="1" ref="N147" ca="1">_xlfn.IFS($B147="etf", _xll.YCP($A147,"three_year_total_return",'Database Query'!$E$14),$B147&lt;&gt;"etf",_xll.YCP("M:"&amp; $A147,"three_year_total_return",'Database Query'!$E$14))</f>
        <v>#VALUE!</v>
      </c>
      <c r="O147" s="2" t="e" cm="1">
        <f t="array" aca="1" ref="O147" ca="1">-_xll.YCP($E147,"three_year_return",'Database Query'!$E$14)+N147</f>
        <v>#VALUE!</v>
      </c>
      <c r="P147" s="2" t="e" cm="1">
        <f t="array" aca="1" ref="P147" ca="1">_xlfn.IFS($B147="etf", _xll.YCP($A147,"five_year_total_return",'Database Query'!$E$14),$B147&lt;&gt;"etf",_xll.YCP("M:"&amp; $A147,"five_year_total_return",'Database Query'!$E$14))</f>
        <v>#VALUE!</v>
      </c>
      <c r="Q147" s="2" t="e" cm="1">
        <f t="array" aca="1" ref="Q147" ca="1">-_xll.YCP($E147,"five_year_return",'Database Query'!$E$14)+P147</f>
        <v>#VALUE!</v>
      </c>
    </row>
    <row r="148" spans="1:17" x14ac:dyDescent="0.25">
      <c r="A148" t="str">
        <v>JMSIX</v>
      </c>
      <c r="B148" t="e" cm="1">
        <f t="array" aca="1" ref="B148" ca="1">_xll.YCI(A148,"detailed_security_type",TODAY())</f>
        <v>#VALUE!</v>
      </c>
      <c r="C148" t="e" cm="1">
        <f t="array" aca="1" ref="C148" ca="1">_xlfn.IFS(B148="etf", _xll.YCI(A148, "security_name",TODAY()),B148&lt;&gt;"etf",_xll.YCI("M:" &amp; A148, "security_name",TODAY()))</f>
        <v>#VALUE!</v>
      </c>
      <c r="D148" t="e" cm="1">
        <f t="array" aca="1" ref="D148" ca="1">_xlfn.IFS($B148="etf", _xll.YCI($A148, "ycharts_benchmark_category",TODAY()),$B148&lt;&gt;"etf",_xll.YCI("M:" &amp; $A148, "ycharts_benchmark_category",TODAY()))</f>
        <v>#VALUE!</v>
      </c>
      <c r="E148" t="e" cm="1">
        <f t="array" aca="1" ref="E148" ca="1">_xlfn.IFS($B148="etf", _xll.YCI($A148, "ycharts_benchmark_index_symbol",TODAY()),$B148&lt;&gt;"etf",_xll.YCI("M:" &amp; $A148, "ycharts_benchmark_index_symbol",TODAY()))</f>
        <v>#VALUE!</v>
      </c>
      <c r="F148" t="e" cm="1">
        <f t="array" aca="1" ref="F148" ca="1">_xlfn.IFS($B148="etf", _xll.YCI($E148, "security_name",TODAY()),$B148&lt;&gt;"etf",_xll.YCI( $E148, "security_name",TODAY()))</f>
        <v>#VALUE!</v>
      </c>
      <c r="G148" t="e" cm="1">
        <f t="array" aca="1" ref="G148" ca="1">_xlfn.IFS($B148="etf", _xll.YCI($A148, "prospectus_benchmark_index",TODAY()),$B148&lt;&gt;"etf",_xll.YCI("M:" &amp; $A148, "prospectus_benchmark_index",TODAY()))</f>
        <v>#VALUE!</v>
      </c>
      <c r="H148" s="2" t="e" cm="1">
        <f t="array" aca="1" ref="H148" ca="1">_xlfn.IFS($B148="etf", _xll.YCP($A148,"quarterly_total_return",'Database Query'!$E$14),$B148&lt;&gt;"etf",_xll.YCP("M:"&amp; $A148,"quarterly_total_return",'Database Query'!$E$14))</f>
        <v>#VALUE!</v>
      </c>
      <c r="I148" s="2" t="e" cm="1">
        <f t="array" aca="1" ref="I148" ca="1">-_xll.YCP($E148,"quarterly_return",'Database Query'!$E$14)+H148</f>
        <v>#VALUE!</v>
      </c>
      <c r="J148" s="2" t="e" cm="1">
        <f t="array" aca="1" ref="J148" ca="1">_xlfn.IFS($B148="etf", _xll.YCP($A148,"ytd_total_return",'Database Query'!$E$14),$B148&lt;&gt;"etf",_xll.YCP("M:"&amp; $A148,"ytd_total_return",'Database Query'!$E$14))</f>
        <v>#VALUE!</v>
      </c>
      <c r="K148" s="2" t="e" cm="1">
        <f t="array" aca="1" ref="K148" ca="1">-_xll.YCP($E148,"ytd_return",'Database Query'!$E$14)+J148</f>
        <v>#VALUE!</v>
      </c>
      <c r="L148" s="2" t="e" cm="1">
        <f t="array" aca="1" ref="L148" ca="1">_xlfn.IFS($B148="etf", _xll.YCP($A148,"one_year_total_return",'Database Query'!$E$14),$B148&lt;&gt;"etf",_xll.YCP("M:"&amp; $A148,"one_year_total_return",'Database Query'!$E$14))</f>
        <v>#VALUE!</v>
      </c>
      <c r="M148" s="2" t="e" cm="1">
        <f t="array" aca="1" ref="M148" ca="1">-_xll.YCP($E148,"one_year_return",'Database Query'!$E$14)+L148</f>
        <v>#VALUE!</v>
      </c>
      <c r="N148" s="2" t="e" cm="1">
        <f t="array" aca="1" ref="N148" ca="1">_xlfn.IFS($B148="etf", _xll.YCP($A148,"three_year_total_return",'Database Query'!$E$14),$B148&lt;&gt;"etf",_xll.YCP("M:"&amp; $A148,"three_year_total_return",'Database Query'!$E$14))</f>
        <v>#VALUE!</v>
      </c>
      <c r="O148" s="2" t="e" cm="1">
        <f t="array" aca="1" ref="O148" ca="1">-_xll.YCP($E148,"three_year_return",'Database Query'!$E$14)+N148</f>
        <v>#VALUE!</v>
      </c>
      <c r="P148" s="2" t="e" cm="1">
        <f t="array" aca="1" ref="P148" ca="1">_xlfn.IFS($B148="etf", _xll.YCP($A148,"five_year_total_return",'Database Query'!$E$14),$B148&lt;&gt;"etf",_xll.YCP("M:"&amp; $A148,"five_year_total_return",'Database Query'!$E$14))</f>
        <v>#VALUE!</v>
      </c>
      <c r="Q148" s="2" t="e" cm="1">
        <f t="array" aca="1" ref="Q148" ca="1">-_xll.YCP($E148,"five_year_return",'Database Query'!$E$14)+P148</f>
        <v>#VALUE!</v>
      </c>
    </row>
    <row r="149" spans="1:17" x14ac:dyDescent="0.25">
      <c r="A149" t="str">
        <v>JSCOX</v>
      </c>
      <c r="B149" t="e" cm="1">
        <f t="array" aca="1" ref="B149" ca="1">_xll.YCI(A149,"detailed_security_type",TODAY())</f>
        <v>#VALUE!</v>
      </c>
      <c r="C149" t="e" cm="1">
        <f t="array" aca="1" ref="C149" ca="1">_xlfn.IFS(B149="etf", _xll.YCI(A149, "security_name",TODAY()),B149&lt;&gt;"etf",_xll.YCI("M:" &amp; A149, "security_name",TODAY()))</f>
        <v>#VALUE!</v>
      </c>
      <c r="D149" t="e" cm="1">
        <f t="array" aca="1" ref="D149" ca="1">_xlfn.IFS($B149="etf", _xll.YCI($A149, "ycharts_benchmark_category",TODAY()),$B149&lt;&gt;"etf",_xll.YCI("M:" &amp; $A149, "ycharts_benchmark_category",TODAY()))</f>
        <v>#VALUE!</v>
      </c>
      <c r="E149" t="e" cm="1">
        <f t="array" aca="1" ref="E149" ca="1">_xlfn.IFS($B149="etf", _xll.YCI($A149, "ycharts_benchmark_index_symbol",TODAY()),$B149&lt;&gt;"etf",_xll.YCI("M:" &amp; $A149, "ycharts_benchmark_index_symbol",TODAY()))</f>
        <v>#VALUE!</v>
      </c>
      <c r="F149" t="e" cm="1">
        <f t="array" aca="1" ref="F149" ca="1">_xlfn.IFS($B149="etf", _xll.YCI($E149, "security_name",TODAY()),$B149&lt;&gt;"etf",_xll.YCI( $E149, "security_name",TODAY()))</f>
        <v>#VALUE!</v>
      </c>
      <c r="G149" t="e" cm="1">
        <f t="array" aca="1" ref="G149" ca="1">_xlfn.IFS($B149="etf", _xll.YCI($A149, "prospectus_benchmark_index",TODAY()),$B149&lt;&gt;"etf",_xll.YCI("M:" &amp; $A149, "prospectus_benchmark_index",TODAY()))</f>
        <v>#VALUE!</v>
      </c>
      <c r="H149" s="2" t="e" cm="1">
        <f t="array" aca="1" ref="H149" ca="1">_xlfn.IFS($B149="etf", _xll.YCP($A149,"quarterly_total_return",'Database Query'!$E$14),$B149&lt;&gt;"etf",_xll.YCP("M:"&amp; $A149,"quarterly_total_return",'Database Query'!$E$14))</f>
        <v>#VALUE!</v>
      </c>
      <c r="I149" s="2" t="e" cm="1">
        <f t="array" aca="1" ref="I149" ca="1">-_xll.YCP($E149,"quarterly_return",'Database Query'!$E$14)+H149</f>
        <v>#VALUE!</v>
      </c>
      <c r="J149" s="2" t="e" cm="1">
        <f t="array" aca="1" ref="J149" ca="1">_xlfn.IFS($B149="etf", _xll.YCP($A149,"ytd_total_return",'Database Query'!$E$14),$B149&lt;&gt;"etf",_xll.YCP("M:"&amp; $A149,"ytd_total_return",'Database Query'!$E$14))</f>
        <v>#VALUE!</v>
      </c>
      <c r="K149" s="2" t="e" cm="1">
        <f t="array" aca="1" ref="K149" ca="1">-_xll.YCP($E149,"ytd_return",'Database Query'!$E$14)+J149</f>
        <v>#VALUE!</v>
      </c>
      <c r="L149" s="2" t="e" cm="1">
        <f t="array" aca="1" ref="L149" ca="1">_xlfn.IFS($B149="etf", _xll.YCP($A149,"one_year_total_return",'Database Query'!$E$14),$B149&lt;&gt;"etf",_xll.YCP("M:"&amp; $A149,"one_year_total_return",'Database Query'!$E$14))</f>
        <v>#VALUE!</v>
      </c>
      <c r="M149" s="2" t="e" cm="1">
        <f t="array" aca="1" ref="M149" ca="1">-_xll.YCP($E149,"one_year_return",'Database Query'!$E$14)+L149</f>
        <v>#VALUE!</v>
      </c>
      <c r="N149" s="2" t="e" cm="1">
        <f t="array" aca="1" ref="N149" ca="1">_xlfn.IFS($B149="etf", _xll.YCP($A149,"three_year_total_return",'Database Query'!$E$14),$B149&lt;&gt;"etf",_xll.YCP("M:"&amp; $A149,"three_year_total_return",'Database Query'!$E$14))</f>
        <v>#VALUE!</v>
      </c>
      <c r="O149" s="2" t="e" cm="1">
        <f t="array" aca="1" ref="O149" ca="1">-_xll.YCP($E149,"three_year_return",'Database Query'!$E$14)+N149</f>
        <v>#VALUE!</v>
      </c>
      <c r="P149" s="2" t="e" cm="1">
        <f t="array" aca="1" ref="P149" ca="1">_xlfn.IFS($B149="etf", _xll.YCP($A149,"five_year_total_return",'Database Query'!$E$14),$B149&lt;&gt;"etf",_xll.YCP("M:"&amp; $A149,"five_year_total_return",'Database Query'!$E$14))</f>
        <v>#VALUE!</v>
      </c>
      <c r="Q149" s="2" t="e" cm="1">
        <f t="array" aca="1" ref="Q149" ca="1">-_xll.YCP($E149,"five_year_return",'Database Query'!$E$14)+P149</f>
        <v>#VALUE!</v>
      </c>
    </row>
    <row r="150" spans="1:17" x14ac:dyDescent="0.25">
      <c r="A150" t="str">
        <v>JSCP</v>
      </c>
      <c r="B150" t="str" cm="1">
        <f t="array" aca="1" ref="B150" ca="1">_xll.YCI(A150,"detailed_security_type",TODAY())</f>
        <v>etf</v>
      </c>
      <c r="C150" t="str" cm="1">
        <f t="array" aca="1" ref="C150" ca="1">_xlfn.IFS(B150="etf", _xll.YCI(A150, "security_name",TODAY()),B150&lt;&gt;"etf",_xll.YCI("M:" &amp; A150, "security_name",TODAY()))</f>
        <v>JPMorgan Short Duration Core Plus ETF</v>
      </c>
      <c r="D150" t="str" cm="1">
        <f t="array" aca="1" ref="D150" ca="1">_xlfn.IFS($B150="etf", _xll.YCI($A150, "ycharts_benchmark_category",TODAY()),$B150&lt;&gt;"etf",_xll.YCI("M:" &amp; $A150, "ycharts_benchmark_category",TODAY()))</f>
        <v>US Short Term Bond</v>
      </c>
      <c r="E150" t="str" cm="1">
        <f t="array" aca="1" ref="E150" ca="1">_xlfn.IFS($B150="etf", _xll.YCI($A150, "ycharts_benchmark_index_symbol",TODAY()),$B150&lt;&gt;"etf",_xll.YCI("M:" &amp; $A150, "ycharts_benchmark_index_symbol",TODAY()))</f>
        <v>^BBUGCR13YT</v>
      </c>
      <c r="F150" t="str" cm="1">
        <f t="array" aca="1" ref="F150" ca="1">_xlfn.IFS($B150="etf", _xll.YCI($E150, "security_name",TODAY()),$B150&lt;&gt;"etf",_xll.YCI( $E150, "security_name",TODAY()))</f>
        <v>Bloomberg US Government/Credit 1-3 Year</v>
      </c>
      <c r="G150" t="str" cm="1">
        <f t="array" aca="1" ref="G150" ca="1">_xlfn.IFS($B150="etf", _xll.YCI($A150, "prospectus_benchmark_index",TODAY()),$B150&lt;&gt;"etf",_xll.YCI("M:" &amp; $A150, "prospectus_benchmark_index",TODAY()))</f>
        <v>Bloomberg US Govt/Credit 1-5 Yr TR USD</v>
      </c>
      <c r="H150" s="2" cm="1">
        <f t="array" aca="1" ref="H150" ca="1">_xlfn.IFS($B150="etf", _xll.YCP($A150,"quarterly_total_return",'Database Query'!$E$14),$B150&lt;&gt;"etf",_xll.YCP("M:"&amp; $A150,"quarterly_total_return",'Database Query'!$E$14))</f>
        <v>-2.947E-3</v>
      </c>
      <c r="I150" s="2" cm="1">
        <f t="array" aca="1" ref="I150" ca="1">-_xll.YCP($E150,"quarterly_return",'Database Query'!$E$14)+H150</f>
        <v>-2.745E-3</v>
      </c>
      <c r="J150" s="2" cm="1">
        <f t="array" aca="1" ref="J150" ca="1">_xlfn.IFS($B150="etf", _xll.YCP($A150,"ytd_total_return",'Database Query'!$E$14),$B150&lt;&gt;"etf",_xll.YCP("M:"&amp; $A150,"ytd_total_return",'Database Query'!$E$14))</f>
        <v>5.0541000000000003E-2</v>
      </c>
      <c r="K150" s="2" cm="1">
        <f t="array" aca="1" ref="K150" ca="1">-_xll.YCP($E150,"ytd_return",'Database Query'!$E$14)+J150</f>
        <v>6.9840000000000041E-3</v>
      </c>
      <c r="L150" s="2" cm="1">
        <f t="array" aca="1" ref="L150" ca="1">_xlfn.IFS($B150="etf", _xll.YCP($A150,"one_year_total_return",'Database Query'!$E$14),$B150&lt;&gt;"etf",_xll.YCP("M:"&amp; $A150,"one_year_total_return",'Database Query'!$E$14))</f>
        <v>5.0541000000000003E-2</v>
      </c>
      <c r="M150" s="2" cm="1">
        <f t="array" aca="1" ref="M150" ca="1">-_xll.YCP($E150,"one_year_return",'Database Query'!$E$14)+L150</f>
        <v>6.9840000000000041E-3</v>
      </c>
      <c r="N150" s="2" cm="1">
        <f t="array" aca="1" ref="N150" ca="1">_xlfn.IFS($B150="etf", _xll.YCP($A150,"three_year_total_return",'Database Query'!$E$14),$B150&lt;&gt;"etf",_xll.YCP("M:"&amp; $A150,"three_year_total_return",'Database Query'!$E$14))</f>
        <v>5.1029999999999999E-2</v>
      </c>
      <c r="O150" s="2" cm="1">
        <f t="array" aca="1" ref="O150" ca="1">-_xll.YCP($E150,"three_year_return",'Database Query'!$E$14)+N150</f>
        <v>-4.1000000000000064E-4</v>
      </c>
      <c r="P150" s="2" t="str" cm="1">
        <f t="array" aca="1" ref="P150" ca="1">_xlfn.IFS($B150="etf", _xll.YCP($A150,"five_year_total_return",'Database Query'!$E$14),$B150&lt;&gt;"etf",_xll.YCP("M:"&amp; $A150,"five_year_total_return",'Database Query'!$E$14))</f>
        <v>ERR: NO DATA</v>
      </c>
      <c r="Q150" s="2" t="e" cm="1">
        <f t="array" aca="1" ref="Q150" ca="1">-_xll.YCP($E150,"five_year_return",'Database Query'!$E$14)+P150</f>
        <v>#VALUE!</v>
      </c>
    </row>
    <row r="151" spans="1:17" x14ac:dyDescent="0.25">
      <c r="A151" t="str">
        <v>JSMGX</v>
      </c>
      <c r="B151" t="e" cm="1">
        <f t="array" aca="1" ref="B151" ca="1">_xll.YCI(A151,"detailed_security_type",TODAY())</f>
        <v>#VALUE!</v>
      </c>
      <c r="C151" t="e" cm="1">
        <f t="array" aca="1" ref="C151" ca="1">_xlfn.IFS(B151="etf", _xll.YCI(A151, "security_name",TODAY()),B151&lt;&gt;"etf",_xll.YCI("M:" &amp; A151, "security_name",TODAY()))</f>
        <v>#VALUE!</v>
      </c>
      <c r="D151" t="e" cm="1">
        <f t="array" aca="1" ref="D151" ca="1">_xlfn.IFS($B151="etf", _xll.YCI($A151, "ycharts_benchmark_category",TODAY()),$B151&lt;&gt;"etf",_xll.YCI("M:" &amp; $A151, "ycharts_benchmark_category",TODAY()))</f>
        <v>#VALUE!</v>
      </c>
      <c r="E151" t="e" cm="1">
        <f t="array" aca="1" ref="E151" ca="1">_xlfn.IFS($B151="etf", _xll.YCI($A151, "ycharts_benchmark_index_symbol",TODAY()),$B151&lt;&gt;"etf",_xll.YCI("M:" &amp; $A151, "ycharts_benchmark_index_symbol",TODAY()))</f>
        <v>#VALUE!</v>
      </c>
      <c r="F151" t="e" cm="1">
        <f t="array" aca="1" ref="F151" ca="1">_xlfn.IFS($B151="etf", _xll.YCI($E151, "security_name",TODAY()),$B151&lt;&gt;"etf",_xll.YCI( $E151, "security_name",TODAY()))</f>
        <v>#VALUE!</v>
      </c>
      <c r="G151" t="e" cm="1">
        <f t="array" aca="1" ref="G151" ca="1">_xlfn.IFS($B151="etf", _xll.YCI($A151, "prospectus_benchmark_index",TODAY()),$B151&lt;&gt;"etf",_xll.YCI("M:" &amp; $A151, "prospectus_benchmark_index",TODAY()))</f>
        <v>#VALUE!</v>
      </c>
      <c r="H151" s="2" t="e" cm="1">
        <f t="array" aca="1" ref="H151" ca="1">_xlfn.IFS($B151="etf", _xll.YCP($A151,"quarterly_total_return",'Database Query'!$E$14),$B151&lt;&gt;"etf",_xll.YCP("M:"&amp; $A151,"quarterly_total_return",'Database Query'!$E$14))</f>
        <v>#VALUE!</v>
      </c>
      <c r="I151" s="2" t="e" cm="1">
        <f t="array" aca="1" ref="I151" ca="1">-_xll.YCP($E151,"quarterly_return",'Database Query'!$E$14)+H151</f>
        <v>#VALUE!</v>
      </c>
      <c r="J151" s="2" t="e" cm="1">
        <f t="array" aca="1" ref="J151" ca="1">_xlfn.IFS($B151="etf", _xll.YCP($A151,"ytd_total_return",'Database Query'!$E$14),$B151&lt;&gt;"etf",_xll.YCP("M:"&amp; $A151,"ytd_total_return",'Database Query'!$E$14))</f>
        <v>#VALUE!</v>
      </c>
      <c r="K151" s="2" t="e" cm="1">
        <f t="array" aca="1" ref="K151" ca="1">-_xll.YCP($E151,"ytd_return",'Database Query'!$E$14)+J151</f>
        <v>#VALUE!</v>
      </c>
      <c r="L151" s="2" t="e" cm="1">
        <f t="array" aca="1" ref="L151" ca="1">_xlfn.IFS($B151="etf", _xll.YCP($A151,"one_year_total_return",'Database Query'!$E$14),$B151&lt;&gt;"etf",_xll.YCP("M:"&amp; $A151,"one_year_total_return",'Database Query'!$E$14))</f>
        <v>#VALUE!</v>
      </c>
      <c r="M151" s="2" t="e" cm="1">
        <f t="array" aca="1" ref="M151" ca="1">-_xll.YCP($E151,"one_year_return",'Database Query'!$E$14)+L151</f>
        <v>#VALUE!</v>
      </c>
      <c r="N151" s="2" t="e" cm="1">
        <f t="array" aca="1" ref="N151" ca="1">_xlfn.IFS($B151="etf", _xll.YCP($A151,"three_year_total_return",'Database Query'!$E$14),$B151&lt;&gt;"etf",_xll.YCP("M:"&amp; $A151,"three_year_total_return",'Database Query'!$E$14))</f>
        <v>#VALUE!</v>
      </c>
      <c r="O151" s="2" t="e" cm="1">
        <f t="array" aca="1" ref="O151" ca="1">-_xll.YCP($E151,"three_year_return",'Database Query'!$E$14)+N151</f>
        <v>#VALUE!</v>
      </c>
      <c r="P151" s="2" t="e" cm="1">
        <f t="array" aca="1" ref="P151" ca="1">_xlfn.IFS($B151="etf", _xll.YCP($A151,"five_year_total_return",'Database Query'!$E$14),$B151&lt;&gt;"etf",_xll.YCP("M:"&amp; $A151,"five_year_total_return",'Database Query'!$E$14))</f>
        <v>#VALUE!</v>
      </c>
      <c r="Q151" s="2" t="e" cm="1">
        <f t="array" aca="1" ref="Q151" ca="1">-_xll.YCP($E151,"five_year_return",'Database Query'!$E$14)+P151</f>
        <v>#VALUE!</v>
      </c>
    </row>
    <row r="152" spans="1:17" x14ac:dyDescent="0.25">
      <c r="A152" t="str">
        <v>JVASX</v>
      </c>
      <c r="B152" t="e" cm="1">
        <f t="array" aca="1" ref="B152" ca="1">_xll.YCI(A152,"detailed_security_type",TODAY())</f>
        <v>#VALUE!</v>
      </c>
      <c r="C152" t="e" cm="1">
        <f t="array" aca="1" ref="C152" ca="1">_xlfn.IFS(B152="etf", _xll.YCI(A152, "security_name",TODAY()),B152&lt;&gt;"etf",_xll.YCI("M:" &amp; A152, "security_name",TODAY()))</f>
        <v>#VALUE!</v>
      </c>
      <c r="D152" t="e" cm="1">
        <f t="array" aca="1" ref="D152" ca="1">_xlfn.IFS($B152="etf", _xll.YCI($A152, "ycharts_benchmark_category",TODAY()),$B152&lt;&gt;"etf",_xll.YCI("M:" &amp; $A152, "ycharts_benchmark_category",TODAY()))</f>
        <v>#VALUE!</v>
      </c>
      <c r="E152" t="e" cm="1">
        <f t="array" aca="1" ref="E152" ca="1">_xlfn.IFS($B152="etf", _xll.YCI($A152, "ycharts_benchmark_index_symbol",TODAY()),$B152&lt;&gt;"etf",_xll.YCI("M:" &amp; $A152, "ycharts_benchmark_index_symbol",TODAY()))</f>
        <v>#VALUE!</v>
      </c>
      <c r="F152" t="e" cm="1">
        <f t="array" aca="1" ref="F152" ca="1">_xlfn.IFS($B152="etf", _xll.YCI($E152, "security_name",TODAY()),$B152&lt;&gt;"etf",_xll.YCI( $E152, "security_name",TODAY()))</f>
        <v>#VALUE!</v>
      </c>
      <c r="G152" t="e" cm="1">
        <f t="array" aca="1" ref="G152" ca="1">_xlfn.IFS($B152="etf", _xll.YCI($A152, "prospectus_benchmark_index",TODAY()),$B152&lt;&gt;"etf",_xll.YCI("M:" &amp; $A152, "prospectus_benchmark_index",TODAY()))</f>
        <v>#VALUE!</v>
      </c>
      <c r="H152" s="2" t="e" cm="1">
        <f t="array" aca="1" ref="H152" ca="1">_xlfn.IFS($B152="etf", _xll.YCP($A152,"quarterly_total_return",'Database Query'!$E$14),$B152&lt;&gt;"etf",_xll.YCP("M:"&amp; $A152,"quarterly_total_return",'Database Query'!$E$14))</f>
        <v>#VALUE!</v>
      </c>
      <c r="I152" s="2" t="e" cm="1">
        <f t="array" aca="1" ref="I152" ca="1">-_xll.YCP($E152,"quarterly_return",'Database Query'!$E$14)+H152</f>
        <v>#VALUE!</v>
      </c>
      <c r="J152" s="2" t="e" cm="1">
        <f t="array" aca="1" ref="J152" ca="1">_xlfn.IFS($B152="etf", _xll.YCP($A152,"ytd_total_return",'Database Query'!$E$14),$B152&lt;&gt;"etf",_xll.YCP("M:"&amp; $A152,"ytd_total_return",'Database Query'!$E$14))</f>
        <v>#VALUE!</v>
      </c>
      <c r="K152" s="2" t="e" cm="1">
        <f t="array" aca="1" ref="K152" ca="1">-_xll.YCP($E152,"ytd_return",'Database Query'!$E$14)+J152</f>
        <v>#VALUE!</v>
      </c>
      <c r="L152" s="2" t="e" cm="1">
        <f t="array" aca="1" ref="L152" ca="1">_xlfn.IFS($B152="etf", _xll.YCP($A152,"one_year_total_return",'Database Query'!$E$14),$B152&lt;&gt;"etf",_xll.YCP("M:"&amp; $A152,"one_year_total_return",'Database Query'!$E$14))</f>
        <v>#VALUE!</v>
      </c>
      <c r="M152" s="2" t="e" cm="1">
        <f t="array" aca="1" ref="M152" ca="1">-_xll.YCP($E152,"one_year_return",'Database Query'!$E$14)+L152</f>
        <v>#VALUE!</v>
      </c>
      <c r="N152" s="2" t="e" cm="1">
        <f t="array" aca="1" ref="N152" ca="1">_xlfn.IFS($B152="etf", _xll.YCP($A152,"three_year_total_return",'Database Query'!$E$14),$B152&lt;&gt;"etf",_xll.YCP("M:"&amp; $A152,"three_year_total_return",'Database Query'!$E$14))</f>
        <v>#VALUE!</v>
      </c>
      <c r="O152" s="2" t="e" cm="1">
        <f t="array" aca="1" ref="O152" ca="1">-_xll.YCP($E152,"three_year_return",'Database Query'!$E$14)+N152</f>
        <v>#VALUE!</v>
      </c>
      <c r="P152" s="2" t="e" cm="1">
        <f t="array" aca="1" ref="P152" ca="1">_xlfn.IFS($B152="etf", _xll.YCP($A152,"five_year_total_return",'Database Query'!$E$14),$B152&lt;&gt;"etf",_xll.YCP("M:"&amp; $A152,"five_year_total_return",'Database Query'!$E$14))</f>
        <v>#VALUE!</v>
      </c>
      <c r="Q152" s="2" t="e" cm="1">
        <f t="array" aca="1" ref="Q152" ca="1">-_xll.YCP($E152,"five_year_return",'Database Query'!$E$14)+P152</f>
        <v>#VALUE!</v>
      </c>
    </row>
    <row r="153" spans="1:17" x14ac:dyDescent="0.25">
      <c r="A153" t="str">
        <v>LASYX</v>
      </c>
      <c r="B153" t="e" cm="1">
        <f t="array" aca="1" ref="B153" ca="1">_xll.YCI(A153,"detailed_security_type",TODAY())</f>
        <v>#VALUE!</v>
      </c>
      <c r="C153" t="e" cm="1">
        <f t="array" aca="1" ref="C153" ca="1">_xlfn.IFS(B153="etf", _xll.YCI(A153, "security_name",TODAY()),B153&lt;&gt;"etf",_xll.YCI("M:" &amp; A153, "security_name",TODAY()))</f>
        <v>#VALUE!</v>
      </c>
      <c r="D153" t="e" cm="1">
        <f t="array" aca="1" ref="D153" ca="1">_xlfn.IFS($B153="etf", _xll.YCI($A153, "ycharts_benchmark_category",TODAY()),$B153&lt;&gt;"etf",_xll.YCI("M:" &amp; $A153, "ycharts_benchmark_category",TODAY()))</f>
        <v>#VALUE!</v>
      </c>
      <c r="E153" t="e" cm="1">
        <f t="array" aca="1" ref="E153" ca="1">_xlfn.IFS($B153="etf", _xll.YCI($A153, "ycharts_benchmark_index_symbol",TODAY()),$B153&lt;&gt;"etf",_xll.YCI("M:" &amp; $A153, "ycharts_benchmark_index_symbol",TODAY()))</f>
        <v>#VALUE!</v>
      </c>
      <c r="F153" t="e" cm="1">
        <f t="array" aca="1" ref="F153" ca="1">_xlfn.IFS($B153="etf", _xll.YCI($E153, "security_name",TODAY()),$B153&lt;&gt;"etf",_xll.YCI( $E153, "security_name",TODAY()))</f>
        <v>#VALUE!</v>
      </c>
      <c r="G153" t="e" cm="1">
        <f t="array" aca="1" ref="G153" ca="1">_xlfn.IFS($B153="etf", _xll.YCI($A153, "prospectus_benchmark_index",TODAY()),$B153&lt;&gt;"etf",_xll.YCI("M:" &amp; $A153, "prospectus_benchmark_index",TODAY()))</f>
        <v>#VALUE!</v>
      </c>
      <c r="H153" s="2" t="e" cm="1">
        <f t="array" aca="1" ref="H153" ca="1">_xlfn.IFS($B153="etf", _xll.YCP($A153,"quarterly_total_return",'Database Query'!$E$14),$B153&lt;&gt;"etf",_xll.YCP("M:"&amp; $A153,"quarterly_total_return",'Database Query'!$E$14))</f>
        <v>#VALUE!</v>
      </c>
      <c r="I153" s="2" t="e" cm="1">
        <f t="array" aca="1" ref="I153" ca="1">-_xll.YCP($E153,"quarterly_return",'Database Query'!$E$14)+H153</f>
        <v>#VALUE!</v>
      </c>
      <c r="J153" s="2" t="e" cm="1">
        <f t="array" aca="1" ref="J153" ca="1">_xlfn.IFS($B153="etf", _xll.YCP($A153,"ytd_total_return",'Database Query'!$E$14),$B153&lt;&gt;"etf",_xll.YCP("M:"&amp; $A153,"ytd_total_return",'Database Query'!$E$14))</f>
        <v>#VALUE!</v>
      </c>
      <c r="K153" s="2" t="e" cm="1">
        <f t="array" aca="1" ref="K153" ca="1">-_xll.YCP($E153,"ytd_return",'Database Query'!$E$14)+J153</f>
        <v>#VALUE!</v>
      </c>
      <c r="L153" s="2" t="e" cm="1">
        <f t="array" aca="1" ref="L153" ca="1">_xlfn.IFS($B153="etf", _xll.YCP($A153,"one_year_total_return",'Database Query'!$E$14),$B153&lt;&gt;"etf",_xll.YCP("M:"&amp; $A153,"one_year_total_return",'Database Query'!$E$14))</f>
        <v>#VALUE!</v>
      </c>
      <c r="M153" s="2" t="e" cm="1">
        <f t="array" aca="1" ref="M153" ca="1">-_xll.YCP($E153,"one_year_return",'Database Query'!$E$14)+L153</f>
        <v>#VALUE!</v>
      </c>
      <c r="N153" s="2" t="e" cm="1">
        <f t="array" aca="1" ref="N153" ca="1">_xlfn.IFS($B153="etf", _xll.YCP($A153,"three_year_total_return",'Database Query'!$E$14),$B153&lt;&gt;"etf",_xll.YCP("M:"&amp; $A153,"three_year_total_return",'Database Query'!$E$14))</f>
        <v>#VALUE!</v>
      </c>
      <c r="O153" s="2" t="e" cm="1">
        <f t="array" aca="1" ref="O153" ca="1">-_xll.YCP($E153,"three_year_return",'Database Query'!$E$14)+N153</f>
        <v>#VALUE!</v>
      </c>
      <c r="P153" s="2" t="e" cm="1">
        <f t="array" aca="1" ref="P153" ca="1">_xlfn.IFS($B153="etf", _xll.YCP($A153,"five_year_total_return",'Database Query'!$E$14),$B153&lt;&gt;"etf",_xll.YCP("M:"&amp; $A153,"five_year_total_return",'Database Query'!$E$14))</f>
        <v>#VALUE!</v>
      </c>
      <c r="Q153" s="2" t="e" cm="1">
        <f t="array" aca="1" ref="Q153" ca="1">-_xll.YCP($E153,"five_year_return",'Database Query'!$E$14)+P153</f>
        <v>#VALUE!</v>
      </c>
    </row>
    <row r="154" spans="1:17" x14ac:dyDescent="0.25">
      <c r="A154" t="str">
        <v>LCRIX</v>
      </c>
      <c r="B154" t="e" cm="1">
        <f t="array" aca="1" ref="B154" ca="1">_xll.YCI(A154,"detailed_security_type",TODAY())</f>
        <v>#VALUE!</v>
      </c>
      <c r="C154" t="e" cm="1">
        <f t="array" aca="1" ref="C154" ca="1">_xlfn.IFS(B154="etf", _xll.YCI(A154, "security_name",TODAY()),B154&lt;&gt;"etf",_xll.YCI("M:" &amp; A154, "security_name",TODAY()))</f>
        <v>#VALUE!</v>
      </c>
      <c r="D154" t="e" cm="1">
        <f t="array" aca="1" ref="D154" ca="1">_xlfn.IFS($B154="etf", _xll.YCI($A154, "ycharts_benchmark_category",TODAY()),$B154&lt;&gt;"etf",_xll.YCI("M:" &amp; $A154, "ycharts_benchmark_category",TODAY()))</f>
        <v>#VALUE!</v>
      </c>
      <c r="E154" t="e" cm="1">
        <f t="array" aca="1" ref="E154" ca="1">_xlfn.IFS($B154="etf", _xll.YCI($A154, "ycharts_benchmark_index_symbol",TODAY()),$B154&lt;&gt;"etf",_xll.YCI("M:" &amp; $A154, "ycharts_benchmark_index_symbol",TODAY()))</f>
        <v>#VALUE!</v>
      </c>
      <c r="F154" t="e" cm="1">
        <f t="array" aca="1" ref="F154" ca="1">_xlfn.IFS($B154="etf", _xll.YCI($E154, "security_name",TODAY()),$B154&lt;&gt;"etf",_xll.YCI( $E154, "security_name",TODAY()))</f>
        <v>#VALUE!</v>
      </c>
      <c r="G154" t="e" cm="1">
        <f t="array" aca="1" ref="G154" ca="1">_xlfn.IFS($B154="etf", _xll.YCI($A154, "prospectus_benchmark_index",TODAY()),$B154&lt;&gt;"etf",_xll.YCI("M:" &amp; $A154, "prospectus_benchmark_index",TODAY()))</f>
        <v>#VALUE!</v>
      </c>
      <c r="H154" s="2" t="e" cm="1">
        <f t="array" aca="1" ref="H154" ca="1">_xlfn.IFS($B154="etf", _xll.YCP($A154,"quarterly_total_return",'Database Query'!$E$14),$B154&lt;&gt;"etf",_xll.YCP("M:"&amp; $A154,"quarterly_total_return",'Database Query'!$E$14))</f>
        <v>#VALUE!</v>
      </c>
      <c r="I154" s="2" t="e" cm="1">
        <f t="array" aca="1" ref="I154" ca="1">-_xll.YCP($E154,"quarterly_return",'Database Query'!$E$14)+H154</f>
        <v>#VALUE!</v>
      </c>
      <c r="J154" s="2" t="e" cm="1">
        <f t="array" aca="1" ref="J154" ca="1">_xlfn.IFS($B154="etf", _xll.YCP($A154,"ytd_total_return",'Database Query'!$E$14),$B154&lt;&gt;"etf",_xll.YCP("M:"&amp; $A154,"ytd_total_return",'Database Query'!$E$14))</f>
        <v>#VALUE!</v>
      </c>
      <c r="K154" s="2" t="e" cm="1">
        <f t="array" aca="1" ref="K154" ca="1">-_xll.YCP($E154,"ytd_return",'Database Query'!$E$14)+J154</f>
        <v>#VALUE!</v>
      </c>
      <c r="L154" s="2" t="e" cm="1">
        <f t="array" aca="1" ref="L154" ca="1">_xlfn.IFS($B154="etf", _xll.YCP($A154,"one_year_total_return",'Database Query'!$E$14),$B154&lt;&gt;"etf",_xll.YCP("M:"&amp; $A154,"one_year_total_return",'Database Query'!$E$14))</f>
        <v>#VALUE!</v>
      </c>
      <c r="M154" s="2" t="e" cm="1">
        <f t="array" aca="1" ref="M154" ca="1">-_xll.YCP($E154,"one_year_return",'Database Query'!$E$14)+L154</f>
        <v>#VALUE!</v>
      </c>
      <c r="N154" s="2" t="e" cm="1">
        <f t="array" aca="1" ref="N154" ca="1">_xlfn.IFS($B154="etf", _xll.YCP($A154,"three_year_total_return",'Database Query'!$E$14),$B154&lt;&gt;"etf",_xll.YCP("M:"&amp; $A154,"three_year_total_return",'Database Query'!$E$14))</f>
        <v>#VALUE!</v>
      </c>
      <c r="O154" s="2" t="e" cm="1">
        <f t="array" aca="1" ref="O154" ca="1">-_xll.YCP($E154,"three_year_return",'Database Query'!$E$14)+N154</f>
        <v>#VALUE!</v>
      </c>
      <c r="P154" s="2" t="e" cm="1">
        <f t="array" aca="1" ref="P154" ca="1">_xlfn.IFS($B154="etf", _xll.YCP($A154,"five_year_total_return",'Database Query'!$E$14),$B154&lt;&gt;"etf",_xll.YCP("M:"&amp; $A154,"five_year_total_return",'Database Query'!$E$14))</f>
        <v>#VALUE!</v>
      </c>
      <c r="Q154" s="2" t="e" cm="1">
        <f t="array" aca="1" ref="Q154" ca="1">-_xll.YCP($E154,"five_year_return",'Database Query'!$E$14)+P154</f>
        <v>#VALUE!</v>
      </c>
    </row>
    <row r="155" spans="1:17" x14ac:dyDescent="0.25">
      <c r="A155" t="str">
        <v>LFRFX</v>
      </c>
      <c r="B155" t="e" cm="1">
        <f t="array" aca="1" ref="B155" ca="1">_xll.YCI(A155,"detailed_security_type",TODAY())</f>
        <v>#VALUE!</v>
      </c>
      <c r="C155" t="e" cm="1">
        <f t="array" aca="1" ref="C155" ca="1">_xlfn.IFS(B155="etf", _xll.YCI(A155, "security_name",TODAY()),B155&lt;&gt;"etf",_xll.YCI("M:" &amp; A155, "security_name",TODAY()))</f>
        <v>#VALUE!</v>
      </c>
      <c r="D155" t="e" cm="1">
        <f t="array" aca="1" ref="D155" ca="1">_xlfn.IFS($B155="etf", _xll.YCI($A155, "ycharts_benchmark_category",TODAY()),$B155&lt;&gt;"etf",_xll.YCI("M:" &amp; $A155, "ycharts_benchmark_category",TODAY()))</f>
        <v>#VALUE!</v>
      </c>
      <c r="E155" t="e" cm="1">
        <f t="array" aca="1" ref="E155" ca="1">_xlfn.IFS($B155="etf", _xll.YCI($A155, "ycharts_benchmark_index_symbol",TODAY()),$B155&lt;&gt;"etf",_xll.YCI("M:" &amp; $A155, "ycharts_benchmark_index_symbol",TODAY()))</f>
        <v>#VALUE!</v>
      </c>
      <c r="F155" t="e" cm="1">
        <f t="array" aca="1" ref="F155" ca="1">_xlfn.IFS($B155="etf", _xll.YCI($E155, "security_name",TODAY()),$B155&lt;&gt;"etf",_xll.YCI( $E155, "security_name",TODAY()))</f>
        <v>#VALUE!</v>
      </c>
      <c r="G155" t="e" cm="1">
        <f t="array" aca="1" ref="G155" ca="1">_xlfn.IFS($B155="etf", _xll.YCI($A155, "prospectus_benchmark_index",TODAY()),$B155&lt;&gt;"etf",_xll.YCI("M:" &amp; $A155, "prospectus_benchmark_index",TODAY()))</f>
        <v>#VALUE!</v>
      </c>
      <c r="H155" s="2" t="e" cm="1">
        <f t="array" aca="1" ref="H155" ca="1">_xlfn.IFS($B155="etf", _xll.YCP($A155,"quarterly_total_return",'Database Query'!$E$14),$B155&lt;&gt;"etf",_xll.YCP("M:"&amp; $A155,"quarterly_total_return",'Database Query'!$E$14))</f>
        <v>#VALUE!</v>
      </c>
      <c r="I155" s="2" t="e" cm="1">
        <f t="array" aca="1" ref="I155" ca="1">-_xll.YCP($E155,"quarterly_return",'Database Query'!$E$14)+H155</f>
        <v>#VALUE!</v>
      </c>
      <c r="J155" s="2" t="e" cm="1">
        <f t="array" aca="1" ref="J155" ca="1">_xlfn.IFS($B155="etf", _xll.YCP($A155,"ytd_total_return",'Database Query'!$E$14),$B155&lt;&gt;"etf",_xll.YCP("M:"&amp; $A155,"ytd_total_return",'Database Query'!$E$14))</f>
        <v>#VALUE!</v>
      </c>
      <c r="K155" s="2" t="e" cm="1">
        <f t="array" aca="1" ref="K155" ca="1">-_xll.YCP($E155,"ytd_return",'Database Query'!$E$14)+J155</f>
        <v>#VALUE!</v>
      </c>
      <c r="L155" s="2" t="e" cm="1">
        <f t="array" aca="1" ref="L155" ca="1">_xlfn.IFS($B155="etf", _xll.YCP($A155,"one_year_total_return",'Database Query'!$E$14),$B155&lt;&gt;"etf",_xll.YCP("M:"&amp; $A155,"one_year_total_return",'Database Query'!$E$14))</f>
        <v>#VALUE!</v>
      </c>
      <c r="M155" s="2" t="e" cm="1">
        <f t="array" aca="1" ref="M155" ca="1">-_xll.YCP($E155,"one_year_return",'Database Query'!$E$14)+L155</f>
        <v>#VALUE!</v>
      </c>
      <c r="N155" s="2" t="e" cm="1">
        <f t="array" aca="1" ref="N155" ca="1">_xlfn.IFS($B155="etf", _xll.YCP($A155,"three_year_total_return",'Database Query'!$E$14),$B155&lt;&gt;"etf",_xll.YCP("M:"&amp; $A155,"three_year_total_return",'Database Query'!$E$14))</f>
        <v>#VALUE!</v>
      </c>
      <c r="O155" s="2" t="e" cm="1">
        <f t="array" aca="1" ref="O155" ca="1">-_xll.YCP($E155,"three_year_return",'Database Query'!$E$14)+N155</f>
        <v>#VALUE!</v>
      </c>
      <c r="P155" s="2" t="e" cm="1">
        <f t="array" aca="1" ref="P155" ca="1">_xlfn.IFS($B155="etf", _xll.YCP($A155,"five_year_total_return",'Database Query'!$E$14),$B155&lt;&gt;"etf",_xll.YCP("M:"&amp; $A155,"five_year_total_return",'Database Query'!$E$14))</f>
        <v>#VALUE!</v>
      </c>
      <c r="Q155" s="2" t="e" cm="1">
        <f t="array" aca="1" ref="Q155" ca="1">-_xll.YCP($E155,"five_year_return",'Database Query'!$E$14)+P155</f>
        <v>#VALUE!</v>
      </c>
    </row>
    <row r="156" spans="1:17" x14ac:dyDescent="0.25">
      <c r="A156" t="str">
        <v>LFRIX</v>
      </c>
      <c r="B156" t="e" cm="1">
        <f t="array" aca="1" ref="B156" ca="1">_xll.YCI(A156,"detailed_security_type",TODAY())</f>
        <v>#VALUE!</v>
      </c>
      <c r="C156" t="e" cm="1">
        <f t="array" aca="1" ref="C156" ca="1">_xlfn.IFS(B156="etf", _xll.YCI(A156, "security_name",TODAY()),B156&lt;&gt;"etf",_xll.YCI("M:" &amp; A156, "security_name",TODAY()))</f>
        <v>#VALUE!</v>
      </c>
      <c r="D156" t="e" cm="1">
        <f t="array" aca="1" ref="D156" ca="1">_xlfn.IFS($B156="etf", _xll.YCI($A156, "ycharts_benchmark_category",TODAY()),$B156&lt;&gt;"etf",_xll.YCI("M:" &amp; $A156, "ycharts_benchmark_category",TODAY()))</f>
        <v>#VALUE!</v>
      </c>
      <c r="E156" t="e" cm="1">
        <f t="array" aca="1" ref="E156" ca="1">_xlfn.IFS($B156="etf", _xll.YCI($A156, "ycharts_benchmark_index_symbol",TODAY()),$B156&lt;&gt;"etf",_xll.YCI("M:" &amp; $A156, "ycharts_benchmark_index_symbol",TODAY()))</f>
        <v>#VALUE!</v>
      </c>
      <c r="F156" t="e" cm="1">
        <f t="array" aca="1" ref="F156" ca="1">_xlfn.IFS($B156="etf", _xll.YCI($E156, "security_name",TODAY()),$B156&lt;&gt;"etf",_xll.YCI( $E156, "security_name",TODAY()))</f>
        <v>#VALUE!</v>
      </c>
      <c r="G156" t="e" cm="1">
        <f t="array" aca="1" ref="G156" ca="1">_xlfn.IFS($B156="etf", _xll.YCI($A156, "prospectus_benchmark_index",TODAY()),$B156&lt;&gt;"etf",_xll.YCI("M:" &amp; $A156, "prospectus_benchmark_index",TODAY()))</f>
        <v>#VALUE!</v>
      </c>
      <c r="H156" s="2" t="e" cm="1">
        <f t="array" aca="1" ref="H156" ca="1">_xlfn.IFS($B156="etf", _xll.YCP($A156,"quarterly_total_return",'Database Query'!$E$14),$B156&lt;&gt;"etf",_xll.YCP("M:"&amp; $A156,"quarterly_total_return",'Database Query'!$E$14))</f>
        <v>#VALUE!</v>
      </c>
      <c r="I156" s="2" t="e" cm="1">
        <f t="array" aca="1" ref="I156" ca="1">-_xll.YCP($E156,"quarterly_return",'Database Query'!$E$14)+H156</f>
        <v>#VALUE!</v>
      </c>
      <c r="J156" s="2" t="e" cm="1">
        <f t="array" aca="1" ref="J156" ca="1">_xlfn.IFS($B156="etf", _xll.YCP($A156,"ytd_total_return",'Database Query'!$E$14),$B156&lt;&gt;"etf",_xll.YCP("M:"&amp; $A156,"ytd_total_return",'Database Query'!$E$14))</f>
        <v>#VALUE!</v>
      </c>
      <c r="K156" s="2" t="e" cm="1">
        <f t="array" aca="1" ref="K156" ca="1">-_xll.YCP($E156,"ytd_return",'Database Query'!$E$14)+J156</f>
        <v>#VALUE!</v>
      </c>
      <c r="L156" s="2" t="e" cm="1">
        <f t="array" aca="1" ref="L156" ca="1">_xlfn.IFS($B156="etf", _xll.YCP($A156,"one_year_total_return",'Database Query'!$E$14),$B156&lt;&gt;"etf",_xll.YCP("M:"&amp; $A156,"one_year_total_return",'Database Query'!$E$14))</f>
        <v>#VALUE!</v>
      </c>
      <c r="M156" s="2" t="e" cm="1">
        <f t="array" aca="1" ref="M156" ca="1">-_xll.YCP($E156,"one_year_return",'Database Query'!$E$14)+L156</f>
        <v>#VALUE!</v>
      </c>
      <c r="N156" s="2" t="e" cm="1">
        <f t="array" aca="1" ref="N156" ca="1">_xlfn.IFS($B156="etf", _xll.YCP($A156,"three_year_total_return",'Database Query'!$E$14),$B156&lt;&gt;"etf",_xll.YCP("M:"&amp; $A156,"three_year_total_return",'Database Query'!$E$14))</f>
        <v>#VALUE!</v>
      </c>
      <c r="O156" s="2" t="e" cm="1">
        <f t="array" aca="1" ref="O156" ca="1">-_xll.YCP($E156,"three_year_return",'Database Query'!$E$14)+N156</f>
        <v>#VALUE!</v>
      </c>
      <c r="P156" s="2" t="e" cm="1">
        <f t="array" aca="1" ref="P156" ca="1">_xlfn.IFS($B156="etf", _xll.YCP($A156,"five_year_total_return",'Database Query'!$E$14),$B156&lt;&gt;"etf",_xll.YCP("M:"&amp; $A156,"five_year_total_return",'Database Query'!$E$14))</f>
        <v>#VALUE!</v>
      </c>
      <c r="Q156" s="2" t="e" cm="1">
        <f t="array" aca="1" ref="Q156" ca="1">-_xll.YCP($E156,"five_year_return",'Database Query'!$E$14)+P156</f>
        <v>#VALUE!</v>
      </c>
    </row>
    <row r="157" spans="1:17" x14ac:dyDescent="0.25">
      <c r="A157" t="str">
        <v>LIT</v>
      </c>
      <c r="B157" t="str" cm="1">
        <f t="array" aca="1" ref="B157" ca="1">_xll.YCI(A157,"detailed_security_type",TODAY())</f>
        <v>etf</v>
      </c>
      <c r="C157" t="str" cm="1">
        <f t="array" aca="1" ref="C157" ca="1">_xlfn.IFS(B157="etf", _xll.YCI(A157, "security_name",TODAY()),B157&lt;&gt;"etf",_xll.YCI("M:" &amp; A157, "security_name",TODAY()))</f>
        <v>Global X Lithium &amp; Battery Tech ETF</v>
      </c>
      <c r="D157" t="str" cm="1">
        <f t="array" aca="1" ref="D157" ca="1">_xlfn.IFS($B157="etf", _xll.YCI($A157, "ycharts_benchmark_category",TODAY()),$B157&lt;&gt;"etf",_xll.YCI("M:" &amp; $A157, "ycharts_benchmark_category",TODAY()))</f>
        <v>Financials Equity</v>
      </c>
      <c r="E157" t="str" cm="1">
        <f t="array" aca="1" ref="E157" ca="1">_xlfn.IFS($B157="etf", _xll.YCI($A157, "ycharts_benchmark_index_symbol",TODAY()),$B157&lt;&gt;"etf",_xll.YCI("M:" &amp; $A157, "ycharts_benchmark_index_symbol",TODAY()))</f>
        <v>^SP15FINSTR</v>
      </c>
      <c r="F157" t="str" cm="1">
        <f t="array" aca="1" ref="F157" ca="1">_xlfn.IFS($B157="etf", _xll.YCI($E157, "security_name",TODAY()),$B157&lt;&gt;"etf",_xll.YCI( $E157, "security_name",TODAY()))</f>
        <v>S&amp;P 1500 Financials (Sector) Total Return</v>
      </c>
      <c r="G157" t="str" cm="1">
        <f t="array" aca="1" ref="G157" ca="1">_xlfn.IFS($B157="etf", _xll.YCI($A157, "prospectus_benchmark_index",TODAY()),$B157&lt;&gt;"etf",_xll.YCI("M:" &amp; $A157, "prospectus_benchmark_index",TODAY()))</f>
        <v>Solactive Global Lithium TR USD</v>
      </c>
      <c r="H157" s="2" cm="1">
        <f t="array" aca="1" ref="H157" ca="1">_xlfn.IFS($B157="etf", _xll.YCP($A157,"quarterly_total_return",'Database Query'!$E$14),$B157&lt;&gt;"etf",_xll.YCP("M:"&amp; $A157,"quarterly_total_return",'Database Query'!$E$14))</f>
        <v>-6.1543E-2</v>
      </c>
      <c r="I157" s="2" cm="1">
        <f t="array" aca="1" ref="I157" ca="1">-_xll.YCP($E157,"quarterly_return",'Database Query'!$E$14)+H157</f>
        <v>-0.13075799999999999</v>
      </c>
      <c r="J157" s="2" cm="1">
        <f t="array" aca="1" ref="J157" ca="1">_xlfn.IFS($B157="etf", _xll.YCP($A157,"ytd_total_return",'Database Query'!$E$14),$B157&lt;&gt;"etf",_xll.YCP("M:"&amp; $A157,"ytd_total_return",'Database Query'!$E$14))</f>
        <v>-0.191856</v>
      </c>
      <c r="K157" s="2" cm="1">
        <f t="array" aca="1" ref="K157" ca="1">-_xll.YCP($E157,"ytd_return",'Database Query'!$E$14)+J157</f>
        <v>-0.48968699999999998</v>
      </c>
      <c r="L157" s="2" cm="1">
        <f t="array" aca="1" ref="L157" ca="1">_xlfn.IFS($B157="etf", _xll.YCP($A157,"one_year_total_return",'Database Query'!$E$14),$B157&lt;&gt;"etf",_xll.YCP("M:"&amp; $A157,"one_year_total_return",'Database Query'!$E$14))</f>
        <v>-0.191856</v>
      </c>
      <c r="M157" s="2" cm="1">
        <f t="array" aca="1" ref="M157" ca="1">-_xll.YCP($E157,"one_year_return",'Database Query'!$E$14)+L157</f>
        <v>-0.48968699999999998</v>
      </c>
      <c r="N157" s="2" cm="1">
        <f t="array" aca="1" ref="N157" ca="1">_xlfn.IFS($B157="etf", _xll.YCP($A157,"three_year_total_return",'Database Query'!$E$14),$B157&lt;&gt;"etf",_xll.YCP("M:"&amp; $A157,"three_year_total_return",'Database Query'!$E$14))</f>
        <v>-0.50278199999999995</v>
      </c>
      <c r="O157" s="2" cm="1">
        <f t="array" aca="1" ref="O157" ca="1">-_xll.YCP($E157,"three_year_return",'Database Query'!$E$14)+N157</f>
        <v>-0.80490699999999993</v>
      </c>
      <c r="P157" s="2" cm="1">
        <f t="array" aca="1" ref="P157" ca="1">_xlfn.IFS($B157="etf", _xll.YCP($A157,"five_year_total_return",'Database Query'!$E$14),$B157&lt;&gt;"etf",_xll.YCP("M:"&amp; $A157,"five_year_total_return",'Database Query'!$E$14))</f>
        <v>0.54914399999999997</v>
      </c>
      <c r="Q157" s="2" cm="1">
        <f t="array" aca="1" ref="Q157" ca="1">-_xll.YCP($E157,"five_year_return",'Database Query'!$E$14)+P157</f>
        <v>-0.169404</v>
      </c>
    </row>
    <row r="158" spans="1:17" x14ac:dyDescent="0.25">
      <c r="A158" t="str">
        <v>LQD</v>
      </c>
      <c r="B158" t="str" cm="1">
        <f t="array" aca="1" ref="B158" ca="1">_xll.YCI(A158,"detailed_security_type",TODAY())</f>
        <v>etf</v>
      </c>
      <c r="C158" t="str" cm="1">
        <f t="array" aca="1" ref="C158" ca="1">_xlfn.IFS(B158="etf", _xll.YCI(A158, "security_name",TODAY()),B158&lt;&gt;"etf",_xll.YCI("M:" &amp; A158, "security_name",TODAY()))</f>
        <v>iShares iBoxx $ Inv Grade Corporate Bond ETF</v>
      </c>
      <c r="D158" t="str" cm="1">
        <f t="array" aca="1" ref="D158" ca="1">_xlfn.IFS($B158="etf", _xll.YCI($A158, "ycharts_benchmark_category",TODAY()),$B158&lt;&gt;"etf",_xll.YCI("M:" &amp; $A158, "ycharts_benchmark_category",TODAY()))</f>
        <v>US Corporate Bond</v>
      </c>
      <c r="E158" t="str" cm="1">
        <f t="array" aca="1" ref="E158" ca="1">_xlfn.IFS($B158="etf", _xll.YCI($A158, "ycharts_benchmark_index_symbol",TODAY()),$B158&lt;&gt;"etf",_xll.YCI("M:" &amp; $A158, "ycharts_benchmark_index_symbol",TODAY()))</f>
        <v>^BBUSCOTR</v>
      </c>
      <c r="F158" t="str" cm="1">
        <f t="array" aca="1" ref="F158" ca="1">_xlfn.IFS($B158="etf", _xll.YCI($E158, "security_name",TODAY()),$B158&lt;&gt;"etf",_xll.YCI( $E158, "security_name",TODAY()))</f>
        <v>Bloomberg US Corporate</v>
      </c>
      <c r="G158" t="str" cm="1">
        <f t="array" aca="1" ref="G158" ca="1">_xlfn.IFS($B158="etf", _xll.YCI($A158, "prospectus_benchmark_index",TODAY()),$B158&lt;&gt;"etf",_xll.YCI("M:" &amp; $A158, "prospectus_benchmark_index",TODAY()))</f>
        <v>Markit iBoxx Liquid IG TR USD</v>
      </c>
      <c r="H158" s="2" cm="1">
        <f t="array" aca="1" ref="H158" ca="1">_xlfn.IFS($B158="etf", _xll.YCP($A158,"quarterly_total_return",'Database Query'!$E$14),$B158&lt;&gt;"etf",_xll.YCP("M:"&amp; $A158,"quarterly_total_return",'Database Query'!$E$14))</f>
        <v>-4.0774999999999999E-2</v>
      </c>
      <c r="I158" s="2" cm="1">
        <f t="array" aca="1" ref="I158" ca="1">-_xll.YCP($E158,"quarterly_return",'Database Query'!$E$14)+H158</f>
        <v>-1.0421E-2</v>
      </c>
      <c r="J158" s="2" cm="1">
        <f t="array" aca="1" ref="J158" ca="1">_xlfn.IFS($B158="etf", _xll.YCP($A158,"ytd_total_return",'Database Query'!$E$14),$B158&lt;&gt;"etf",_xll.YCP("M:"&amp; $A158,"ytd_total_return",'Database Query'!$E$14))</f>
        <v>8.574E-3</v>
      </c>
      <c r="K158" s="2" cm="1">
        <f t="array" aca="1" ref="K158" ca="1">-_xll.YCP($E158,"ytd_return",'Database Query'!$E$14)+J158</f>
        <v>-1.2676999999999999E-2</v>
      </c>
      <c r="L158" s="2" cm="1">
        <f t="array" aca="1" ref="L158" ca="1">_xlfn.IFS($B158="etf", _xll.YCP($A158,"one_year_total_return",'Database Query'!$E$14),$B158&lt;&gt;"etf",_xll.YCP("M:"&amp; $A158,"one_year_total_return",'Database Query'!$E$14))</f>
        <v>8.574E-3</v>
      </c>
      <c r="M158" s="2" cm="1">
        <f t="array" aca="1" ref="M158" ca="1">-_xll.YCP($E158,"one_year_return",'Database Query'!$E$14)+L158</f>
        <v>-1.2676999999999999E-2</v>
      </c>
      <c r="N158" s="2" cm="1">
        <f t="array" aca="1" ref="N158" ca="1">_xlfn.IFS($B158="etf", _xll.YCP($A158,"three_year_total_return",'Database Query'!$E$14),$B158&lt;&gt;"etf",_xll.YCP("M:"&amp; $A158,"three_year_total_return",'Database Query'!$E$14))</f>
        <v>-9.4465999999999994E-2</v>
      </c>
      <c r="O158" s="2" cm="1">
        <f t="array" aca="1" ref="O158" ca="1">-_xll.YCP($E158,"three_year_return",'Database Query'!$E$14)+N158</f>
        <v>-2.8038999999999994E-2</v>
      </c>
      <c r="P158" s="2" cm="1">
        <f t="array" aca="1" ref="P158" ca="1">_xlfn.IFS($B158="etf", _xll.YCP($A158,"five_year_total_return",'Database Query'!$E$14),$B158&lt;&gt;"etf",_xll.YCP("M:"&amp; $A158,"five_year_total_return",'Database Query'!$E$14))</f>
        <v>-1.3636000000000001E-2</v>
      </c>
      <c r="Q158" s="2" cm="1">
        <f t="array" aca="1" ref="Q158" ca="1">-_xll.YCP($E158,"five_year_return",'Database Query'!$E$14)+P158</f>
        <v>-2.8819999999999998E-2</v>
      </c>
    </row>
    <row r="159" spans="1:17" x14ac:dyDescent="0.25">
      <c r="A159" t="str">
        <v>LSVQX</v>
      </c>
      <c r="B159" t="e" cm="1">
        <f t="array" aca="1" ref="B159" ca="1">_xll.YCI(A159,"detailed_security_type",TODAY())</f>
        <v>#VALUE!</v>
      </c>
      <c r="C159" t="e" cm="1">
        <f t="array" aca="1" ref="C159" ca="1">_xlfn.IFS(B159="etf", _xll.YCI(A159, "security_name",TODAY()),B159&lt;&gt;"etf",_xll.YCI("M:" &amp; A159, "security_name",TODAY()))</f>
        <v>#VALUE!</v>
      </c>
      <c r="D159" t="e" cm="1">
        <f t="array" aca="1" ref="D159" ca="1">_xlfn.IFS($B159="etf", _xll.YCI($A159, "ycharts_benchmark_category",TODAY()),$B159&lt;&gt;"etf",_xll.YCI("M:" &amp; $A159, "ycharts_benchmark_category",TODAY()))</f>
        <v>#VALUE!</v>
      </c>
      <c r="E159" t="e" cm="1">
        <f t="array" aca="1" ref="E159" ca="1">_xlfn.IFS($B159="etf", _xll.YCI($A159, "ycharts_benchmark_index_symbol",TODAY()),$B159&lt;&gt;"etf",_xll.YCI("M:" &amp; $A159, "ycharts_benchmark_index_symbol",TODAY()))</f>
        <v>#VALUE!</v>
      </c>
      <c r="F159" t="e" cm="1">
        <f t="array" aca="1" ref="F159" ca="1">_xlfn.IFS($B159="etf", _xll.YCI($E159, "security_name",TODAY()),$B159&lt;&gt;"etf",_xll.YCI( $E159, "security_name",TODAY()))</f>
        <v>#VALUE!</v>
      </c>
      <c r="G159" t="e" cm="1">
        <f t="array" aca="1" ref="G159" ca="1">_xlfn.IFS($B159="etf", _xll.YCI($A159, "prospectus_benchmark_index",TODAY()),$B159&lt;&gt;"etf",_xll.YCI("M:" &amp; $A159, "prospectus_benchmark_index",TODAY()))</f>
        <v>#VALUE!</v>
      </c>
      <c r="H159" s="2" t="e" cm="1">
        <f t="array" aca="1" ref="H159" ca="1">_xlfn.IFS($B159="etf", _xll.YCP($A159,"quarterly_total_return",'Database Query'!$E$14),$B159&lt;&gt;"etf",_xll.YCP("M:"&amp; $A159,"quarterly_total_return",'Database Query'!$E$14))</f>
        <v>#VALUE!</v>
      </c>
      <c r="I159" s="2" t="e" cm="1">
        <f t="array" aca="1" ref="I159" ca="1">-_xll.YCP($E159,"quarterly_return",'Database Query'!$E$14)+H159</f>
        <v>#VALUE!</v>
      </c>
      <c r="J159" s="2" t="e" cm="1">
        <f t="array" aca="1" ref="J159" ca="1">_xlfn.IFS($B159="etf", _xll.YCP($A159,"ytd_total_return",'Database Query'!$E$14),$B159&lt;&gt;"etf",_xll.YCP("M:"&amp; $A159,"ytd_total_return",'Database Query'!$E$14))</f>
        <v>#VALUE!</v>
      </c>
      <c r="K159" s="2" t="e" cm="1">
        <f t="array" aca="1" ref="K159" ca="1">-_xll.YCP($E159,"ytd_return",'Database Query'!$E$14)+J159</f>
        <v>#VALUE!</v>
      </c>
      <c r="L159" s="2" t="e" cm="1">
        <f t="array" aca="1" ref="L159" ca="1">_xlfn.IFS($B159="etf", _xll.YCP($A159,"one_year_total_return",'Database Query'!$E$14),$B159&lt;&gt;"etf",_xll.YCP("M:"&amp; $A159,"one_year_total_return",'Database Query'!$E$14))</f>
        <v>#VALUE!</v>
      </c>
      <c r="M159" s="2" t="e" cm="1">
        <f t="array" aca="1" ref="M159" ca="1">-_xll.YCP($E159,"one_year_return",'Database Query'!$E$14)+L159</f>
        <v>#VALUE!</v>
      </c>
      <c r="N159" s="2" t="e" cm="1">
        <f t="array" aca="1" ref="N159" ca="1">_xlfn.IFS($B159="etf", _xll.YCP($A159,"three_year_total_return",'Database Query'!$E$14),$B159&lt;&gt;"etf",_xll.YCP("M:"&amp; $A159,"three_year_total_return",'Database Query'!$E$14))</f>
        <v>#VALUE!</v>
      </c>
      <c r="O159" s="2" t="e" cm="1">
        <f t="array" aca="1" ref="O159" ca="1">-_xll.YCP($E159,"three_year_return",'Database Query'!$E$14)+N159</f>
        <v>#VALUE!</v>
      </c>
      <c r="P159" s="2" t="e" cm="1">
        <f t="array" aca="1" ref="P159" ca="1">_xlfn.IFS($B159="etf", _xll.YCP($A159,"five_year_total_return",'Database Query'!$E$14),$B159&lt;&gt;"etf",_xll.YCP("M:"&amp; $A159,"five_year_total_return",'Database Query'!$E$14))</f>
        <v>#VALUE!</v>
      </c>
      <c r="Q159" s="2" t="e" cm="1">
        <f t="array" aca="1" ref="Q159" ca="1">-_xll.YCP($E159,"five_year_return",'Database Query'!$E$14)+P159</f>
        <v>#VALUE!</v>
      </c>
    </row>
    <row r="160" spans="1:17" x14ac:dyDescent="0.25">
      <c r="A160" t="str">
        <v>MALMX</v>
      </c>
      <c r="B160" t="e" cm="1">
        <f t="array" aca="1" ref="B160" ca="1">_xll.YCI(A160,"detailed_security_type",TODAY())</f>
        <v>#VALUE!</v>
      </c>
      <c r="C160" t="e" cm="1">
        <f t="array" aca="1" ref="C160" ca="1">_xlfn.IFS(B160="etf", _xll.YCI(A160, "security_name",TODAY()),B160&lt;&gt;"etf",_xll.YCI("M:" &amp; A160, "security_name",TODAY()))</f>
        <v>#VALUE!</v>
      </c>
      <c r="D160" t="e" cm="1">
        <f t="array" aca="1" ref="D160" ca="1">_xlfn.IFS($B160="etf", _xll.YCI($A160, "ycharts_benchmark_category",TODAY()),$B160&lt;&gt;"etf",_xll.YCI("M:" &amp; $A160, "ycharts_benchmark_category",TODAY()))</f>
        <v>#VALUE!</v>
      </c>
      <c r="E160" t="e" cm="1">
        <f t="array" aca="1" ref="E160" ca="1">_xlfn.IFS($B160="etf", _xll.YCI($A160, "ycharts_benchmark_index_symbol",TODAY()),$B160&lt;&gt;"etf",_xll.YCI("M:" &amp; $A160, "ycharts_benchmark_index_symbol",TODAY()))</f>
        <v>#VALUE!</v>
      </c>
      <c r="F160" t="e" cm="1">
        <f t="array" aca="1" ref="F160" ca="1">_xlfn.IFS($B160="etf", _xll.YCI($E160, "security_name",TODAY()),$B160&lt;&gt;"etf",_xll.YCI( $E160, "security_name",TODAY()))</f>
        <v>#VALUE!</v>
      </c>
      <c r="G160" t="e" cm="1">
        <f t="array" aca="1" ref="G160" ca="1">_xlfn.IFS($B160="etf", _xll.YCI($A160, "prospectus_benchmark_index",TODAY()),$B160&lt;&gt;"etf",_xll.YCI("M:" &amp; $A160, "prospectus_benchmark_index",TODAY()))</f>
        <v>#VALUE!</v>
      </c>
      <c r="H160" s="2" t="e" cm="1">
        <f t="array" aca="1" ref="H160" ca="1">_xlfn.IFS($B160="etf", _xll.YCP($A160,"quarterly_total_return",'Database Query'!$E$14),$B160&lt;&gt;"etf",_xll.YCP("M:"&amp; $A160,"quarterly_total_return",'Database Query'!$E$14))</f>
        <v>#VALUE!</v>
      </c>
      <c r="I160" s="2" t="e" cm="1">
        <f t="array" aca="1" ref="I160" ca="1">-_xll.YCP($E160,"quarterly_return",'Database Query'!$E$14)+H160</f>
        <v>#VALUE!</v>
      </c>
      <c r="J160" s="2" t="e" cm="1">
        <f t="array" aca="1" ref="J160" ca="1">_xlfn.IFS($B160="etf", _xll.YCP($A160,"ytd_total_return",'Database Query'!$E$14),$B160&lt;&gt;"etf",_xll.YCP("M:"&amp; $A160,"ytd_total_return",'Database Query'!$E$14))</f>
        <v>#VALUE!</v>
      </c>
      <c r="K160" s="2" t="e" cm="1">
        <f t="array" aca="1" ref="K160" ca="1">-_xll.YCP($E160,"ytd_return",'Database Query'!$E$14)+J160</f>
        <v>#VALUE!</v>
      </c>
      <c r="L160" s="2" t="e" cm="1">
        <f t="array" aca="1" ref="L160" ca="1">_xlfn.IFS($B160="etf", _xll.YCP($A160,"one_year_total_return",'Database Query'!$E$14),$B160&lt;&gt;"etf",_xll.YCP("M:"&amp; $A160,"one_year_total_return",'Database Query'!$E$14))</f>
        <v>#VALUE!</v>
      </c>
      <c r="M160" s="2" t="e" cm="1">
        <f t="array" aca="1" ref="M160" ca="1">-_xll.YCP($E160,"one_year_return",'Database Query'!$E$14)+L160</f>
        <v>#VALUE!</v>
      </c>
      <c r="N160" s="2" t="e" cm="1">
        <f t="array" aca="1" ref="N160" ca="1">_xlfn.IFS($B160="etf", _xll.YCP($A160,"three_year_total_return",'Database Query'!$E$14),$B160&lt;&gt;"etf",_xll.YCP("M:"&amp; $A160,"three_year_total_return",'Database Query'!$E$14))</f>
        <v>#VALUE!</v>
      </c>
      <c r="O160" s="2" t="e" cm="1">
        <f t="array" aca="1" ref="O160" ca="1">-_xll.YCP($E160,"three_year_return",'Database Query'!$E$14)+N160</f>
        <v>#VALUE!</v>
      </c>
      <c r="P160" s="2" t="e" cm="1">
        <f t="array" aca="1" ref="P160" ca="1">_xlfn.IFS($B160="etf", _xll.YCP($A160,"five_year_total_return",'Database Query'!$E$14),$B160&lt;&gt;"etf",_xll.YCP("M:"&amp; $A160,"five_year_total_return",'Database Query'!$E$14))</f>
        <v>#VALUE!</v>
      </c>
      <c r="Q160" s="2" t="e" cm="1">
        <f t="array" aca="1" ref="Q160" ca="1">-_xll.YCP($E160,"five_year_return",'Database Query'!$E$14)+P160</f>
        <v>#VALUE!</v>
      </c>
    </row>
    <row r="161" spans="1:17" x14ac:dyDescent="0.25">
      <c r="A161" t="str">
        <v>MASFX</v>
      </c>
      <c r="B161" t="e" cm="1">
        <f t="array" aca="1" ref="B161" ca="1">_xll.YCI(A161,"detailed_security_type",TODAY())</f>
        <v>#VALUE!</v>
      </c>
      <c r="C161" t="e" cm="1">
        <f t="array" aca="1" ref="C161" ca="1">_xlfn.IFS(B161="etf", _xll.YCI(A161, "security_name",TODAY()),B161&lt;&gt;"etf",_xll.YCI("M:" &amp; A161, "security_name",TODAY()))</f>
        <v>#VALUE!</v>
      </c>
      <c r="D161" t="e" cm="1">
        <f t="array" aca="1" ref="D161" ca="1">_xlfn.IFS($B161="etf", _xll.YCI($A161, "ycharts_benchmark_category",TODAY()),$B161&lt;&gt;"etf",_xll.YCI("M:" &amp; $A161, "ycharts_benchmark_category",TODAY()))</f>
        <v>#VALUE!</v>
      </c>
      <c r="E161" t="e" cm="1">
        <f t="array" aca="1" ref="E161" ca="1">_xlfn.IFS($B161="etf", _xll.YCI($A161, "ycharts_benchmark_index_symbol",TODAY()),$B161&lt;&gt;"etf",_xll.YCI("M:" &amp; $A161, "ycharts_benchmark_index_symbol",TODAY()))</f>
        <v>#VALUE!</v>
      </c>
      <c r="F161" t="e" cm="1">
        <f t="array" aca="1" ref="F161" ca="1">_xlfn.IFS($B161="etf", _xll.YCI($E161, "security_name",TODAY()),$B161&lt;&gt;"etf",_xll.YCI( $E161, "security_name",TODAY()))</f>
        <v>#VALUE!</v>
      </c>
      <c r="G161" t="e" cm="1">
        <f t="array" aca="1" ref="G161" ca="1">_xlfn.IFS($B161="etf", _xll.YCI($A161, "prospectus_benchmark_index",TODAY()),$B161&lt;&gt;"etf",_xll.YCI("M:" &amp; $A161, "prospectus_benchmark_index",TODAY()))</f>
        <v>#VALUE!</v>
      </c>
      <c r="H161" s="2" t="e" cm="1">
        <f t="array" aca="1" ref="H161" ca="1">_xlfn.IFS($B161="etf", _xll.YCP($A161,"quarterly_total_return",'Database Query'!$E$14),$B161&lt;&gt;"etf",_xll.YCP("M:"&amp; $A161,"quarterly_total_return",'Database Query'!$E$14))</f>
        <v>#VALUE!</v>
      </c>
      <c r="I161" s="2" t="e" cm="1">
        <f t="array" aca="1" ref="I161" ca="1">-_xll.YCP($E161,"quarterly_return",'Database Query'!$E$14)+H161</f>
        <v>#VALUE!</v>
      </c>
      <c r="J161" s="2" t="e" cm="1">
        <f t="array" aca="1" ref="J161" ca="1">_xlfn.IFS($B161="etf", _xll.YCP($A161,"ytd_total_return",'Database Query'!$E$14),$B161&lt;&gt;"etf",_xll.YCP("M:"&amp; $A161,"ytd_total_return",'Database Query'!$E$14))</f>
        <v>#VALUE!</v>
      </c>
      <c r="K161" s="2" t="e" cm="1">
        <f t="array" aca="1" ref="K161" ca="1">-_xll.YCP($E161,"ytd_return",'Database Query'!$E$14)+J161</f>
        <v>#VALUE!</v>
      </c>
      <c r="L161" s="2" t="e" cm="1">
        <f t="array" aca="1" ref="L161" ca="1">_xlfn.IFS($B161="etf", _xll.YCP($A161,"one_year_total_return",'Database Query'!$E$14),$B161&lt;&gt;"etf",_xll.YCP("M:"&amp; $A161,"one_year_total_return",'Database Query'!$E$14))</f>
        <v>#VALUE!</v>
      </c>
      <c r="M161" s="2" t="e" cm="1">
        <f t="array" aca="1" ref="M161" ca="1">-_xll.YCP($E161,"one_year_return",'Database Query'!$E$14)+L161</f>
        <v>#VALUE!</v>
      </c>
      <c r="N161" s="2" t="e" cm="1">
        <f t="array" aca="1" ref="N161" ca="1">_xlfn.IFS($B161="etf", _xll.YCP($A161,"three_year_total_return",'Database Query'!$E$14),$B161&lt;&gt;"etf",_xll.YCP("M:"&amp; $A161,"three_year_total_return",'Database Query'!$E$14))</f>
        <v>#VALUE!</v>
      </c>
      <c r="O161" s="2" t="e" cm="1">
        <f t="array" aca="1" ref="O161" ca="1">-_xll.YCP($E161,"three_year_return",'Database Query'!$E$14)+N161</f>
        <v>#VALUE!</v>
      </c>
      <c r="P161" s="2" t="e" cm="1">
        <f t="array" aca="1" ref="P161" ca="1">_xlfn.IFS($B161="etf", _xll.YCP($A161,"five_year_total_return",'Database Query'!$E$14),$B161&lt;&gt;"etf",_xll.YCP("M:"&amp; $A161,"five_year_total_return",'Database Query'!$E$14))</f>
        <v>#VALUE!</v>
      </c>
      <c r="Q161" s="2" t="e" cm="1">
        <f t="array" aca="1" ref="Q161" ca="1">-_xll.YCP($E161,"five_year_return",'Database Query'!$E$14)+P161</f>
        <v>#VALUE!</v>
      </c>
    </row>
    <row r="162" spans="1:17" x14ac:dyDescent="0.25">
      <c r="A162" t="str">
        <v>MBB</v>
      </c>
      <c r="B162" t="str" cm="1">
        <f t="array" aca="1" ref="B162" ca="1">_xll.YCI(A162,"detailed_security_type",TODAY())</f>
        <v>etf</v>
      </c>
      <c r="C162" t="str" cm="1">
        <f t="array" aca="1" ref="C162" ca="1">_xlfn.IFS(B162="etf", _xll.YCI(A162, "security_name",TODAY()),B162&lt;&gt;"etf",_xll.YCI("M:" &amp; A162, "security_name",TODAY()))</f>
        <v>iShares MBS ETF</v>
      </c>
      <c r="D162" t="str" cm="1">
        <f t="array" aca="1" ref="D162" ca="1">_xlfn.IFS($B162="etf", _xll.YCI($A162, "ycharts_benchmark_category",TODAY()),$B162&lt;&gt;"etf",_xll.YCI("M:" &amp; $A162, "ycharts_benchmark_category",TODAY()))</f>
        <v>US Mortgage Backed Bond</v>
      </c>
      <c r="E162" t="str" cm="1">
        <f t="array" aca="1" ref="E162" ca="1">_xlfn.IFS($B162="etf", _xll.YCI($A162, "ycharts_benchmark_index_symbol",TODAY()),$B162&lt;&gt;"etf",_xll.YCI("M:" &amp; $A162, "ycharts_benchmark_index_symbol",TODAY()))</f>
        <v>^BBUSMBSTR</v>
      </c>
      <c r="F162" t="str" cm="1">
        <f t="array" aca="1" ref="F162" ca="1">_xlfn.IFS($B162="etf", _xll.YCI($E162, "security_name",TODAY()),$B162&lt;&gt;"etf",_xll.YCI( $E162, "security_name",TODAY()))</f>
        <v>Bloomberg US Mortgage Backed Securities</v>
      </c>
      <c r="G162" t="str" cm="1">
        <f t="array" aca="1" ref="G162" ca="1">_xlfn.IFS($B162="etf", _xll.YCI($A162, "prospectus_benchmark_index",TODAY()),$B162&lt;&gt;"etf",_xll.YCI("M:" &amp; $A162, "prospectus_benchmark_index",TODAY()))</f>
        <v>Bloomberg US MBS TR USD</v>
      </c>
      <c r="H162" s="2" cm="1">
        <f t="array" aca="1" ref="H162" ca="1">_xlfn.IFS($B162="etf", _xll.YCP($A162,"quarterly_total_return",'Database Query'!$E$14),$B162&lt;&gt;"etf",_xll.YCP("M:"&amp; $A162,"quarterly_total_return",'Database Query'!$E$14))</f>
        <v>-3.049E-2</v>
      </c>
      <c r="I162" s="2" cm="1">
        <f t="array" aca="1" ref="I162" ca="1">-_xll.YCP($E162,"quarterly_return",'Database Query'!$E$14)+H162</f>
        <v>1.0880000000000022E-3</v>
      </c>
      <c r="J162" s="2" cm="1">
        <f t="array" aca="1" ref="J162" ca="1">_xlfn.IFS($B162="etf", _xll.YCP($A162,"ytd_total_return",'Database Query'!$E$14),$B162&lt;&gt;"etf",_xll.YCP("M:"&amp; $A162,"ytd_total_return",'Database Query'!$E$14))</f>
        <v>1.3129999999999999E-2</v>
      </c>
      <c r="K162" s="2" cm="1">
        <f t="array" aca="1" ref="K162" ca="1">-_xll.YCP($E162,"ytd_return",'Database Query'!$E$14)+J162</f>
        <v>1.1380000000000001E-3</v>
      </c>
      <c r="L162" s="2" cm="1">
        <f t="array" aca="1" ref="L162" ca="1">_xlfn.IFS($B162="etf", _xll.YCP($A162,"one_year_total_return",'Database Query'!$E$14),$B162&lt;&gt;"etf",_xll.YCP("M:"&amp; $A162,"one_year_total_return",'Database Query'!$E$14))</f>
        <v>1.3129999999999999E-2</v>
      </c>
      <c r="M162" s="2" cm="1">
        <f t="array" aca="1" ref="M162" ca="1">-_xll.YCP($E162,"one_year_return",'Database Query'!$E$14)+L162</f>
        <v>1.1380000000000001E-3</v>
      </c>
      <c r="N162" s="2" cm="1">
        <f t="array" aca="1" ref="N162" ca="1">_xlfn.IFS($B162="etf", _xll.YCP($A162,"three_year_total_return",'Database Query'!$E$14),$B162&lt;&gt;"etf",_xll.YCP("M:"&amp; $A162,"three_year_total_return",'Database Query'!$E$14))</f>
        <v>-6.0997000000000003E-2</v>
      </c>
      <c r="O162" s="2" cm="1">
        <f t="array" aca="1" ref="O162" ca="1">-_xll.YCP($E162,"three_year_return",'Database Query'!$E$14)+N162</f>
        <v>1.5009999999999954E-3</v>
      </c>
      <c r="P162" s="2" cm="1">
        <f t="array" aca="1" ref="P162" ca="1">_xlfn.IFS($B162="etf", _xll.YCP($A162,"five_year_total_return",'Database Query'!$E$14),$B162&lt;&gt;"etf",_xll.YCP("M:"&amp; $A162,"five_year_total_return",'Database Query'!$E$14))</f>
        <v>-3.6691000000000001E-2</v>
      </c>
      <c r="Q162" s="2" cm="1">
        <f t="array" aca="1" ref="Q162" ca="1">-_xll.YCP($E162,"five_year_return",'Database Query'!$E$14)+P162</f>
        <v>-3.4000000000000002E-4</v>
      </c>
    </row>
    <row r="163" spans="1:17" x14ac:dyDescent="0.25">
      <c r="A163" t="str">
        <v>MBXIX</v>
      </c>
      <c r="B163" t="e" cm="1">
        <f t="array" aca="1" ref="B163" ca="1">_xll.YCI(A163,"detailed_security_type",TODAY())</f>
        <v>#VALUE!</v>
      </c>
      <c r="C163" t="e" cm="1">
        <f t="array" aca="1" ref="C163" ca="1">_xlfn.IFS(B163="etf", _xll.YCI(A163, "security_name",TODAY()),B163&lt;&gt;"etf",_xll.YCI("M:" &amp; A163, "security_name",TODAY()))</f>
        <v>#VALUE!</v>
      </c>
      <c r="D163" t="e" cm="1">
        <f t="array" aca="1" ref="D163" ca="1">_xlfn.IFS($B163="etf", _xll.YCI($A163, "ycharts_benchmark_category",TODAY()),$B163&lt;&gt;"etf",_xll.YCI("M:" &amp; $A163, "ycharts_benchmark_category",TODAY()))</f>
        <v>#VALUE!</v>
      </c>
      <c r="E163" t="e" cm="1">
        <f t="array" aca="1" ref="E163" ca="1">_xlfn.IFS($B163="etf", _xll.YCI($A163, "ycharts_benchmark_index_symbol",TODAY()),$B163&lt;&gt;"etf",_xll.YCI("M:" &amp; $A163, "ycharts_benchmark_index_symbol",TODAY()))</f>
        <v>#VALUE!</v>
      </c>
      <c r="F163" t="e" cm="1">
        <f t="array" aca="1" ref="F163" ca="1">_xlfn.IFS($B163="etf", _xll.YCI($E163, "security_name",TODAY()),$B163&lt;&gt;"etf",_xll.YCI( $E163, "security_name",TODAY()))</f>
        <v>#VALUE!</v>
      </c>
      <c r="G163" t="e" cm="1">
        <f t="array" aca="1" ref="G163" ca="1">_xlfn.IFS($B163="etf", _xll.YCI($A163, "prospectus_benchmark_index",TODAY()),$B163&lt;&gt;"etf",_xll.YCI("M:" &amp; $A163, "prospectus_benchmark_index",TODAY()))</f>
        <v>#VALUE!</v>
      </c>
      <c r="H163" s="2" t="e" cm="1">
        <f t="array" aca="1" ref="H163" ca="1">_xlfn.IFS($B163="etf", _xll.YCP($A163,"quarterly_total_return",'Database Query'!$E$14),$B163&lt;&gt;"etf",_xll.YCP("M:"&amp; $A163,"quarterly_total_return",'Database Query'!$E$14))</f>
        <v>#VALUE!</v>
      </c>
      <c r="I163" s="2" t="e" cm="1">
        <f t="array" aca="1" ref="I163" ca="1">-_xll.YCP($E163,"quarterly_return",'Database Query'!$E$14)+H163</f>
        <v>#VALUE!</v>
      </c>
      <c r="J163" s="2" t="e" cm="1">
        <f t="array" aca="1" ref="J163" ca="1">_xlfn.IFS($B163="etf", _xll.YCP($A163,"ytd_total_return",'Database Query'!$E$14),$B163&lt;&gt;"etf",_xll.YCP("M:"&amp; $A163,"ytd_total_return",'Database Query'!$E$14))</f>
        <v>#VALUE!</v>
      </c>
      <c r="K163" s="2" t="e" cm="1">
        <f t="array" aca="1" ref="K163" ca="1">-_xll.YCP($E163,"ytd_return",'Database Query'!$E$14)+J163</f>
        <v>#VALUE!</v>
      </c>
      <c r="L163" s="2" t="e" cm="1">
        <f t="array" aca="1" ref="L163" ca="1">_xlfn.IFS($B163="etf", _xll.YCP($A163,"one_year_total_return",'Database Query'!$E$14),$B163&lt;&gt;"etf",_xll.YCP("M:"&amp; $A163,"one_year_total_return",'Database Query'!$E$14))</f>
        <v>#VALUE!</v>
      </c>
      <c r="M163" s="2" t="e" cm="1">
        <f t="array" aca="1" ref="M163" ca="1">-_xll.YCP($E163,"one_year_return",'Database Query'!$E$14)+L163</f>
        <v>#VALUE!</v>
      </c>
      <c r="N163" s="2" t="e" cm="1">
        <f t="array" aca="1" ref="N163" ca="1">_xlfn.IFS($B163="etf", _xll.YCP($A163,"three_year_total_return",'Database Query'!$E$14),$B163&lt;&gt;"etf",_xll.YCP("M:"&amp; $A163,"three_year_total_return",'Database Query'!$E$14))</f>
        <v>#VALUE!</v>
      </c>
      <c r="O163" s="2" t="e" cm="1">
        <f t="array" aca="1" ref="O163" ca="1">-_xll.YCP($E163,"three_year_return",'Database Query'!$E$14)+N163</f>
        <v>#VALUE!</v>
      </c>
      <c r="P163" s="2" t="e" cm="1">
        <f t="array" aca="1" ref="P163" ca="1">_xlfn.IFS($B163="etf", _xll.YCP($A163,"five_year_total_return",'Database Query'!$E$14),$B163&lt;&gt;"etf",_xll.YCP("M:"&amp; $A163,"five_year_total_return",'Database Query'!$E$14))</f>
        <v>#VALUE!</v>
      </c>
      <c r="Q163" s="2" t="e" cm="1">
        <f t="array" aca="1" ref="Q163" ca="1">-_xll.YCP($E163,"five_year_return",'Database Query'!$E$14)+P163</f>
        <v>#VALUE!</v>
      </c>
    </row>
    <row r="164" spans="1:17" x14ac:dyDescent="0.25">
      <c r="A164" t="str">
        <v>MCVIX</v>
      </c>
      <c r="B164" t="e" cm="1">
        <f t="array" aca="1" ref="B164" ca="1">_xll.YCI(A164,"detailed_security_type",TODAY())</f>
        <v>#VALUE!</v>
      </c>
      <c r="C164" t="e" cm="1">
        <f t="array" aca="1" ref="C164" ca="1">_xlfn.IFS(B164="etf", _xll.YCI(A164, "security_name",TODAY()),B164&lt;&gt;"etf",_xll.YCI("M:" &amp; A164, "security_name",TODAY()))</f>
        <v>#VALUE!</v>
      </c>
      <c r="D164" t="e" cm="1">
        <f t="array" aca="1" ref="D164" ca="1">_xlfn.IFS($B164="etf", _xll.YCI($A164, "ycharts_benchmark_category",TODAY()),$B164&lt;&gt;"etf",_xll.YCI("M:" &amp; $A164, "ycharts_benchmark_category",TODAY()))</f>
        <v>#VALUE!</v>
      </c>
      <c r="E164" t="e" cm="1">
        <f t="array" aca="1" ref="E164" ca="1">_xlfn.IFS($B164="etf", _xll.YCI($A164, "ycharts_benchmark_index_symbol",TODAY()),$B164&lt;&gt;"etf",_xll.YCI("M:" &amp; $A164, "ycharts_benchmark_index_symbol",TODAY()))</f>
        <v>#VALUE!</v>
      </c>
      <c r="F164" t="e" cm="1">
        <f t="array" aca="1" ref="F164" ca="1">_xlfn.IFS($B164="etf", _xll.YCI($E164, "security_name",TODAY()),$B164&lt;&gt;"etf",_xll.YCI( $E164, "security_name",TODAY()))</f>
        <v>#VALUE!</v>
      </c>
      <c r="G164" t="e" cm="1">
        <f t="array" aca="1" ref="G164" ca="1">_xlfn.IFS($B164="etf", _xll.YCI($A164, "prospectus_benchmark_index",TODAY()),$B164&lt;&gt;"etf",_xll.YCI("M:" &amp; $A164, "prospectus_benchmark_index",TODAY()))</f>
        <v>#VALUE!</v>
      </c>
      <c r="H164" s="2" t="e" cm="1">
        <f t="array" aca="1" ref="H164" ca="1">_xlfn.IFS($B164="etf", _xll.YCP($A164,"quarterly_total_return",'Database Query'!$E$14),$B164&lt;&gt;"etf",_xll.YCP("M:"&amp; $A164,"quarterly_total_return",'Database Query'!$E$14))</f>
        <v>#VALUE!</v>
      </c>
      <c r="I164" s="2" t="e" cm="1">
        <f t="array" aca="1" ref="I164" ca="1">-_xll.YCP($E164,"quarterly_return",'Database Query'!$E$14)+H164</f>
        <v>#VALUE!</v>
      </c>
      <c r="J164" s="2" t="e" cm="1">
        <f t="array" aca="1" ref="J164" ca="1">_xlfn.IFS($B164="etf", _xll.YCP($A164,"ytd_total_return",'Database Query'!$E$14),$B164&lt;&gt;"etf",_xll.YCP("M:"&amp; $A164,"ytd_total_return",'Database Query'!$E$14))</f>
        <v>#VALUE!</v>
      </c>
      <c r="K164" s="2" t="e" cm="1">
        <f t="array" aca="1" ref="K164" ca="1">-_xll.YCP($E164,"ytd_return",'Database Query'!$E$14)+J164</f>
        <v>#VALUE!</v>
      </c>
      <c r="L164" s="2" t="e" cm="1">
        <f t="array" aca="1" ref="L164" ca="1">_xlfn.IFS($B164="etf", _xll.YCP($A164,"one_year_total_return",'Database Query'!$E$14),$B164&lt;&gt;"etf",_xll.YCP("M:"&amp; $A164,"one_year_total_return",'Database Query'!$E$14))</f>
        <v>#VALUE!</v>
      </c>
      <c r="M164" s="2" t="e" cm="1">
        <f t="array" aca="1" ref="M164" ca="1">-_xll.YCP($E164,"one_year_return",'Database Query'!$E$14)+L164</f>
        <v>#VALUE!</v>
      </c>
      <c r="N164" s="2" t="e" cm="1">
        <f t="array" aca="1" ref="N164" ca="1">_xlfn.IFS($B164="etf", _xll.YCP($A164,"three_year_total_return",'Database Query'!$E$14),$B164&lt;&gt;"etf",_xll.YCP("M:"&amp; $A164,"three_year_total_return",'Database Query'!$E$14))</f>
        <v>#VALUE!</v>
      </c>
      <c r="O164" s="2" t="e" cm="1">
        <f t="array" aca="1" ref="O164" ca="1">-_xll.YCP($E164,"three_year_return",'Database Query'!$E$14)+N164</f>
        <v>#VALUE!</v>
      </c>
      <c r="P164" s="2" t="e" cm="1">
        <f t="array" aca="1" ref="P164" ca="1">_xlfn.IFS($B164="etf", _xll.YCP($A164,"five_year_total_return",'Database Query'!$E$14),$B164&lt;&gt;"etf",_xll.YCP("M:"&amp; $A164,"five_year_total_return",'Database Query'!$E$14))</f>
        <v>#VALUE!</v>
      </c>
      <c r="Q164" s="2" t="e" cm="1">
        <f t="array" aca="1" ref="Q164" ca="1">-_xll.YCP($E164,"five_year_return",'Database Query'!$E$14)+P164</f>
        <v>#VALUE!</v>
      </c>
    </row>
    <row r="165" spans="1:17" x14ac:dyDescent="0.25">
      <c r="A165" t="str">
        <v>MERFX</v>
      </c>
      <c r="B165" t="e" cm="1">
        <f t="array" aca="1" ref="B165" ca="1">_xll.YCI(A165,"detailed_security_type",TODAY())</f>
        <v>#VALUE!</v>
      </c>
      <c r="C165" t="e" cm="1">
        <f t="array" aca="1" ref="C165" ca="1">_xlfn.IFS(B165="etf", _xll.YCI(A165, "security_name",TODAY()),B165&lt;&gt;"etf",_xll.YCI("M:" &amp; A165, "security_name",TODAY()))</f>
        <v>#VALUE!</v>
      </c>
      <c r="D165" t="e" cm="1">
        <f t="array" aca="1" ref="D165" ca="1">_xlfn.IFS($B165="etf", _xll.YCI($A165, "ycharts_benchmark_category",TODAY()),$B165&lt;&gt;"etf",_xll.YCI("M:" &amp; $A165, "ycharts_benchmark_category",TODAY()))</f>
        <v>#VALUE!</v>
      </c>
      <c r="E165" t="e" cm="1">
        <f t="array" aca="1" ref="E165" ca="1">_xlfn.IFS($B165="etf", _xll.YCI($A165, "ycharts_benchmark_index_symbol",TODAY()),$B165&lt;&gt;"etf",_xll.YCI("M:" &amp; $A165, "ycharts_benchmark_index_symbol",TODAY()))</f>
        <v>#VALUE!</v>
      </c>
      <c r="F165" t="e" cm="1">
        <f t="array" aca="1" ref="F165" ca="1">_xlfn.IFS($B165="etf", _xll.YCI($E165, "security_name",TODAY()),$B165&lt;&gt;"etf",_xll.YCI( $E165, "security_name",TODAY()))</f>
        <v>#VALUE!</v>
      </c>
      <c r="G165" t="e" cm="1">
        <f t="array" aca="1" ref="G165" ca="1">_xlfn.IFS($B165="etf", _xll.YCI($A165, "prospectus_benchmark_index",TODAY()),$B165&lt;&gt;"etf",_xll.YCI("M:" &amp; $A165, "prospectus_benchmark_index",TODAY()))</f>
        <v>#VALUE!</v>
      </c>
      <c r="H165" s="2" t="e" cm="1">
        <f t="array" aca="1" ref="H165" ca="1">_xlfn.IFS($B165="etf", _xll.YCP($A165,"quarterly_total_return",'Database Query'!$E$14),$B165&lt;&gt;"etf",_xll.YCP("M:"&amp; $A165,"quarterly_total_return",'Database Query'!$E$14))</f>
        <v>#VALUE!</v>
      </c>
      <c r="I165" s="2" t="e" cm="1">
        <f t="array" aca="1" ref="I165" ca="1">-_xll.YCP($E165,"quarterly_return",'Database Query'!$E$14)+H165</f>
        <v>#VALUE!</v>
      </c>
      <c r="J165" s="2" t="e" cm="1">
        <f t="array" aca="1" ref="J165" ca="1">_xlfn.IFS($B165="etf", _xll.YCP($A165,"ytd_total_return",'Database Query'!$E$14),$B165&lt;&gt;"etf",_xll.YCP("M:"&amp; $A165,"ytd_total_return",'Database Query'!$E$14))</f>
        <v>#VALUE!</v>
      </c>
      <c r="K165" s="2" t="e" cm="1">
        <f t="array" aca="1" ref="K165" ca="1">-_xll.YCP($E165,"ytd_return",'Database Query'!$E$14)+J165</f>
        <v>#VALUE!</v>
      </c>
      <c r="L165" s="2" t="e" cm="1">
        <f t="array" aca="1" ref="L165" ca="1">_xlfn.IFS($B165="etf", _xll.YCP($A165,"one_year_total_return",'Database Query'!$E$14),$B165&lt;&gt;"etf",_xll.YCP("M:"&amp; $A165,"one_year_total_return",'Database Query'!$E$14))</f>
        <v>#VALUE!</v>
      </c>
      <c r="M165" s="2" t="e" cm="1">
        <f t="array" aca="1" ref="M165" ca="1">-_xll.YCP($E165,"one_year_return",'Database Query'!$E$14)+L165</f>
        <v>#VALUE!</v>
      </c>
      <c r="N165" s="2" t="e" cm="1">
        <f t="array" aca="1" ref="N165" ca="1">_xlfn.IFS($B165="etf", _xll.YCP($A165,"three_year_total_return",'Database Query'!$E$14),$B165&lt;&gt;"etf",_xll.YCP("M:"&amp; $A165,"three_year_total_return",'Database Query'!$E$14))</f>
        <v>#VALUE!</v>
      </c>
      <c r="O165" s="2" t="e" cm="1">
        <f t="array" aca="1" ref="O165" ca="1">-_xll.YCP($E165,"three_year_return",'Database Query'!$E$14)+N165</f>
        <v>#VALUE!</v>
      </c>
      <c r="P165" s="2" t="e" cm="1">
        <f t="array" aca="1" ref="P165" ca="1">_xlfn.IFS($B165="etf", _xll.YCP($A165,"five_year_total_return",'Database Query'!$E$14),$B165&lt;&gt;"etf",_xll.YCP("M:"&amp; $A165,"five_year_total_return",'Database Query'!$E$14))</f>
        <v>#VALUE!</v>
      </c>
      <c r="Q165" s="2" t="e" cm="1">
        <f t="array" aca="1" ref="Q165" ca="1">-_xll.YCP($E165,"five_year_return",'Database Query'!$E$14)+P165</f>
        <v>#VALUE!</v>
      </c>
    </row>
    <row r="166" spans="1:17" x14ac:dyDescent="0.25">
      <c r="A166" t="str">
        <v>MMHAX</v>
      </c>
      <c r="B166" t="e" cm="1">
        <f t="array" aca="1" ref="B166" ca="1">_xll.YCI(A166,"detailed_security_type",TODAY())</f>
        <v>#VALUE!</v>
      </c>
      <c r="C166" t="e" cm="1">
        <f t="array" aca="1" ref="C166" ca="1">_xlfn.IFS(B166="etf", _xll.YCI(A166, "security_name",TODAY()),B166&lt;&gt;"etf",_xll.YCI("M:" &amp; A166, "security_name",TODAY()))</f>
        <v>#VALUE!</v>
      </c>
      <c r="D166" t="e" cm="1">
        <f t="array" aca="1" ref="D166" ca="1">_xlfn.IFS($B166="etf", _xll.YCI($A166, "ycharts_benchmark_category",TODAY()),$B166&lt;&gt;"etf",_xll.YCI("M:" &amp; $A166, "ycharts_benchmark_category",TODAY()))</f>
        <v>#VALUE!</v>
      </c>
      <c r="E166" t="e" cm="1">
        <f t="array" aca="1" ref="E166" ca="1">_xlfn.IFS($B166="etf", _xll.YCI($A166, "ycharts_benchmark_index_symbol",TODAY()),$B166&lt;&gt;"etf",_xll.YCI("M:" &amp; $A166, "ycharts_benchmark_index_symbol",TODAY()))</f>
        <v>#VALUE!</v>
      </c>
      <c r="F166" t="e" cm="1">
        <f t="array" aca="1" ref="F166" ca="1">_xlfn.IFS($B166="etf", _xll.YCI($E166, "security_name",TODAY()),$B166&lt;&gt;"etf",_xll.YCI( $E166, "security_name",TODAY()))</f>
        <v>#VALUE!</v>
      </c>
      <c r="G166" t="e" cm="1">
        <f t="array" aca="1" ref="G166" ca="1">_xlfn.IFS($B166="etf", _xll.YCI($A166, "prospectus_benchmark_index",TODAY()),$B166&lt;&gt;"etf",_xll.YCI("M:" &amp; $A166, "prospectus_benchmark_index",TODAY()))</f>
        <v>#VALUE!</v>
      </c>
      <c r="H166" s="2" t="e" cm="1">
        <f t="array" aca="1" ref="H166" ca="1">_xlfn.IFS($B166="etf", _xll.YCP($A166,"quarterly_total_return",'Database Query'!$E$14),$B166&lt;&gt;"etf",_xll.YCP("M:"&amp; $A166,"quarterly_total_return",'Database Query'!$E$14))</f>
        <v>#VALUE!</v>
      </c>
      <c r="I166" s="2" t="e" cm="1">
        <f t="array" aca="1" ref="I166" ca="1">-_xll.YCP($E166,"quarterly_return",'Database Query'!$E$14)+H166</f>
        <v>#VALUE!</v>
      </c>
      <c r="J166" s="2" t="e" cm="1">
        <f t="array" aca="1" ref="J166" ca="1">_xlfn.IFS($B166="etf", _xll.YCP($A166,"ytd_total_return",'Database Query'!$E$14),$B166&lt;&gt;"etf",_xll.YCP("M:"&amp; $A166,"ytd_total_return",'Database Query'!$E$14))</f>
        <v>#VALUE!</v>
      </c>
      <c r="K166" s="2" t="e" cm="1">
        <f t="array" aca="1" ref="K166" ca="1">-_xll.YCP($E166,"ytd_return",'Database Query'!$E$14)+J166</f>
        <v>#VALUE!</v>
      </c>
      <c r="L166" s="2" t="e" cm="1">
        <f t="array" aca="1" ref="L166" ca="1">_xlfn.IFS($B166="etf", _xll.YCP($A166,"one_year_total_return",'Database Query'!$E$14),$B166&lt;&gt;"etf",_xll.YCP("M:"&amp; $A166,"one_year_total_return",'Database Query'!$E$14))</f>
        <v>#VALUE!</v>
      </c>
      <c r="M166" s="2" t="e" cm="1">
        <f t="array" aca="1" ref="M166" ca="1">-_xll.YCP($E166,"one_year_return",'Database Query'!$E$14)+L166</f>
        <v>#VALUE!</v>
      </c>
      <c r="N166" s="2" t="e" cm="1">
        <f t="array" aca="1" ref="N166" ca="1">_xlfn.IFS($B166="etf", _xll.YCP($A166,"three_year_total_return",'Database Query'!$E$14),$B166&lt;&gt;"etf",_xll.YCP("M:"&amp; $A166,"three_year_total_return",'Database Query'!$E$14))</f>
        <v>#VALUE!</v>
      </c>
      <c r="O166" s="2" t="e" cm="1">
        <f t="array" aca="1" ref="O166" ca="1">-_xll.YCP($E166,"three_year_return",'Database Query'!$E$14)+N166</f>
        <v>#VALUE!</v>
      </c>
      <c r="P166" s="2" t="e" cm="1">
        <f t="array" aca="1" ref="P166" ca="1">_xlfn.IFS($B166="etf", _xll.YCP($A166,"five_year_total_return",'Database Query'!$E$14),$B166&lt;&gt;"etf",_xll.YCP("M:"&amp; $A166,"five_year_total_return",'Database Query'!$E$14))</f>
        <v>#VALUE!</v>
      </c>
      <c r="Q166" s="2" t="e" cm="1">
        <f t="array" aca="1" ref="Q166" ca="1">-_xll.YCP($E166,"five_year_return",'Database Query'!$E$14)+P166</f>
        <v>#VALUE!</v>
      </c>
    </row>
    <row r="167" spans="1:17" x14ac:dyDescent="0.25">
      <c r="A167" t="str">
        <v>MMHIX</v>
      </c>
      <c r="B167" t="e" cm="1">
        <f t="array" aca="1" ref="B167" ca="1">_xll.YCI(A167,"detailed_security_type",TODAY())</f>
        <v>#VALUE!</v>
      </c>
      <c r="C167" t="e" cm="1">
        <f t="array" aca="1" ref="C167" ca="1">_xlfn.IFS(B167="etf", _xll.YCI(A167, "security_name",TODAY()),B167&lt;&gt;"etf",_xll.YCI("M:" &amp; A167, "security_name",TODAY()))</f>
        <v>#VALUE!</v>
      </c>
      <c r="D167" t="e" cm="1">
        <f t="array" aca="1" ref="D167" ca="1">_xlfn.IFS($B167="etf", _xll.YCI($A167, "ycharts_benchmark_category",TODAY()),$B167&lt;&gt;"etf",_xll.YCI("M:" &amp; $A167, "ycharts_benchmark_category",TODAY()))</f>
        <v>#VALUE!</v>
      </c>
      <c r="E167" t="e" cm="1">
        <f t="array" aca="1" ref="E167" ca="1">_xlfn.IFS($B167="etf", _xll.YCI($A167, "ycharts_benchmark_index_symbol",TODAY()),$B167&lt;&gt;"etf",_xll.YCI("M:" &amp; $A167, "ycharts_benchmark_index_symbol",TODAY()))</f>
        <v>#VALUE!</v>
      </c>
      <c r="F167" t="e" cm="1">
        <f t="array" aca="1" ref="F167" ca="1">_xlfn.IFS($B167="etf", _xll.YCI($E167, "security_name",TODAY()),$B167&lt;&gt;"etf",_xll.YCI( $E167, "security_name",TODAY()))</f>
        <v>#VALUE!</v>
      </c>
      <c r="G167" t="e" cm="1">
        <f t="array" aca="1" ref="G167" ca="1">_xlfn.IFS($B167="etf", _xll.YCI($A167, "prospectus_benchmark_index",TODAY()),$B167&lt;&gt;"etf",_xll.YCI("M:" &amp; $A167, "prospectus_benchmark_index",TODAY()))</f>
        <v>#VALUE!</v>
      </c>
      <c r="H167" s="2" t="e" cm="1">
        <f t="array" aca="1" ref="H167" ca="1">_xlfn.IFS($B167="etf", _xll.YCP($A167,"quarterly_total_return",'Database Query'!$E$14),$B167&lt;&gt;"etf",_xll.YCP("M:"&amp; $A167,"quarterly_total_return",'Database Query'!$E$14))</f>
        <v>#VALUE!</v>
      </c>
      <c r="I167" s="2" t="e" cm="1">
        <f t="array" aca="1" ref="I167" ca="1">-_xll.YCP($E167,"quarterly_return",'Database Query'!$E$14)+H167</f>
        <v>#VALUE!</v>
      </c>
      <c r="J167" s="2" t="e" cm="1">
        <f t="array" aca="1" ref="J167" ca="1">_xlfn.IFS($B167="etf", _xll.YCP($A167,"ytd_total_return",'Database Query'!$E$14),$B167&lt;&gt;"etf",_xll.YCP("M:"&amp; $A167,"ytd_total_return",'Database Query'!$E$14))</f>
        <v>#VALUE!</v>
      </c>
      <c r="K167" s="2" t="e" cm="1">
        <f t="array" aca="1" ref="K167" ca="1">-_xll.YCP($E167,"ytd_return",'Database Query'!$E$14)+J167</f>
        <v>#VALUE!</v>
      </c>
      <c r="L167" s="2" t="e" cm="1">
        <f t="array" aca="1" ref="L167" ca="1">_xlfn.IFS($B167="etf", _xll.YCP($A167,"one_year_total_return",'Database Query'!$E$14),$B167&lt;&gt;"etf",_xll.YCP("M:"&amp; $A167,"one_year_total_return",'Database Query'!$E$14))</f>
        <v>#VALUE!</v>
      </c>
      <c r="M167" s="2" t="e" cm="1">
        <f t="array" aca="1" ref="M167" ca="1">-_xll.YCP($E167,"one_year_return",'Database Query'!$E$14)+L167</f>
        <v>#VALUE!</v>
      </c>
      <c r="N167" s="2" t="e" cm="1">
        <f t="array" aca="1" ref="N167" ca="1">_xlfn.IFS($B167="etf", _xll.YCP($A167,"three_year_total_return",'Database Query'!$E$14),$B167&lt;&gt;"etf",_xll.YCP("M:"&amp; $A167,"three_year_total_return",'Database Query'!$E$14))</f>
        <v>#VALUE!</v>
      </c>
      <c r="O167" s="2" t="e" cm="1">
        <f t="array" aca="1" ref="O167" ca="1">-_xll.YCP($E167,"three_year_return",'Database Query'!$E$14)+N167</f>
        <v>#VALUE!</v>
      </c>
      <c r="P167" s="2" t="e" cm="1">
        <f t="array" aca="1" ref="P167" ca="1">_xlfn.IFS($B167="etf", _xll.YCP($A167,"five_year_total_return",'Database Query'!$E$14),$B167&lt;&gt;"etf",_xll.YCP("M:"&amp; $A167,"five_year_total_return",'Database Query'!$E$14))</f>
        <v>#VALUE!</v>
      </c>
      <c r="Q167" s="2" t="e" cm="1">
        <f t="array" aca="1" ref="Q167" ca="1">-_xll.YCP($E167,"five_year_return",'Database Query'!$E$14)+P167</f>
        <v>#VALUE!</v>
      </c>
    </row>
    <row r="168" spans="1:17" x14ac:dyDescent="0.25">
      <c r="A168" t="str">
        <v>MNHAX</v>
      </c>
      <c r="B168" t="e" cm="1">
        <f t="array" aca="1" ref="B168" ca="1">_xll.YCI(A168,"detailed_security_type",TODAY())</f>
        <v>#VALUE!</v>
      </c>
      <c r="C168" t="e" cm="1">
        <f t="array" aca="1" ref="C168" ca="1">_xlfn.IFS(B168="etf", _xll.YCI(A168, "security_name",TODAY()),B168&lt;&gt;"etf",_xll.YCI("M:" &amp; A168, "security_name",TODAY()))</f>
        <v>#VALUE!</v>
      </c>
      <c r="D168" t="e" cm="1">
        <f t="array" aca="1" ref="D168" ca="1">_xlfn.IFS($B168="etf", _xll.YCI($A168, "ycharts_benchmark_category",TODAY()),$B168&lt;&gt;"etf",_xll.YCI("M:" &amp; $A168, "ycharts_benchmark_category",TODAY()))</f>
        <v>#VALUE!</v>
      </c>
      <c r="E168" t="e" cm="1">
        <f t="array" aca="1" ref="E168" ca="1">_xlfn.IFS($B168="etf", _xll.YCI($A168, "ycharts_benchmark_index_symbol",TODAY()),$B168&lt;&gt;"etf",_xll.YCI("M:" &amp; $A168, "ycharts_benchmark_index_symbol",TODAY()))</f>
        <v>#VALUE!</v>
      </c>
      <c r="F168" t="e" cm="1">
        <f t="array" aca="1" ref="F168" ca="1">_xlfn.IFS($B168="etf", _xll.YCI($E168, "security_name",TODAY()),$B168&lt;&gt;"etf",_xll.YCI( $E168, "security_name",TODAY()))</f>
        <v>#VALUE!</v>
      </c>
      <c r="G168" t="e" cm="1">
        <f t="array" aca="1" ref="G168" ca="1">_xlfn.IFS($B168="etf", _xll.YCI($A168, "prospectus_benchmark_index",TODAY()),$B168&lt;&gt;"etf",_xll.YCI("M:" &amp; $A168, "prospectus_benchmark_index",TODAY()))</f>
        <v>#VALUE!</v>
      </c>
      <c r="H168" s="2" t="e" cm="1">
        <f t="array" aca="1" ref="H168" ca="1">_xlfn.IFS($B168="etf", _xll.YCP($A168,"quarterly_total_return",'Database Query'!$E$14),$B168&lt;&gt;"etf",_xll.YCP("M:"&amp; $A168,"quarterly_total_return",'Database Query'!$E$14))</f>
        <v>#VALUE!</v>
      </c>
      <c r="I168" s="2" t="e" cm="1">
        <f t="array" aca="1" ref="I168" ca="1">-_xll.YCP($E168,"quarterly_return",'Database Query'!$E$14)+H168</f>
        <v>#VALUE!</v>
      </c>
      <c r="J168" s="2" t="e" cm="1">
        <f t="array" aca="1" ref="J168" ca="1">_xlfn.IFS($B168="etf", _xll.YCP($A168,"ytd_total_return",'Database Query'!$E$14),$B168&lt;&gt;"etf",_xll.YCP("M:"&amp; $A168,"ytd_total_return",'Database Query'!$E$14))</f>
        <v>#VALUE!</v>
      </c>
      <c r="K168" s="2" t="e" cm="1">
        <f t="array" aca="1" ref="K168" ca="1">-_xll.YCP($E168,"ytd_return",'Database Query'!$E$14)+J168</f>
        <v>#VALUE!</v>
      </c>
      <c r="L168" s="2" t="e" cm="1">
        <f t="array" aca="1" ref="L168" ca="1">_xlfn.IFS($B168="etf", _xll.YCP($A168,"one_year_total_return",'Database Query'!$E$14),$B168&lt;&gt;"etf",_xll.YCP("M:"&amp; $A168,"one_year_total_return",'Database Query'!$E$14))</f>
        <v>#VALUE!</v>
      </c>
      <c r="M168" s="2" t="e" cm="1">
        <f t="array" aca="1" ref="M168" ca="1">-_xll.YCP($E168,"one_year_return",'Database Query'!$E$14)+L168</f>
        <v>#VALUE!</v>
      </c>
      <c r="N168" s="2" t="e" cm="1">
        <f t="array" aca="1" ref="N168" ca="1">_xlfn.IFS($B168="etf", _xll.YCP($A168,"three_year_total_return",'Database Query'!$E$14),$B168&lt;&gt;"etf",_xll.YCP("M:"&amp; $A168,"three_year_total_return",'Database Query'!$E$14))</f>
        <v>#VALUE!</v>
      </c>
      <c r="O168" s="2" t="e" cm="1">
        <f t="array" aca="1" ref="O168" ca="1">-_xll.YCP($E168,"three_year_return",'Database Query'!$E$14)+N168</f>
        <v>#VALUE!</v>
      </c>
      <c r="P168" s="2" t="e" cm="1">
        <f t="array" aca="1" ref="P168" ca="1">_xlfn.IFS($B168="etf", _xll.YCP($A168,"five_year_total_return",'Database Query'!$E$14),$B168&lt;&gt;"etf",_xll.YCP("M:"&amp; $A168,"five_year_total_return",'Database Query'!$E$14))</f>
        <v>#VALUE!</v>
      </c>
      <c r="Q168" s="2" t="e" cm="1">
        <f t="array" aca="1" ref="Q168" ca="1">-_xll.YCP($E168,"five_year_return",'Database Query'!$E$14)+P168</f>
        <v>#VALUE!</v>
      </c>
    </row>
    <row r="169" spans="1:17" x14ac:dyDescent="0.25">
      <c r="A169" t="str">
        <v>MTCIX</v>
      </c>
      <c r="B169" t="e" cm="1">
        <f t="array" aca="1" ref="B169" ca="1">_xll.YCI(A169,"detailed_security_type",TODAY())</f>
        <v>#VALUE!</v>
      </c>
      <c r="C169" t="e" cm="1">
        <f t="array" aca="1" ref="C169" ca="1">_xlfn.IFS(B169="etf", _xll.YCI(A169, "security_name",TODAY()),B169&lt;&gt;"etf",_xll.YCI("M:" &amp; A169, "security_name",TODAY()))</f>
        <v>#VALUE!</v>
      </c>
      <c r="D169" t="e" cm="1">
        <f t="array" aca="1" ref="D169" ca="1">_xlfn.IFS($B169="etf", _xll.YCI($A169, "ycharts_benchmark_category",TODAY()),$B169&lt;&gt;"etf",_xll.YCI("M:" &amp; $A169, "ycharts_benchmark_category",TODAY()))</f>
        <v>#VALUE!</v>
      </c>
      <c r="E169" t="e" cm="1">
        <f t="array" aca="1" ref="E169" ca="1">_xlfn.IFS($B169="etf", _xll.YCI($A169, "ycharts_benchmark_index_symbol",TODAY()),$B169&lt;&gt;"etf",_xll.YCI("M:" &amp; $A169, "ycharts_benchmark_index_symbol",TODAY()))</f>
        <v>#VALUE!</v>
      </c>
      <c r="F169" t="e" cm="1">
        <f t="array" aca="1" ref="F169" ca="1">_xlfn.IFS($B169="etf", _xll.YCI($E169, "security_name",TODAY()),$B169&lt;&gt;"etf",_xll.YCI( $E169, "security_name",TODAY()))</f>
        <v>#VALUE!</v>
      </c>
      <c r="G169" t="e" cm="1">
        <f t="array" aca="1" ref="G169" ca="1">_xlfn.IFS($B169="etf", _xll.YCI($A169, "prospectus_benchmark_index",TODAY()),$B169&lt;&gt;"etf",_xll.YCI("M:" &amp; $A169, "prospectus_benchmark_index",TODAY()))</f>
        <v>#VALUE!</v>
      </c>
      <c r="H169" s="2" t="e" cm="1">
        <f t="array" aca="1" ref="H169" ca="1">_xlfn.IFS($B169="etf", _xll.YCP($A169,"quarterly_total_return",'Database Query'!$E$14),$B169&lt;&gt;"etf",_xll.YCP("M:"&amp; $A169,"quarterly_total_return",'Database Query'!$E$14))</f>
        <v>#VALUE!</v>
      </c>
      <c r="I169" s="2" t="e" cm="1">
        <f t="array" aca="1" ref="I169" ca="1">-_xll.YCP($E169,"quarterly_return",'Database Query'!$E$14)+H169</f>
        <v>#VALUE!</v>
      </c>
      <c r="J169" s="2" t="e" cm="1">
        <f t="array" aca="1" ref="J169" ca="1">_xlfn.IFS($B169="etf", _xll.YCP($A169,"ytd_total_return",'Database Query'!$E$14),$B169&lt;&gt;"etf",_xll.YCP("M:"&amp; $A169,"ytd_total_return",'Database Query'!$E$14))</f>
        <v>#VALUE!</v>
      </c>
      <c r="K169" s="2" t="e" cm="1">
        <f t="array" aca="1" ref="K169" ca="1">-_xll.YCP($E169,"ytd_return",'Database Query'!$E$14)+J169</f>
        <v>#VALUE!</v>
      </c>
      <c r="L169" s="2" t="e" cm="1">
        <f t="array" aca="1" ref="L169" ca="1">_xlfn.IFS($B169="etf", _xll.YCP($A169,"one_year_total_return",'Database Query'!$E$14),$B169&lt;&gt;"etf",_xll.YCP("M:"&amp; $A169,"one_year_total_return",'Database Query'!$E$14))</f>
        <v>#VALUE!</v>
      </c>
      <c r="M169" s="2" t="e" cm="1">
        <f t="array" aca="1" ref="M169" ca="1">-_xll.YCP($E169,"one_year_return",'Database Query'!$E$14)+L169</f>
        <v>#VALUE!</v>
      </c>
      <c r="N169" s="2" t="e" cm="1">
        <f t="array" aca="1" ref="N169" ca="1">_xlfn.IFS($B169="etf", _xll.YCP($A169,"three_year_total_return",'Database Query'!$E$14),$B169&lt;&gt;"etf",_xll.YCP("M:"&amp; $A169,"three_year_total_return",'Database Query'!$E$14))</f>
        <v>#VALUE!</v>
      </c>
      <c r="O169" s="2" t="e" cm="1">
        <f t="array" aca="1" ref="O169" ca="1">-_xll.YCP($E169,"three_year_return",'Database Query'!$E$14)+N169</f>
        <v>#VALUE!</v>
      </c>
      <c r="P169" s="2" t="e" cm="1">
        <f t="array" aca="1" ref="P169" ca="1">_xlfn.IFS($B169="etf", _xll.YCP($A169,"five_year_total_return",'Database Query'!$E$14),$B169&lt;&gt;"etf",_xll.YCP("M:"&amp; $A169,"five_year_total_return",'Database Query'!$E$14))</f>
        <v>#VALUE!</v>
      </c>
      <c r="Q169" s="2" t="e" cm="1">
        <f t="array" aca="1" ref="Q169" ca="1">-_xll.YCP($E169,"five_year_return",'Database Query'!$E$14)+P169</f>
        <v>#VALUE!</v>
      </c>
    </row>
    <row r="170" spans="1:17" x14ac:dyDescent="0.25">
      <c r="A170" t="str">
        <v>MUB</v>
      </c>
      <c r="B170" t="str" cm="1">
        <f t="array" aca="1" ref="B170" ca="1">_xll.YCI(A170,"detailed_security_type",TODAY())</f>
        <v>etf</v>
      </c>
      <c r="C170" t="str" cm="1">
        <f t="array" aca="1" ref="C170" ca="1">_xlfn.IFS(B170="etf", _xll.YCI(A170, "security_name",TODAY()),B170&lt;&gt;"etf",_xll.YCI("M:" &amp; A170, "security_name",TODAY()))</f>
        <v>iShares National Muni Bond ETF</v>
      </c>
      <c r="D170" t="str" cm="1">
        <f t="array" aca="1" ref="D170" ca="1">_xlfn.IFS($B170="etf", _xll.YCI($A170, "ycharts_benchmark_category",TODAY()),$B170&lt;&gt;"etf",_xll.YCI("M:" &amp; $A170, "ycharts_benchmark_category",TODAY()))</f>
        <v>US Aggregate Municipal Bond</v>
      </c>
      <c r="E170" t="str" cm="1">
        <f t="array" aca="1" ref="E170" ca="1">_xlfn.IFS($B170="etf", _xll.YCI($A170, "ycharts_benchmark_index_symbol",TODAY()),$B170&lt;&gt;"etf",_xll.YCI("M:" &amp; $A170, "ycharts_benchmark_index_symbol",TODAY()))</f>
        <v>^BBMBTR</v>
      </c>
      <c r="F170" t="str" cm="1">
        <f t="array" aca="1" ref="F170" ca="1">_xlfn.IFS($B170="etf", _xll.YCI($E170, "security_name",TODAY()),$B170&lt;&gt;"etf",_xll.YCI( $E170, "security_name",TODAY()))</f>
        <v>Bloomberg Municipal Bond</v>
      </c>
      <c r="G170" t="str" cm="1">
        <f t="array" aca="1" ref="G170" ca="1">_xlfn.IFS($B170="etf", _xll.YCI($A170, "prospectus_benchmark_index",TODAY()),$B170&lt;&gt;"etf",_xll.YCI("M:" &amp; $A170, "prospectus_benchmark_index",TODAY()))</f>
        <v>ICE AMT-Free US National Muni TR USD</v>
      </c>
      <c r="H170" s="2" cm="1">
        <f t="array" aca="1" ref="H170" ca="1">_xlfn.IFS($B170="etf", _xll.YCP($A170,"quarterly_total_return",'Database Query'!$E$14),$B170&lt;&gt;"etf",_xll.YCP("M:"&amp; $A170,"quarterly_total_return",'Database Query'!$E$14))</f>
        <v>-9.1990000000000006E-3</v>
      </c>
      <c r="I170" s="2" cm="1">
        <f t="array" aca="1" ref="I170" ca="1">-_xll.YCP($E170,"quarterly_return",'Database Query'!$E$14)+H170</f>
        <v>2.954E-3</v>
      </c>
      <c r="J170" s="2" cm="1">
        <f t="array" aca="1" ref="J170" ca="1">_xlfn.IFS($B170="etf", _xll.YCP($A170,"ytd_total_return",'Database Query'!$E$14),$B170&lt;&gt;"etf",_xll.YCP("M:"&amp; $A170,"ytd_total_return",'Database Query'!$E$14))</f>
        <v>1.2625000000000001E-2</v>
      </c>
      <c r="K170" s="2" cm="1">
        <f t="array" aca="1" ref="K170" ca="1">-_xll.YCP($E170,"ytd_return",'Database Query'!$E$14)+J170</f>
        <v>2.0900000000000016E-3</v>
      </c>
      <c r="L170" s="2" cm="1">
        <f t="array" aca="1" ref="L170" ca="1">_xlfn.IFS($B170="etf", _xll.YCP($A170,"one_year_total_return",'Database Query'!$E$14),$B170&lt;&gt;"etf",_xll.YCP("M:"&amp; $A170,"one_year_total_return",'Database Query'!$E$14))</f>
        <v>1.2625000000000001E-2</v>
      </c>
      <c r="M170" s="2" cm="1">
        <f t="array" aca="1" ref="M170" ca="1">-_xll.YCP($E170,"one_year_return",'Database Query'!$E$14)+L170</f>
        <v>2.0900000000000016E-3</v>
      </c>
      <c r="N170" s="2" cm="1">
        <f t="array" aca="1" ref="N170" ca="1">_xlfn.IFS($B170="etf", _xll.YCP($A170,"three_year_total_return",'Database Query'!$E$14),$B170&lt;&gt;"etf",_xll.YCP("M:"&amp; $A170,"three_year_total_return",'Database Query'!$E$14))</f>
        <v>-9.5940000000000001E-3</v>
      </c>
      <c r="O170" s="2" cm="1">
        <f t="array" aca="1" ref="O170" ca="1">-_xll.YCP($E170,"three_year_return",'Database Query'!$E$14)+N170</f>
        <v>6.8540000000000007E-3</v>
      </c>
      <c r="P170" s="2" cm="1">
        <f t="array" aca="1" ref="P170" ca="1">_xlfn.IFS($B170="etf", _xll.YCP($A170,"five_year_total_return",'Database Query'!$E$14),$B170&lt;&gt;"etf",_xll.YCP("M:"&amp; $A170,"five_year_total_return",'Database Query'!$E$14))</f>
        <v>5.1751999999999999E-2</v>
      </c>
      <c r="Q170" s="2" cm="1">
        <f t="array" aca="1" ref="Q170" ca="1">-_xll.YCP($E170,"five_year_return",'Database Query'!$E$14)+P170</f>
        <v>1.232999999999998E-3</v>
      </c>
    </row>
    <row r="171" spans="1:17" x14ac:dyDescent="0.25">
      <c r="A171" t="str">
        <v>MVCAX</v>
      </c>
      <c r="B171" t="e" cm="1">
        <f t="array" aca="1" ref="B171" ca="1">_xll.YCI(A171,"detailed_security_type",TODAY())</f>
        <v>#VALUE!</v>
      </c>
      <c r="C171" t="e" cm="1">
        <f t="array" aca="1" ref="C171" ca="1">_xlfn.IFS(B171="etf", _xll.YCI(A171, "security_name",TODAY()),B171&lt;&gt;"etf",_xll.YCI("M:" &amp; A171, "security_name",TODAY()))</f>
        <v>#VALUE!</v>
      </c>
      <c r="D171" t="e" cm="1">
        <f t="array" aca="1" ref="D171" ca="1">_xlfn.IFS($B171="etf", _xll.YCI($A171, "ycharts_benchmark_category",TODAY()),$B171&lt;&gt;"etf",_xll.YCI("M:" &amp; $A171, "ycharts_benchmark_category",TODAY()))</f>
        <v>#VALUE!</v>
      </c>
      <c r="E171" t="e" cm="1">
        <f t="array" aca="1" ref="E171" ca="1">_xlfn.IFS($B171="etf", _xll.YCI($A171, "ycharts_benchmark_index_symbol",TODAY()),$B171&lt;&gt;"etf",_xll.YCI("M:" &amp; $A171, "ycharts_benchmark_index_symbol",TODAY()))</f>
        <v>#VALUE!</v>
      </c>
      <c r="F171" t="e" cm="1">
        <f t="array" aca="1" ref="F171" ca="1">_xlfn.IFS($B171="etf", _xll.YCI($E171, "security_name",TODAY()),$B171&lt;&gt;"etf",_xll.YCI( $E171, "security_name",TODAY()))</f>
        <v>#VALUE!</v>
      </c>
      <c r="G171" t="e" cm="1">
        <f t="array" aca="1" ref="G171" ca="1">_xlfn.IFS($B171="etf", _xll.YCI($A171, "prospectus_benchmark_index",TODAY()),$B171&lt;&gt;"etf",_xll.YCI("M:" &amp; $A171, "prospectus_benchmark_index",TODAY()))</f>
        <v>#VALUE!</v>
      </c>
      <c r="H171" s="2" t="e" cm="1">
        <f t="array" aca="1" ref="H171" ca="1">_xlfn.IFS($B171="etf", _xll.YCP($A171,"quarterly_total_return",'Database Query'!$E$14),$B171&lt;&gt;"etf",_xll.YCP("M:"&amp; $A171,"quarterly_total_return",'Database Query'!$E$14))</f>
        <v>#VALUE!</v>
      </c>
      <c r="I171" s="2" t="e" cm="1">
        <f t="array" aca="1" ref="I171" ca="1">-_xll.YCP($E171,"quarterly_return",'Database Query'!$E$14)+H171</f>
        <v>#VALUE!</v>
      </c>
      <c r="J171" s="2" t="e" cm="1">
        <f t="array" aca="1" ref="J171" ca="1">_xlfn.IFS($B171="etf", _xll.YCP($A171,"ytd_total_return",'Database Query'!$E$14),$B171&lt;&gt;"etf",_xll.YCP("M:"&amp; $A171,"ytd_total_return",'Database Query'!$E$14))</f>
        <v>#VALUE!</v>
      </c>
      <c r="K171" s="2" t="e" cm="1">
        <f t="array" aca="1" ref="K171" ca="1">-_xll.YCP($E171,"ytd_return",'Database Query'!$E$14)+J171</f>
        <v>#VALUE!</v>
      </c>
      <c r="L171" s="2" t="e" cm="1">
        <f t="array" aca="1" ref="L171" ca="1">_xlfn.IFS($B171="etf", _xll.YCP($A171,"one_year_total_return",'Database Query'!$E$14),$B171&lt;&gt;"etf",_xll.YCP("M:"&amp; $A171,"one_year_total_return",'Database Query'!$E$14))</f>
        <v>#VALUE!</v>
      </c>
      <c r="M171" s="2" t="e" cm="1">
        <f t="array" aca="1" ref="M171" ca="1">-_xll.YCP($E171,"one_year_return",'Database Query'!$E$14)+L171</f>
        <v>#VALUE!</v>
      </c>
      <c r="N171" s="2" t="e" cm="1">
        <f t="array" aca="1" ref="N171" ca="1">_xlfn.IFS($B171="etf", _xll.YCP($A171,"three_year_total_return",'Database Query'!$E$14),$B171&lt;&gt;"etf",_xll.YCP("M:"&amp; $A171,"three_year_total_return",'Database Query'!$E$14))</f>
        <v>#VALUE!</v>
      </c>
      <c r="O171" s="2" t="e" cm="1">
        <f t="array" aca="1" ref="O171" ca="1">-_xll.YCP($E171,"three_year_return",'Database Query'!$E$14)+N171</f>
        <v>#VALUE!</v>
      </c>
      <c r="P171" s="2" t="e" cm="1">
        <f t="array" aca="1" ref="P171" ca="1">_xlfn.IFS($B171="etf", _xll.YCP($A171,"five_year_total_return",'Database Query'!$E$14),$B171&lt;&gt;"etf",_xll.YCP("M:"&amp; $A171,"five_year_total_return",'Database Query'!$E$14))</f>
        <v>#VALUE!</v>
      </c>
      <c r="Q171" s="2" t="e" cm="1">
        <f t="array" aca="1" ref="Q171" ca="1">-_xll.YCP($E171,"five_year_return",'Database Query'!$E$14)+P171</f>
        <v>#VALUE!</v>
      </c>
    </row>
    <row r="172" spans="1:17" x14ac:dyDescent="0.25">
      <c r="A172" t="str">
        <v>MWTIX</v>
      </c>
      <c r="B172" t="e" cm="1">
        <f t="array" aca="1" ref="B172" ca="1">_xll.YCI(A172,"detailed_security_type",TODAY())</f>
        <v>#VALUE!</v>
      </c>
      <c r="C172" t="e" cm="1">
        <f t="array" aca="1" ref="C172" ca="1">_xlfn.IFS(B172="etf", _xll.YCI(A172, "security_name",TODAY()),B172&lt;&gt;"etf",_xll.YCI("M:" &amp; A172, "security_name",TODAY()))</f>
        <v>#VALUE!</v>
      </c>
      <c r="D172" t="e" cm="1">
        <f t="array" aca="1" ref="D172" ca="1">_xlfn.IFS($B172="etf", _xll.YCI($A172, "ycharts_benchmark_category",TODAY()),$B172&lt;&gt;"etf",_xll.YCI("M:" &amp; $A172, "ycharts_benchmark_category",TODAY()))</f>
        <v>#VALUE!</v>
      </c>
      <c r="E172" t="e" cm="1">
        <f t="array" aca="1" ref="E172" ca="1">_xlfn.IFS($B172="etf", _xll.YCI($A172, "ycharts_benchmark_index_symbol",TODAY()),$B172&lt;&gt;"etf",_xll.YCI("M:" &amp; $A172, "ycharts_benchmark_index_symbol",TODAY()))</f>
        <v>#VALUE!</v>
      </c>
      <c r="F172" t="e" cm="1">
        <f t="array" aca="1" ref="F172" ca="1">_xlfn.IFS($B172="etf", _xll.YCI($E172, "security_name",TODAY()),$B172&lt;&gt;"etf",_xll.YCI( $E172, "security_name",TODAY()))</f>
        <v>#VALUE!</v>
      </c>
      <c r="G172" t="e" cm="1">
        <f t="array" aca="1" ref="G172" ca="1">_xlfn.IFS($B172="etf", _xll.YCI($A172, "prospectus_benchmark_index",TODAY()),$B172&lt;&gt;"etf",_xll.YCI("M:" &amp; $A172, "prospectus_benchmark_index",TODAY()))</f>
        <v>#VALUE!</v>
      </c>
      <c r="H172" s="2" t="e" cm="1">
        <f t="array" aca="1" ref="H172" ca="1">_xlfn.IFS($B172="etf", _xll.YCP($A172,"quarterly_total_return",'Database Query'!$E$14),$B172&lt;&gt;"etf",_xll.YCP("M:"&amp; $A172,"quarterly_total_return",'Database Query'!$E$14))</f>
        <v>#VALUE!</v>
      </c>
      <c r="I172" s="2" t="e" cm="1">
        <f t="array" aca="1" ref="I172" ca="1">-_xll.YCP($E172,"quarterly_return",'Database Query'!$E$14)+H172</f>
        <v>#VALUE!</v>
      </c>
      <c r="J172" s="2" t="e" cm="1">
        <f t="array" aca="1" ref="J172" ca="1">_xlfn.IFS($B172="etf", _xll.YCP($A172,"ytd_total_return",'Database Query'!$E$14),$B172&lt;&gt;"etf",_xll.YCP("M:"&amp; $A172,"ytd_total_return",'Database Query'!$E$14))</f>
        <v>#VALUE!</v>
      </c>
      <c r="K172" s="2" t="e" cm="1">
        <f t="array" aca="1" ref="K172" ca="1">-_xll.YCP($E172,"ytd_return",'Database Query'!$E$14)+J172</f>
        <v>#VALUE!</v>
      </c>
      <c r="L172" s="2" t="e" cm="1">
        <f t="array" aca="1" ref="L172" ca="1">_xlfn.IFS($B172="etf", _xll.YCP($A172,"one_year_total_return",'Database Query'!$E$14),$B172&lt;&gt;"etf",_xll.YCP("M:"&amp; $A172,"one_year_total_return",'Database Query'!$E$14))</f>
        <v>#VALUE!</v>
      </c>
      <c r="M172" s="2" t="e" cm="1">
        <f t="array" aca="1" ref="M172" ca="1">-_xll.YCP($E172,"one_year_return",'Database Query'!$E$14)+L172</f>
        <v>#VALUE!</v>
      </c>
      <c r="N172" s="2" t="e" cm="1">
        <f t="array" aca="1" ref="N172" ca="1">_xlfn.IFS($B172="etf", _xll.YCP($A172,"three_year_total_return",'Database Query'!$E$14),$B172&lt;&gt;"etf",_xll.YCP("M:"&amp; $A172,"three_year_total_return",'Database Query'!$E$14))</f>
        <v>#VALUE!</v>
      </c>
      <c r="O172" s="2" t="e" cm="1">
        <f t="array" aca="1" ref="O172" ca="1">-_xll.YCP($E172,"three_year_return",'Database Query'!$E$14)+N172</f>
        <v>#VALUE!</v>
      </c>
      <c r="P172" s="2" t="e" cm="1">
        <f t="array" aca="1" ref="P172" ca="1">_xlfn.IFS($B172="etf", _xll.YCP($A172,"five_year_total_return",'Database Query'!$E$14),$B172&lt;&gt;"etf",_xll.YCP("M:"&amp; $A172,"five_year_total_return",'Database Query'!$E$14))</f>
        <v>#VALUE!</v>
      </c>
      <c r="Q172" s="2" t="e" cm="1">
        <f t="array" aca="1" ref="Q172" ca="1">-_xll.YCP($E172,"five_year_return",'Database Query'!$E$14)+P172</f>
        <v>#VALUE!</v>
      </c>
    </row>
    <row r="173" spans="1:17" x14ac:dyDescent="0.25">
      <c r="A173" t="str">
        <v>MWTRX</v>
      </c>
      <c r="B173" t="e" cm="1">
        <f t="array" aca="1" ref="B173" ca="1">_xll.YCI(A173,"detailed_security_type",TODAY())</f>
        <v>#VALUE!</v>
      </c>
      <c r="C173" t="e" cm="1">
        <f t="array" aca="1" ref="C173" ca="1">_xlfn.IFS(B173="etf", _xll.YCI(A173, "security_name",TODAY()),B173&lt;&gt;"etf",_xll.YCI("M:" &amp; A173, "security_name",TODAY()))</f>
        <v>#VALUE!</v>
      </c>
      <c r="D173" t="e" cm="1">
        <f t="array" aca="1" ref="D173" ca="1">_xlfn.IFS($B173="etf", _xll.YCI($A173, "ycharts_benchmark_category",TODAY()),$B173&lt;&gt;"etf",_xll.YCI("M:" &amp; $A173, "ycharts_benchmark_category",TODAY()))</f>
        <v>#VALUE!</v>
      </c>
      <c r="E173" t="e" cm="1">
        <f t="array" aca="1" ref="E173" ca="1">_xlfn.IFS($B173="etf", _xll.YCI($A173, "ycharts_benchmark_index_symbol",TODAY()),$B173&lt;&gt;"etf",_xll.YCI("M:" &amp; $A173, "ycharts_benchmark_index_symbol",TODAY()))</f>
        <v>#VALUE!</v>
      </c>
      <c r="F173" t="e" cm="1">
        <f t="array" aca="1" ref="F173" ca="1">_xlfn.IFS($B173="etf", _xll.YCI($E173, "security_name",TODAY()),$B173&lt;&gt;"etf",_xll.YCI( $E173, "security_name",TODAY()))</f>
        <v>#VALUE!</v>
      </c>
      <c r="G173" t="e" cm="1">
        <f t="array" aca="1" ref="G173" ca="1">_xlfn.IFS($B173="etf", _xll.YCI($A173, "prospectus_benchmark_index",TODAY()),$B173&lt;&gt;"etf",_xll.YCI("M:" &amp; $A173, "prospectus_benchmark_index",TODAY()))</f>
        <v>#VALUE!</v>
      </c>
      <c r="H173" s="2" t="e" cm="1">
        <f t="array" aca="1" ref="H173" ca="1">_xlfn.IFS($B173="etf", _xll.YCP($A173,"quarterly_total_return",'Database Query'!$E$14),$B173&lt;&gt;"etf",_xll.YCP("M:"&amp; $A173,"quarterly_total_return",'Database Query'!$E$14))</f>
        <v>#VALUE!</v>
      </c>
      <c r="I173" s="2" t="e" cm="1">
        <f t="array" aca="1" ref="I173" ca="1">-_xll.YCP($E173,"quarterly_return",'Database Query'!$E$14)+H173</f>
        <v>#VALUE!</v>
      </c>
      <c r="J173" s="2" t="e" cm="1">
        <f t="array" aca="1" ref="J173" ca="1">_xlfn.IFS($B173="etf", _xll.YCP($A173,"ytd_total_return",'Database Query'!$E$14),$B173&lt;&gt;"etf",_xll.YCP("M:"&amp; $A173,"ytd_total_return",'Database Query'!$E$14))</f>
        <v>#VALUE!</v>
      </c>
      <c r="K173" s="2" t="e" cm="1">
        <f t="array" aca="1" ref="K173" ca="1">-_xll.YCP($E173,"ytd_return",'Database Query'!$E$14)+J173</f>
        <v>#VALUE!</v>
      </c>
      <c r="L173" s="2" t="e" cm="1">
        <f t="array" aca="1" ref="L173" ca="1">_xlfn.IFS($B173="etf", _xll.YCP($A173,"one_year_total_return",'Database Query'!$E$14),$B173&lt;&gt;"etf",_xll.YCP("M:"&amp; $A173,"one_year_total_return",'Database Query'!$E$14))</f>
        <v>#VALUE!</v>
      </c>
      <c r="M173" s="2" t="e" cm="1">
        <f t="array" aca="1" ref="M173" ca="1">-_xll.YCP($E173,"one_year_return",'Database Query'!$E$14)+L173</f>
        <v>#VALUE!</v>
      </c>
      <c r="N173" s="2" t="e" cm="1">
        <f t="array" aca="1" ref="N173" ca="1">_xlfn.IFS($B173="etf", _xll.YCP($A173,"three_year_total_return",'Database Query'!$E$14),$B173&lt;&gt;"etf",_xll.YCP("M:"&amp; $A173,"three_year_total_return",'Database Query'!$E$14))</f>
        <v>#VALUE!</v>
      </c>
      <c r="O173" s="2" t="e" cm="1">
        <f t="array" aca="1" ref="O173" ca="1">-_xll.YCP($E173,"three_year_return",'Database Query'!$E$14)+N173</f>
        <v>#VALUE!</v>
      </c>
      <c r="P173" s="2" t="e" cm="1">
        <f t="array" aca="1" ref="P173" ca="1">_xlfn.IFS($B173="etf", _xll.YCP($A173,"five_year_total_return",'Database Query'!$E$14),$B173&lt;&gt;"etf",_xll.YCP("M:"&amp; $A173,"five_year_total_return",'Database Query'!$E$14))</f>
        <v>#VALUE!</v>
      </c>
      <c r="Q173" s="2" t="e" cm="1">
        <f t="array" aca="1" ref="Q173" ca="1">-_xll.YCP($E173,"five_year_return",'Database Query'!$E$14)+P173</f>
        <v>#VALUE!</v>
      </c>
    </row>
    <row r="174" spans="1:17" x14ac:dyDescent="0.25">
      <c r="A174" t="str">
        <v>NCLEX</v>
      </c>
      <c r="B174" t="e" cm="1">
        <f t="array" aca="1" ref="B174" ca="1">_xll.YCI(A174,"detailed_security_type",TODAY())</f>
        <v>#VALUE!</v>
      </c>
      <c r="C174" t="e" cm="1">
        <f t="array" aca="1" ref="C174" ca="1">_xlfn.IFS(B174="etf", _xll.YCI(A174, "security_name",TODAY()),B174&lt;&gt;"etf",_xll.YCI("M:" &amp; A174, "security_name",TODAY()))</f>
        <v>#VALUE!</v>
      </c>
      <c r="D174" t="e" cm="1">
        <f t="array" aca="1" ref="D174" ca="1">_xlfn.IFS($B174="etf", _xll.YCI($A174, "ycharts_benchmark_category",TODAY()),$B174&lt;&gt;"etf",_xll.YCI("M:" &amp; $A174, "ycharts_benchmark_category",TODAY()))</f>
        <v>#VALUE!</v>
      </c>
      <c r="E174" t="e" cm="1">
        <f t="array" aca="1" ref="E174" ca="1">_xlfn.IFS($B174="etf", _xll.YCI($A174, "ycharts_benchmark_index_symbol",TODAY()),$B174&lt;&gt;"etf",_xll.YCI("M:" &amp; $A174, "ycharts_benchmark_index_symbol",TODAY()))</f>
        <v>#VALUE!</v>
      </c>
      <c r="F174" t="e" cm="1">
        <f t="array" aca="1" ref="F174" ca="1">_xlfn.IFS($B174="etf", _xll.YCI($E174, "security_name",TODAY()),$B174&lt;&gt;"etf",_xll.YCI( $E174, "security_name",TODAY()))</f>
        <v>#VALUE!</v>
      </c>
      <c r="G174" t="e" cm="1">
        <f t="array" aca="1" ref="G174" ca="1">_xlfn.IFS($B174="etf", _xll.YCI($A174, "prospectus_benchmark_index",TODAY()),$B174&lt;&gt;"etf",_xll.YCI("M:" &amp; $A174, "prospectus_benchmark_index",TODAY()))</f>
        <v>#VALUE!</v>
      </c>
      <c r="H174" s="2" t="e" cm="1">
        <f t="array" aca="1" ref="H174" ca="1">_xlfn.IFS($B174="etf", _xll.YCP($A174,"quarterly_total_return",'Database Query'!$E$14),$B174&lt;&gt;"etf",_xll.YCP("M:"&amp; $A174,"quarterly_total_return",'Database Query'!$E$14))</f>
        <v>#VALUE!</v>
      </c>
      <c r="I174" s="2" t="e" cm="1">
        <f t="array" aca="1" ref="I174" ca="1">-_xll.YCP($E174,"quarterly_return",'Database Query'!$E$14)+H174</f>
        <v>#VALUE!</v>
      </c>
      <c r="J174" s="2" t="e" cm="1">
        <f t="array" aca="1" ref="J174" ca="1">_xlfn.IFS($B174="etf", _xll.YCP($A174,"ytd_total_return",'Database Query'!$E$14),$B174&lt;&gt;"etf",_xll.YCP("M:"&amp; $A174,"ytd_total_return",'Database Query'!$E$14))</f>
        <v>#VALUE!</v>
      </c>
      <c r="K174" s="2" t="e" cm="1">
        <f t="array" aca="1" ref="K174" ca="1">-_xll.YCP($E174,"ytd_return",'Database Query'!$E$14)+J174</f>
        <v>#VALUE!</v>
      </c>
      <c r="L174" s="2" t="e" cm="1">
        <f t="array" aca="1" ref="L174" ca="1">_xlfn.IFS($B174="etf", _xll.YCP($A174,"one_year_total_return",'Database Query'!$E$14),$B174&lt;&gt;"etf",_xll.YCP("M:"&amp; $A174,"one_year_total_return",'Database Query'!$E$14))</f>
        <v>#VALUE!</v>
      </c>
      <c r="M174" s="2" t="e" cm="1">
        <f t="array" aca="1" ref="M174" ca="1">-_xll.YCP($E174,"one_year_return",'Database Query'!$E$14)+L174</f>
        <v>#VALUE!</v>
      </c>
      <c r="N174" s="2" t="e" cm="1">
        <f t="array" aca="1" ref="N174" ca="1">_xlfn.IFS($B174="etf", _xll.YCP($A174,"three_year_total_return",'Database Query'!$E$14),$B174&lt;&gt;"etf",_xll.YCP("M:"&amp; $A174,"three_year_total_return",'Database Query'!$E$14))</f>
        <v>#VALUE!</v>
      </c>
      <c r="O174" s="2" t="e" cm="1">
        <f t="array" aca="1" ref="O174" ca="1">-_xll.YCP($E174,"three_year_return",'Database Query'!$E$14)+N174</f>
        <v>#VALUE!</v>
      </c>
      <c r="P174" s="2" t="e" cm="1">
        <f t="array" aca="1" ref="P174" ca="1">_xlfn.IFS($B174="etf", _xll.YCP($A174,"five_year_total_return",'Database Query'!$E$14),$B174&lt;&gt;"etf",_xll.YCP("M:"&amp; $A174,"five_year_total_return",'Database Query'!$E$14))</f>
        <v>#VALUE!</v>
      </c>
      <c r="Q174" s="2" t="e" cm="1">
        <f t="array" aca="1" ref="Q174" ca="1">-_xll.YCP($E174,"five_year_return",'Database Query'!$E$14)+P174</f>
        <v>#VALUE!</v>
      </c>
    </row>
    <row r="175" spans="1:17" x14ac:dyDescent="0.25">
      <c r="A175" t="str">
        <v>NELIX</v>
      </c>
      <c r="B175" t="e" cm="1">
        <f t="array" aca="1" ref="B175" ca="1">_xll.YCI(A175,"detailed_security_type",TODAY())</f>
        <v>#VALUE!</v>
      </c>
      <c r="C175" t="e" cm="1">
        <f t="array" aca="1" ref="C175" ca="1">_xlfn.IFS(B175="etf", _xll.YCI(A175, "security_name",TODAY()),B175&lt;&gt;"etf",_xll.YCI("M:" &amp; A175, "security_name",TODAY()))</f>
        <v>#VALUE!</v>
      </c>
      <c r="D175" t="e" cm="1">
        <f t="array" aca="1" ref="D175" ca="1">_xlfn.IFS($B175="etf", _xll.YCI($A175, "ycharts_benchmark_category",TODAY()),$B175&lt;&gt;"etf",_xll.YCI("M:" &amp; $A175, "ycharts_benchmark_category",TODAY()))</f>
        <v>#VALUE!</v>
      </c>
      <c r="E175" t="e" cm="1">
        <f t="array" aca="1" ref="E175" ca="1">_xlfn.IFS($B175="etf", _xll.YCI($A175, "ycharts_benchmark_index_symbol",TODAY()),$B175&lt;&gt;"etf",_xll.YCI("M:" &amp; $A175, "ycharts_benchmark_index_symbol",TODAY()))</f>
        <v>#VALUE!</v>
      </c>
      <c r="F175" t="e" cm="1">
        <f t="array" aca="1" ref="F175" ca="1">_xlfn.IFS($B175="etf", _xll.YCI($E175, "security_name",TODAY()),$B175&lt;&gt;"etf",_xll.YCI( $E175, "security_name",TODAY()))</f>
        <v>#VALUE!</v>
      </c>
      <c r="G175" t="e" cm="1">
        <f t="array" aca="1" ref="G175" ca="1">_xlfn.IFS($B175="etf", _xll.YCI($A175, "prospectus_benchmark_index",TODAY()),$B175&lt;&gt;"etf",_xll.YCI("M:" &amp; $A175, "prospectus_benchmark_index",TODAY()))</f>
        <v>#VALUE!</v>
      </c>
      <c r="H175" s="2" t="e" cm="1">
        <f t="array" aca="1" ref="H175" ca="1">_xlfn.IFS($B175="etf", _xll.YCP($A175,"quarterly_total_return",'Database Query'!$E$14),$B175&lt;&gt;"etf",_xll.YCP("M:"&amp; $A175,"quarterly_total_return",'Database Query'!$E$14))</f>
        <v>#VALUE!</v>
      </c>
      <c r="I175" s="2" t="e" cm="1">
        <f t="array" aca="1" ref="I175" ca="1">-_xll.YCP($E175,"quarterly_return",'Database Query'!$E$14)+H175</f>
        <v>#VALUE!</v>
      </c>
      <c r="J175" s="2" t="e" cm="1">
        <f t="array" aca="1" ref="J175" ca="1">_xlfn.IFS($B175="etf", _xll.YCP($A175,"ytd_total_return",'Database Query'!$E$14),$B175&lt;&gt;"etf",_xll.YCP("M:"&amp; $A175,"ytd_total_return",'Database Query'!$E$14))</f>
        <v>#VALUE!</v>
      </c>
      <c r="K175" s="2" t="e" cm="1">
        <f t="array" aca="1" ref="K175" ca="1">-_xll.YCP($E175,"ytd_return",'Database Query'!$E$14)+J175</f>
        <v>#VALUE!</v>
      </c>
      <c r="L175" s="2" t="e" cm="1">
        <f t="array" aca="1" ref="L175" ca="1">_xlfn.IFS($B175="etf", _xll.YCP($A175,"one_year_total_return",'Database Query'!$E$14),$B175&lt;&gt;"etf",_xll.YCP("M:"&amp; $A175,"one_year_total_return",'Database Query'!$E$14))</f>
        <v>#VALUE!</v>
      </c>
      <c r="M175" s="2" t="e" cm="1">
        <f t="array" aca="1" ref="M175" ca="1">-_xll.YCP($E175,"one_year_return",'Database Query'!$E$14)+L175</f>
        <v>#VALUE!</v>
      </c>
      <c r="N175" s="2" t="e" cm="1">
        <f t="array" aca="1" ref="N175" ca="1">_xlfn.IFS($B175="etf", _xll.YCP($A175,"three_year_total_return",'Database Query'!$E$14),$B175&lt;&gt;"etf",_xll.YCP("M:"&amp; $A175,"three_year_total_return",'Database Query'!$E$14))</f>
        <v>#VALUE!</v>
      </c>
      <c r="O175" s="2" t="e" cm="1">
        <f t="array" aca="1" ref="O175" ca="1">-_xll.YCP($E175,"three_year_return",'Database Query'!$E$14)+N175</f>
        <v>#VALUE!</v>
      </c>
      <c r="P175" s="2" t="e" cm="1">
        <f t="array" aca="1" ref="P175" ca="1">_xlfn.IFS($B175="etf", _xll.YCP($A175,"five_year_total_return",'Database Query'!$E$14),$B175&lt;&gt;"etf",_xll.YCP("M:"&amp; $A175,"five_year_total_return",'Database Query'!$E$14))</f>
        <v>#VALUE!</v>
      </c>
      <c r="Q175" s="2" t="e" cm="1">
        <f t="array" aca="1" ref="Q175" ca="1">-_xll.YCP($E175,"five_year_return",'Database Query'!$E$14)+P175</f>
        <v>#VALUE!</v>
      </c>
    </row>
    <row r="176" spans="1:17" x14ac:dyDescent="0.25">
      <c r="A176" t="str">
        <v>NFFFX</v>
      </c>
      <c r="B176" t="e" cm="1">
        <f t="array" aca="1" ref="B176" ca="1">_xll.YCI(A176,"detailed_security_type",TODAY())</f>
        <v>#VALUE!</v>
      </c>
      <c r="C176" t="e" cm="1">
        <f t="array" aca="1" ref="C176" ca="1">_xlfn.IFS(B176="etf", _xll.YCI(A176, "security_name",TODAY()),B176&lt;&gt;"etf",_xll.YCI("M:" &amp; A176, "security_name",TODAY()))</f>
        <v>#VALUE!</v>
      </c>
      <c r="D176" t="e" cm="1">
        <f t="array" aca="1" ref="D176" ca="1">_xlfn.IFS($B176="etf", _xll.YCI($A176, "ycharts_benchmark_category",TODAY()),$B176&lt;&gt;"etf",_xll.YCI("M:" &amp; $A176, "ycharts_benchmark_category",TODAY()))</f>
        <v>#VALUE!</v>
      </c>
      <c r="E176" t="e" cm="1">
        <f t="array" aca="1" ref="E176" ca="1">_xlfn.IFS($B176="etf", _xll.YCI($A176, "ycharts_benchmark_index_symbol",TODAY()),$B176&lt;&gt;"etf",_xll.YCI("M:" &amp; $A176, "ycharts_benchmark_index_symbol",TODAY()))</f>
        <v>#VALUE!</v>
      </c>
      <c r="F176" t="e" cm="1">
        <f t="array" aca="1" ref="F176" ca="1">_xlfn.IFS($B176="etf", _xll.YCI($E176, "security_name",TODAY()),$B176&lt;&gt;"etf",_xll.YCI( $E176, "security_name",TODAY()))</f>
        <v>#VALUE!</v>
      </c>
      <c r="G176" t="e" cm="1">
        <f t="array" aca="1" ref="G176" ca="1">_xlfn.IFS($B176="etf", _xll.YCI($A176, "prospectus_benchmark_index",TODAY()),$B176&lt;&gt;"etf",_xll.YCI("M:" &amp; $A176, "prospectus_benchmark_index",TODAY()))</f>
        <v>#VALUE!</v>
      </c>
      <c r="H176" s="2" t="e" cm="1">
        <f t="array" aca="1" ref="H176" ca="1">_xlfn.IFS($B176="etf", _xll.YCP($A176,"quarterly_total_return",'Database Query'!$E$14),$B176&lt;&gt;"etf",_xll.YCP("M:"&amp; $A176,"quarterly_total_return",'Database Query'!$E$14))</f>
        <v>#VALUE!</v>
      </c>
      <c r="I176" s="2" t="e" cm="1">
        <f t="array" aca="1" ref="I176" ca="1">-_xll.YCP($E176,"quarterly_return",'Database Query'!$E$14)+H176</f>
        <v>#VALUE!</v>
      </c>
      <c r="J176" s="2" t="e" cm="1">
        <f t="array" aca="1" ref="J176" ca="1">_xlfn.IFS($B176="etf", _xll.YCP($A176,"ytd_total_return",'Database Query'!$E$14),$B176&lt;&gt;"etf",_xll.YCP("M:"&amp; $A176,"ytd_total_return",'Database Query'!$E$14))</f>
        <v>#VALUE!</v>
      </c>
      <c r="K176" s="2" t="e" cm="1">
        <f t="array" aca="1" ref="K176" ca="1">-_xll.YCP($E176,"ytd_return",'Database Query'!$E$14)+J176</f>
        <v>#VALUE!</v>
      </c>
      <c r="L176" s="2" t="e" cm="1">
        <f t="array" aca="1" ref="L176" ca="1">_xlfn.IFS($B176="etf", _xll.YCP($A176,"one_year_total_return",'Database Query'!$E$14),$B176&lt;&gt;"etf",_xll.YCP("M:"&amp; $A176,"one_year_total_return",'Database Query'!$E$14))</f>
        <v>#VALUE!</v>
      </c>
      <c r="M176" s="2" t="e" cm="1">
        <f t="array" aca="1" ref="M176" ca="1">-_xll.YCP($E176,"one_year_return",'Database Query'!$E$14)+L176</f>
        <v>#VALUE!</v>
      </c>
      <c r="N176" s="2" t="e" cm="1">
        <f t="array" aca="1" ref="N176" ca="1">_xlfn.IFS($B176="etf", _xll.YCP($A176,"three_year_total_return",'Database Query'!$E$14),$B176&lt;&gt;"etf",_xll.YCP("M:"&amp; $A176,"three_year_total_return",'Database Query'!$E$14))</f>
        <v>#VALUE!</v>
      </c>
      <c r="O176" s="2" t="e" cm="1">
        <f t="array" aca="1" ref="O176" ca="1">-_xll.YCP($E176,"three_year_return",'Database Query'!$E$14)+N176</f>
        <v>#VALUE!</v>
      </c>
      <c r="P176" s="2" t="e" cm="1">
        <f t="array" aca="1" ref="P176" ca="1">_xlfn.IFS($B176="etf", _xll.YCP($A176,"five_year_total_return",'Database Query'!$E$14),$B176&lt;&gt;"etf",_xll.YCP("M:"&amp; $A176,"five_year_total_return",'Database Query'!$E$14))</f>
        <v>#VALUE!</v>
      </c>
      <c r="Q176" s="2" t="e" cm="1">
        <f t="array" aca="1" ref="Q176" ca="1">-_xll.YCP($E176,"five_year_return",'Database Query'!$E$14)+P176</f>
        <v>#VALUE!</v>
      </c>
    </row>
    <row r="177" spans="1:17" x14ac:dyDescent="0.25">
      <c r="A177" t="str">
        <v>NMVLX</v>
      </c>
      <c r="B177" t="e" cm="1">
        <f t="array" aca="1" ref="B177" ca="1">_xll.YCI(A177,"detailed_security_type",TODAY())</f>
        <v>#VALUE!</v>
      </c>
      <c r="C177" t="e" cm="1">
        <f t="array" aca="1" ref="C177" ca="1">_xlfn.IFS(B177="etf", _xll.YCI(A177, "security_name",TODAY()),B177&lt;&gt;"etf",_xll.YCI("M:" &amp; A177, "security_name",TODAY()))</f>
        <v>#VALUE!</v>
      </c>
      <c r="D177" t="e" cm="1">
        <f t="array" aca="1" ref="D177" ca="1">_xlfn.IFS($B177="etf", _xll.YCI($A177, "ycharts_benchmark_category",TODAY()),$B177&lt;&gt;"etf",_xll.YCI("M:" &amp; $A177, "ycharts_benchmark_category",TODAY()))</f>
        <v>#VALUE!</v>
      </c>
      <c r="E177" t="e" cm="1">
        <f t="array" aca="1" ref="E177" ca="1">_xlfn.IFS($B177="etf", _xll.YCI($A177, "ycharts_benchmark_index_symbol",TODAY()),$B177&lt;&gt;"etf",_xll.YCI("M:" &amp; $A177, "ycharts_benchmark_index_symbol",TODAY()))</f>
        <v>#VALUE!</v>
      </c>
      <c r="F177" t="e" cm="1">
        <f t="array" aca="1" ref="F177" ca="1">_xlfn.IFS($B177="etf", _xll.YCI($E177, "security_name",TODAY()),$B177&lt;&gt;"etf",_xll.YCI( $E177, "security_name",TODAY()))</f>
        <v>#VALUE!</v>
      </c>
      <c r="G177" t="e" cm="1">
        <f t="array" aca="1" ref="G177" ca="1">_xlfn.IFS($B177="etf", _xll.YCI($A177, "prospectus_benchmark_index",TODAY()),$B177&lt;&gt;"etf",_xll.YCI("M:" &amp; $A177, "prospectus_benchmark_index",TODAY()))</f>
        <v>#VALUE!</v>
      </c>
      <c r="H177" s="2" t="e" cm="1">
        <f t="array" aca="1" ref="H177" ca="1">_xlfn.IFS($B177="etf", _xll.YCP($A177,"quarterly_total_return",'Database Query'!$E$14),$B177&lt;&gt;"etf",_xll.YCP("M:"&amp; $A177,"quarterly_total_return",'Database Query'!$E$14))</f>
        <v>#VALUE!</v>
      </c>
      <c r="I177" s="2" t="e" cm="1">
        <f t="array" aca="1" ref="I177" ca="1">-_xll.YCP($E177,"quarterly_return",'Database Query'!$E$14)+H177</f>
        <v>#VALUE!</v>
      </c>
      <c r="J177" s="2" t="e" cm="1">
        <f t="array" aca="1" ref="J177" ca="1">_xlfn.IFS($B177="etf", _xll.YCP($A177,"ytd_total_return",'Database Query'!$E$14),$B177&lt;&gt;"etf",_xll.YCP("M:"&amp; $A177,"ytd_total_return",'Database Query'!$E$14))</f>
        <v>#VALUE!</v>
      </c>
      <c r="K177" s="2" t="e" cm="1">
        <f t="array" aca="1" ref="K177" ca="1">-_xll.YCP($E177,"ytd_return",'Database Query'!$E$14)+J177</f>
        <v>#VALUE!</v>
      </c>
      <c r="L177" s="2" t="e" cm="1">
        <f t="array" aca="1" ref="L177" ca="1">_xlfn.IFS($B177="etf", _xll.YCP($A177,"one_year_total_return",'Database Query'!$E$14),$B177&lt;&gt;"etf",_xll.YCP("M:"&amp; $A177,"one_year_total_return",'Database Query'!$E$14))</f>
        <v>#VALUE!</v>
      </c>
      <c r="M177" s="2" t="e" cm="1">
        <f t="array" aca="1" ref="M177" ca="1">-_xll.YCP($E177,"one_year_return",'Database Query'!$E$14)+L177</f>
        <v>#VALUE!</v>
      </c>
      <c r="N177" s="2" t="e" cm="1">
        <f t="array" aca="1" ref="N177" ca="1">_xlfn.IFS($B177="etf", _xll.YCP($A177,"three_year_total_return",'Database Query'!$E$14),$B177&lt;&gt;"etf",_xll.YCP("M:"&amp; $A177,"three_year_total_return",'Database Query'!$E$14))</f>
        <v>#VALUE!</v>
      </c>
      <c r="O177" s="2" t="e" cm="1">
        <f t="array" aca="1" ref="O177" ca="1">-_xll.YCP($E177,"three_year_return",'Database Query'!$E$14)+N177</f>
        <v>#VALUE!</v>
      </c>
      <c r="P177" s="2" t="e" cm="1">
        <f t="array" aca="1" ref="P177" ca="1">_xlfn.IFS($B177="etf", _xll.YCP($A177,"five_year_total_return",'Database Query'!$E$14),$B177&lt;&gt;"etf",_xll.YCP("M:"&amp; $A177,"five_year_total_return",'Database Query'!$E$14))</f>
        <v>#VALUE!</v>
      </c>
      <c r="Q177" s="2" t="e" cm="1">
        <f t="array" aca="1" ref="Q177" ca="1">-_xll.YCP($E177,"five_year_return",'Database Query'!$E$14)+P177</f>
        <v>#VALUE!</v>
      </c>
    </row>
    <row r="178" spans="1:17" x14ac:dyDescent="0.25">
      <c r="A178" t="str">
        <v>NOSGX</v>
      </c>
      <c r="B178" t="e" cm="1">
        <f t="array" aca="1" ref="B178" ca="1">_xll.YCI(A178,"detailed_security_type",TODAY())</f>
        <v>#VALUE!</v>
      </c>
      <c r="C178" t="e" cm="1">
        <f t="array" aca="1" ref="C178" ca="1">_xlfn.IFS(B178="etf", _xll.YCI(A178, "security_name",TODAY()),B178&lt;&gt;"etf",_xll.YCI("M:" &amp; A178, "security_name",TODAY()))</f>
        <v>#VALUE!</v>
      </c>
      <c r="D178" t="e" cm="1">
        <f t="array" aca="1" ref="D178" ca="1">_xlfn.IFS($B178="etf", _xll.YCI($A178, "ycharts_benchmark_category",TODAY()),$B178&lt;&gt;"etf",_xll.YCI("M:" &amp; $A178, "ycharts_benchmark_category",TODAY()))</f>
        <v>#VALUE!</v>
      </c>
      <c r="E178" t="e" cm="1">
        <f t="array" aca="1" ref="E178" ca="1">_xlfn.IFS($B178="etf", _xll.YCI($A178, "ycharts_benchmark_index_symbol",TODAY()),$B178&lt;&gt;"etf",_xll.YCI("M:" &amp; $A178, "ycharts_benchmark_index_symbol",TODAY()))</f>
        <v>#VALUE!</v>
      </c>
      <c r="F178" t="e" cm="1">
        <f t="array" aca="1" ref="F178" ca="1">_xlfn.IFS($B178="etf", _xll.YCI($E178, "security_name",TODAY()),$B178&lt;&gt;"etf",_xll.YCI( $E178, "security_name",TODAY()))</f>
        <v>#VALUE!</v>
      </c>
      <c r="G178" t="e" cm="1">
        <f t="array" aca="1" ref="G178" ca="1">_xlfn.IFS($B178="etf", _xll.YCI($A178, "prospectus_benchmark_index",TODAY()),$B178&lt;&gt;"etf",_xll.YCI("M:" &amp; $A178, "prospectus_benchmark_index",TODAY()))</f>
        <v>#VALUE!</v>
      </c>
      <c r="H178" s="2" t="e" cm="1">
        <f t="array" aca="1" ref="H178" ca="1">_xlfn.IFS($B178="etf", _xll.YCP($A178,"quarterly_total_return",'Database Query'!$E$14),$B178&lt;&gt;"etf",_xll.YCP("M:"&amp; $A178,"quarterly_total_return",'Database Query'!$E$14))</f>
        <v>#VALUE!</v>
      </c>
      <c r="I178" s="2" t="e" cm="1">
        <f t="array" aca="1" ref="I178" ca="1">-_xll.YCP($E178,"quarterly_return",'Database Query'!$E$14)+H178</f>
        <v>#VALUE!</v>
      </c>
      <c r="J178" s="2" t="e" cm="1">
        <f t="array" aca="1" ref="J178" ca="1">_xlfn.IFS($B178="etf", _xll.YCP($A178,"ytd_total_return",'Database Query'!$E$14),$B178&lt;&gt;"etf",_xll.YCP("M:"&amp; $A178,"ytd_total_return",'Database Query'!$E$14))</f>
        <v>#VALUE!</v>
      </c>
      <c r="K178" s="2" t="e" cm="1">
        <f t="array" aca="1" ref="K178" ca="1">-_xll.YCP($E178,"ytd_return",'Database Query'!$E$14)+J178</f>
        <v>#VALUE!</v>
      </c>
      <c r="L178" s="2" t="e" cm="1">
        <f t="array" aca="1" ref="L178" ca="1">_xlfn.IFS($B178="etf", _xll.YCP($A178,"one_year_total_return",'Database Query'!$E$14),$B178&lt;&gt;"etf",_xll.YCP("M:"&amp; $A178,"one_year_total_return",'Database Query'!$E$14))</f>
        <v>#VALUE!</v>
      </c>
      <c r="M178" s="2" t="e" cm="1">
        <f t="array" aca="1" ref="M178" ca="1">-_xll.YCP($E178,"one_year_return",'Database Query'!$E$14)+L178</f>
        <v>#VALUE!</v>
      </c>
      <c r="N178" s="2" t="e" cm="1">
        <f t="array" aca="1" ref="N178" ca="1">_xlfn.IFS($B178="etf", _xll.YCP($A178,"three_year_total_return",'Database Query'!$E$14),$B178&lt;&gt;"etf",_xll.YCP("M:"&amp; $A178,"three_year_total_return",'Database Query'!$E$14))</f>
        <v>#VALUE!</v>
      </c>
      <c r="O178" s="2" t="e" cm="1">
        <f t="array" aca="1" ref="O178" ca="1">-_xll.YCP($E178,"three_year_return",'Database Query'!$E$14)+N178</f>
        <v>#VALUE!</v>
      </c>
      <c r="P178" s="2" t="e" cm="1">
        <f t="array" aca="1" ref="P178" ca="1">_xlfn.IFS($B178="etf", _xll.YCP($A178,"five_year_total_return",'Database Query'!$E$14),$B178&lt;&gt;"etf",_xll.YCP("M:"&amp; $A178,"five_year_total_return",'Database Query'!$E$14))</f>
        <v>#VALUE!</v>
      </c>
      <c r="Q178" s="2" t="e" cm="1">
        <f t="array" aca="1" ref="Q178" ca="1">-_xll.YCP($E178,"five_year_return",'Database Query'!$E$14)+P178</f>
        <v>#VALUE!</v>
      </c>
    </row>
    <row r="179" spans="1:17" x14ac:dyDescent="0.25">
      <c r="A179" t="str">
        <v>NSIOX</v>
      </c>
      <c r="B179" t="e" cm="1">
        <f t="array" aca="1" ref="B179" ca="1">_xll.YCI(A179,"detailed_security_type",TODAY())</f>
        <v>#VALUE!</v>
      </c>
      <c r="C179" t="e" cm="1">
        <f t="array" aca="1" ref="C179" ca="1">_xlfn.IFS(B179="etf", _xll.YCI(A179, "security_name",TODAY()),B179&lt;&gt;"etf",_xll.YCI("M:" &amp; A179, "security_name",TODAY()))</f>
        <v>#VALUE!</v>
      </c>
      <c r="D179" t="e" cm="1">
        <f t="array" aca="1" ref="D179" ca="1">_xlfn.IFS($B179="etf", _xll.YCI($A179, "ycharts_benchmark_category",TODAY()),$B179&lt;&gt;"etf",_xll.YCI("M:" &amp; $A179, "ycharts_benchmark_category",TODAY()))</f>
        <v>#VALUE!</v>
      </c>
      <c r="E179" t="e" cm="1">
        <f t="array" aca="1" ref="E179" ca="1">_xlfn.IFS($B179="etf", _xll.YCI($A179, "ycharts_benchmark_index_symbol",TODAY()),$B179&lt;&gt;"etf",_xll.YCI("M:" &amp; $A179, "ycharts_benchmark_index_symbol",TODAY()))</f>
        <v>#VALUE!</v>
      </c>
      <c r="F179" t="e" cm="1">
        <f t="array" aca="1" ref="F179" ca="1">_xlfn.IFS($B179="etf", _xll.YCI($E179, "security_name",TODAY()),$B179&lt;&gt;"etf",_xll.YCI( $E179, "security_name",TODAY()))</f>
        <v>#VALUE!</v>
      </c>
      <c r="G179" t="e" cm="1">
        <f t="array" aca="1" ref="G179" ca="1">_xlfn.IFS($B179="etf", _xll.YCI($A179, "prospectus_benchmark_index",TODAY()),$B179&lt;&gt;"etf",_xll.YCI("M:" &amp; $A179, "prospectus_benchmark_index",TODAY()))</f>
        <v>#VALUE!</v>
      </c>
      <c r="H179" s="2" t="e" cm="1">
        <f t="array" aca="1" ref="H179" ca="1">_xlfn.IFS($B179="etf", _xll.YCP($A179,"quarterly_total_return",'Database Query'!$E$14),$B179&lt;&gt;"etf",_xll.YCP("M:"&amp; $A179,"quarterly_total_return",'Database Query'!$E$14))</f>
        <v>#VALUE!</v>
      </c>
      <c r="I179" s="2" t="e" cm="1">
        <f t="array" aca="1" ref="I179" ca="1">-_xll.YCP($E179,"quarterly_return",'Database Query'!$E$14)+H179</f>
        <v>#VALUE!</v>
      </c>
      <c r="J179" s="2" t="e" cm="1">
        <f t="array" aca="1" ref="J179" ca="1">_xlfn.IFS($B179="etf", _xll.YCP($A179,"ytd_total_return",'Database Query'!$E$14),$B179&lt;&gt;"etf",_xll.YCP("M:"&amp; $A179,"ytd_total_return",'Database Query'!$E$14))</f>
        <v>#VALUE!</v>
      </c>
      <c r="K179" s="2" t="e" cm="1">
        <f t="array" aca="1" ref="K179" ca="1">-_xll.YCP($E179,"ytd_return",'Database Query'!$E$14)+J179</f>
        <v>#VALUE!</v>
      </c>
      <c r="L179" s="2" t="e" cm="1">
        <f t="array" aca="1" ref="L179" ca="1">_xlfn.IFS($B179="etf", _xll.YCP($A179,"one_year_total_return",'Database Query'!$E$14),$B179&lt;&gt;"etf",_xll.YCP("M:"&amp; $A179,"one_year_total_return",'Database Query'!$E$14))</f>
        <v>#VALUE!</v>
      </c>
      <c r="M179" s="2" t="e" cm="1">
        <f t="array" aca="1" ref="M179" ca="1">-_xll.YCP($E179,"one_year_return",'Database Query'!$E$14)+L179</f>
        <v>#VALUE!</v>
      </c>
      <c r="N179" s="2" t="e" cm="1">
        <f t="array" aca="1" ref="N179" ca="1">_xlfn.IFS($B179="etf", _xll.YCP($A179,"three_year_total_return",'Database Query'!$E$14),$B179&lt;&gt;"etf",_xll.YCP("M:"&amp; $A179,"three_year_total_return",'Database Query'!$E$14))</f>
        <v>#VALUE!</v>
      </c>
      <c r="O179" s="2" t="e" cm="1">
        <f t="array" aca="1" ref="O179" ca="1">-_xll.YCP($E179,"three_year_return",'Database Query'!$E$14)+N179</f>
        <v>#VALUE!</v>
      </c>
      <c r="P179" s="2" t="e" cm="1">
        <f t="array" aca="1" ref="P179" ca="1">_xlfn.IFS($B179="etf", _xll.YCP($A179,"five_year_total_return",'Database Query'!$E$14),$B179&lt;&gt;"etf",_xll.YCP("M:"&amp; $A179,"five_year_total_return",'Database Query'!$E$14))</f>
        <v>#VALUE!</v>
      </c>
      <c r="Q179" s="2" t="e" cm="1">
        <f t="array" aca="1" ref="Q179" ca="1">-_xll.YCP($E179,"five_year_return",'Database Query'!$E$14)+P179</f>
        <v>#VALUE!</v>
      </c>
    </row>
    <row r="180" spans="1:17" x14ac:dyDescent="0.25">
      <c r="A180" t="str">
        <v>NSVAX</v>
      </c>
      <c r="B180" t="e" cm="1">
        <f t="array" aca="1" ref="B180" ca="1">_xll.YCI(A180,"detailed_security_type",TODAY())</f>
        <v>#VALUE!</v>
      </c>
      <c r="C180" t="e" cm="1">
        <f t="array" aca="1" ref="C180" ca="1">_xlfn.IFS(B180="etf", _xll.YCI(A180, "security_name",TODAY()),B180&lt;&gt;"etf",_xll.YCI("M:" &amp; A180, "security_name",TODAY()))</f>
        <v>#VALUE!</v>
      </c>
      <c r="D180" t="e" cm="1">
        <f t="array" aca="1" ref="D180" ca="1">_xlfn.IFS($B180="etf", _xll.YCI($A180, "ycharts_benchmark_category",TODAY()),$B180&lt;&gt;"etf",_xll.YCI("M:" &amp; $A180, "ycharts_benchmark_category",TODAY()))</f>
        <v>#VALUE!</v>
      </c>
      <c r="E180" t="e" cm="1">
        <f t="array" aca="1" ref="E180" ca="1">_xlfn.IFS($B180="etf", _xll.YCI($A180, "ycharts_benchmark_index_symbol",TODAY()),$B180&lt;&gt;"etf",_xll.YCI("M:" &amp; $A180, "ycharts_benchmark_index_symbol",TODAY()))</f>
        <v>#VALUE!</v>
      </c>
      <c r="F180" t="e" cm="1">
        <f t="array" aca="1" ref="F180" ca="1">_xlfn.IFS($B180="etf", _xll.YCI($E180, "security_name",TODAY()),$B180&lt;&gt;"etf",_xll.YCI( $E180, "security_name",TODAY()))</f>
        <v>#VALUE!</v>
      </c>
      <c r="G180" t="e" cm="1">
        <f t="array" aca="1" ref="G180" ca="1">_xlfn.IFS($B180="etf", _xll.YCI($A180, "prospectus_benchmark_index",TODAY()),$B180&lt;&gt;"etf",_xll.YCI("M:" &amp; $A180, "prospectus_benchmark_index",TODAY()))</f>
        <v>#VALUE!</v>
      </c>
      <c r="H180" s="2" t="e" cm="1">
        <f t="array" aca="1" ref="H180" ca="1">_xlfn.IFS($B180="etf", _xll.YCP($A180,"quarterly_total_return",'Database Query'!$E$14),$B180&lt;&gt;"etf",_xll.YCP("M:"&amp; $A180,"quarterly_total_return",'Database Query'!$E$14))</f>
        <v>#VALUE!</v>
      </c>
      <c r="I180" s="2" t="e" cm="1">
        <f t="array" aca="1" ref="I180" ca="1">-_xll.YCP($E180,"quarterly_return",'Database Query'!$E$14)+H180</f>
        <v>#VALUE!</v>
      </c>
      <c r="J180" s="2" t="e" cm="1">
        <f t="array" aca="1" ref="J180" ca="1">_xlfn.IFS($B180="etf", _xll.YCP($A180,"ytd_total_return",'Database Query'!$E$14),$B180&lt;&gt;"etf",_xll.YCP("M:"&amp; $A180,"ytd_total_return",'Database Query'!$E$14))</f>
        <v>#VALUE!</v>
      </c>
      <c r="K180" s="2" t="e" cm="1">
        <f t="array" aca="1" ref="K180" ca="1">-_xll.YCP($E180,"ytd_return",'Database Query'!$E$14)+J180</f>
        <v>#VALUE!</v>
      </c>
      <c r="L180" s="2" t="e" cm="1">
        <f t="array" aca="1" ref="L180" ca="1">_xlfn.IFS($B180="etf", _xll.YCP($A180,"one_year_total_return",'Database Query'!$E$14),$B180&lt;&gt;"etf",_xll.YCP("M:"&amp; $A180,"one_year_total_return",'Database Query'!$E$14))</f>
        <v>#VALUE!</v>
      </c>
      <c r="M180" s="2" t="e" cm="1">
        <f t="array" aca="1" ref="M180" ca="1">-_xll.YCP($E180,"one_year_return",'Database Query'!$E$14)+L180</f>
        <v>#VALUE!</v>
      </c>
      <c r="N180" s="2" t="e" cm="1">
        <f t="array" aca="1" ref="N180" ca="1">_xlfn.IFS($B180="etf", _xll.YCP($A180,"three_year_total_return",'Database Query'!$E$14),$B180&lt;&gt;"etf",_xll.YCP("M:"&amp; $A180,"three_year_total_return",'Database Query'!$E$14))</f>
        <v>#VALUE!</v>
      </c>
      <c r="O180" s="2" t="e" cm="1">
        <f t="array" aca="1" ref="O180" ca="1">-_xll.YCP($E180,"three_year_return",'Database Query'!$E$14)+N180</f>
        <v>#VALUE!</v>
      </c>
      <c r="P180" s="2" t="e" cm="1">
        <f t="array" aca="1" ref="P180" ca="1">_xlfn.IFS($B180="etf", _xll.YCP($A180,"five_year_total_return",'Database Query'!$E$14),$B180&lt;&gt;"etf",_xll.YCP("M:"&amp; $A180,"five_year_total_return",'Database Query'!$E$14))</f>
        <v>#VALUE!</v>
      </c>
      <c r="Q180" s="2" t="e" cm="1">
        <f t="array" aca="1" ref="Q180" ca="1">-_xll.YCP($E180,"five_year_return",'Database Query'!$E$14)+P180</f>
        <v>#VALUE!</v>
      </c>
    </row>
    <row r="181" spans="1:17" x14ac:dyDescent="0.25">
      <c r="A181" t="str">
        <v>ODIYX</v>
      </c>
      <c r="B181" t="e" cm="1">
        <f t="array" aca="1" ref="B181" ca="1">_xll.YCI(A181,"detailed_security_type",TODAY())</f>
        <v>#VALUE!</v>
      </c>
      <c r="C181" t="e" cm="1">
        <f t="array" aca="1" ref="C181" ca="1">_xlfn.IFS(B181="etf", _xll.YCI(A181, "security_name",TODAY()),B181&lt;&gt;"etf",_xll.YCI("M:" &amp; A181, "security_name",TODAY()))</f>
        <v>#VALUE!</v>
      </c>
      <c r="D181" t="e" cm="1">
        <f t="array" aca="1" ref="D181" ca="1">_xlfn.IFS($B181="etf", _xll.YCI($A181, "ycharts_benchmark_category",TODAY()),$B181&lt;&gt;"etf",_xll.YCI("M:" &amp; $A181, "ycharts_benchmark_category",TODAY()))</f>
        <v>#VALUE!</v>
      </c>
      <c r="E181" t="e" cm="1">
        <f t="array" aca="1" ref="E181" ca="1">_xlfn.IFS($B181="etf", _xll.YCI($A181, "ycharts_benchmark_index_symbol",TODAY()),$B181&lt;&gt;"etf",_xll.YCI("M:" &amp; $A181, "ycharts_benchmark_index_symbol",TODAY()))</f>
        <v>#VALUE!</v>
      </c>
      <c r="F181" t="e" cm="1">
        <f t="array" aca="1" ref="F181" ca="1">_xlfn.IFS($B181="etf", _xll.YCI($E181, "security_name",TODAY()),$B181&lt;&gt;"etf",_xll.YCI( $E181, "security_name",TODAY()))</f>
        <v>#VALUE!</v>
      </c>
      <c r="G181" t="e" cm="1">
        <f t="array" aca="1" ref="G181" ca="1">_xlfn.IFS($B181="etf", _xll.YCI($A181, "prospectus_benchmark_index",TODAY()),$B181&lt;&gt;"etf",_xll.YCI("M:" &amp; $A181, "prospectus_benchmark_index",TODAY()))</f>
        <v>#VALUE!</v>
      </c>
      <c r="H181" s="2" t="e" cm="1">
        <f t="array" aca="1" ref="H181" ca="1">_xlfn.IFS($B181="etf", _xll.YCP($A181,"quarterly_total_return",'Database Query'!$E$14),$B181&lt;&gt;"etf",_xll.YCP("M:"&amp; $A181,"quarterly_total_return",'Database Query'!$E$14))</f>
        <v>#VALUE!</v>
      </c>
      <c r="I181" s="2" t="e" cm="1">
        <f t="array" aca="1" ref="I181" ca="1">-_xll.YCP($E181,"quarterly_return",'Database Query'!$E$14)+H181</f>
        <v>#VALUE!</v>
      </c>
      <c r="J181" s="2" t="e" cm="1">
        <f t="array" aca="1" ref="J181" ca="1">_xlfn.IFS($B181="etf", _xll.YCP($A181,"ytd_total_return",'Database Query'!$E$14),$B181&lt;&gt;"etf",_xll.YCP("M:"&amp; $A181,"ytd_total_return",'Database Query'!$E$14))</f>
        <v>#VALUE!</v>
      </c>
      <c r="K181" s="2" t="e" cm="1">
        <f t="array" aca="1" ref="K181" ca="1">-_xll.YCP($E181,"ytd_return",'Database Query'!$E$14)+J181</f>
        <v>#VALUE!</v>
      </c>
      <c r="L181" s="2" t="e" cm="1">
        <f t="array" aca="1" ref="L181" ca="1">_xlfn.IFS($B181="etf", _xll.YCP($A181,"one_year_total_return",'Database Query'!$E$14),$B181&lt;&gt;"etf",_xll.YCP("M:"&amp; $A181,"one_year_total_return",'Database Query'!$E$14))</f>
        <v>#VALUE!</v>
      </c>
      <c r="M181" s="2" t="e" cm="1">
        <f t="array" aca="1" ref="M181" ca="1">-_xll.YCP($E181,"one_year_return",'Database Query'!$E$14)+L181</f>
        <v>#VALUE!</v>
      </c>
      <c r="N181" s="2" t="e" cm="1">
        <f t="array" aca="1" ref="N181" ca="1">_xlfn.IFS($B181="etf", _xll.YCP($A181,"three_year_total_return",'Database Query'!$E$14),$B181&lt;&gt;"etf",_xll.YCP("M:"&amp; $A181,"three_year_total_return",'Database Query'!$E$14))</f>
        <v>#VALUE!</v>
      </c>
      <c r="O181" s="2" t="e" cm="1">
        <f t="array" aca="1" ref="O181" ca="1">-_xll.YCP($E181,"three_year_return",'Database Query'!$E$14)+N181</f>
        <v>#VALUE!</v>
      </c>
      <c r="P181" s="2" t="e" cm="1">
        <f t="array" aca="1" ref="P181" ca="1">_xlfn.IFS($B181="etf", _xll.YCP($A181,"five_year_total_return",'Database Query'!$E$14),$B181&lt;&gt;"etf",_xll.YCP("M:"&amp; $A181,"five_year_total_return",'Database Query'!$E$14))</f>
        <v>#VALUE!</v>
      </c>
      <c r="Q181" s="2" t="e" cm="1">
        <f t="array" aca="1" ref="Q181" ca="1">-_xll.YCP($E181,"five_year_return",'Database Query'!$E$14)+P181</f>
        <v>#VALUE!</v>
      </c>
    </row>
    <row r="182" spans="1:17" x14ac:dyDescent="0.25">
      <c r="A182" t="str">
        <v>ODVYX</v>
      </c>
      <c r="B182" t="e" cm="1">
        <f t="array" aca="1" ref="B182" ca="1">_xll.YCI(A182,"detailed_security_type",TODAY())</f>
        <v>#VALUE!</v>
      </c>
      <c r="C182" t="e" cm="1">
        <f t="array" aca="1" ref="C182" ca="1">_xlfn.IFS(B182="etf", _xll.YCI(A182, "security_name",TODAY()),B182&lt;&gt;"etf",_xll.YCI("M:" &amp; A182, "security_name",TODAY()))</f>
        <v>#VALUE!</v>
      </c>
      <c r="D182" t="e" cm="1">
        <f t="array" aca="1" ref="D182" ca="1">_xlfn.IFS($B182="etf", _xll.YCI($A182, "ycharts_benchmark_category",TODAY()),$B182&lt;&gt;"etf",_xll.YCI("M:" &amp; $A182, "ycharts_benchmark_category",TODAY()))</f>
        <v>#VALUE!</v>
      </c>
      <c r="E182" t="e" cm="1">
        <f t="array" aca="1" ref="E182" ca="1">_xlfn.IFS($B182="etf", _xll.YCI($A182, "ycharts_benchmark_index_symbol",TODAY()),$B182&lt;&gt;"etf",_xll.YCI("M:" &amp; $A182, "ycharts_benchmark_index_symbol",TODAY()))</f>
        <v>#VALUE!</v>
      </c>
      <c r="F182" t="e" cm="1">
        <f t="array" aca="1" ref="F182" ca="1">_xlfn.IFS($B182="etf", _xll.YCI($E182, "security_name",TODAY()),$B182&lt;&gt;"etf",_xll.YCI( $E182, "security_name",TODAY()))</f>
        <v>#VALUE!</v>
      </c>
      <c r="G182" t="e" cm="1">
        <f t="array" aca="1" ref="G182" ca="1">_xlfn.IFS($B182="etf", _xll.YCI($A182, "prospectus_benchmark_index",TODAY()),$B182&lt;&gt;"etf",_xll.YCI("M:" &amp; $A182, "prospectus_benchmark_index",TODAY()))</f>
        <v>#VALUE!</v>
      </c>
      <c r="H182" s="2" t="e" cm="1">
        <f t="array" aca="1" ref="H182" ca="1">_xlfn.IFS($B182="etf", _xll.YCP($A182,"quarterly_total_return",'Database Query'!$E$14),$B182&lt;&gt;"etf",_xll.YCP("M:"&amp; $A182,"quarterly_total_return",'Database Query'!$E$14))</f>
        <v>#VALUE!</v>
      </c>
      <c r="I182" s="2" t="e" cm="1">
        <f t="array" aca="1" ref="I182" ca="1">-_xll.YCP($E182,"quarterly_return",'Database Query'!$E$14)+H182</f>
        <v>#VALUE!</v>
      </c>
      <c r="J182" s="2" t="e" cm="1">
        <f t="array" aca="1" ref="J182" ca="1">_xlfn.IFS($B182="etf", _xll.YCP($A182,"ytd_total_return",'Database Query'!$E$14),$B182&lt;&gt;"etf",_xll.YCP("M:"&amp; $A182,"ytd_total_return",'Database Query'!$E$14))</f>
        <v>#VALUE!</v>
      </c>
      <c r="K182" s="2" t="e" cm="1">
        <f t="array" aca="1" ref="K182" ca="1">-_xll.YCP($E182,"ytd_return",'Database Query'!$E$14)+J182</f>
        <v>#VALUE!</v>
      </c>
      <c r="L182" s="2" t="e" cm="1">
        <f t="array" aca="1" ref="L182" ca="1">_xlfn.IFS($B182="etf", _xll.YCP($A182,"one_year_total_return",'Database Query'!$E$14),$B182&lt;&gt;"etf",_xll.YCP("M:"&amp; $A182,"one_year_total_return",'Database Query'!$E$14))</f>
        <v>#VALUE!</v>
      </c>
      <c r="M182" s="2" t="e" cm="1">
        <f t="array" aca="1" ref="M182" ca="1">-_xll.YCP($E182,"one_year_return",'Database Query'!$E$14)+L182</f>
        <v>#VALUE!</v>
      </c>
      <c r="N182" s="2" t="e" cm="1">
        <f t="array" aca="1" ref="N182" ca="1">_xlfn.IFS($B182="etf", _xll.YCP($A182,"three_year_total_return",'Database Query'!$E$14),$B182&lt;&gt;"etf",_xll.YCP("M:"&amp; $A182,"three_year_total_return",'Database Query'!$E$14))</f>
        <v>#VALUE!</v>
      </c>
      <c r="O182" s="2" t="e" cm="1">
        <f t="array" aca="1" ref="O182" ca="1">-_xll.YCP($E182,"three_year_return",'Database Query'!$E$14)+N182</f>
        <v>#VALUE!</v>
      </c>
      <c r="P182" s="2" t="e" cm="1">
        <f t="array" aca="1" ref="P182" ca="1">_xlfn.IFS($B182="etf", _xll.YCP($A182,"five_year_total_return",'Database Query'!$E$14),$B182&lt;&gt;"etf",_xll.YCP("M:"&amp; $A182,"five_year_total_return",'Database Query'!$E$14))</f>
        <v>#VALUE!</v>
      </c>
      <c r="Q182" s="2" t="e" cm="1">
        <f t="array" aca="1" ref="Q182" ca="1">-_xll.YCP($E182,"five_year_return",'Database Query'!$E$14)+P182</f>
        <v>#VALUE!</v>
      </c>
    </row>
    <row r="183" spans="1:17" x14ac:dyDescent="0.25">
      <c r="A183" t="str">
        <v>OIGIX</v>
      </c>
      <c r="B183" t="e" cm="1">
        <f t="array" aca="1" ref="B183" ca="1">_xll.YCI(A183,"detailed_security_type",TODAY())</f>
        <v>#VALUE!</v>
      </c>
      <c r="C183" t="e" cm="1">
        <f t="array" aca="1" ref="C183" ca="1">_xlfn.IFS(B183="etf", _xll.YCI(A183, "security_name",TODAY()),B183&lt;&gt;"etf",_xll.YCI("M:" &amp; A183, "security_name",TODAY()))</f>
        <v>#VALUE!</v>
      </c>
      <c r="D183" t="e" cm="1">
        <f t="array" aca="1" ref="D183" ca="1">_xlfn.IFS($B183="etf", _xll.YCI($A183, "ycharts_benchmark_category",TODAY()),$B183&lt;&gt;"etf",_xll.YCI("M:" &amp; $A183, "ycharts_benchmark_category",TODAY()))</f>
        <v>#VALUE!</v>
      </c>
      <c r="E183" t="e" cm="1">
        <f t="array" aca="1" ref="E183" ca="1">_xlfn.IFS($B183="etf", _xll.YCI($A183, "ycharts_benchmark_index_symbol",TODAY()),$B183&lt;&gt;"etf",_xll.YCI("M:" &amp; $A183, "ycharts_benchmark_index_symbol",TODAY()))</f>
        <v>#VALUE!</v>
      </c>
      <c r="F183" t="e" cm="1">
        <f t="array" aca="1" ref="F183" ca="1">_xlfn.IFS($B183="etf", _xll.YCI($E183, "security_name",TODAY()),$B183&lt;&gt;"etf",_xll.YCI( $E183, "security_name",TODAY()))</f>
        <v>#VALUE!</v>
      </c>
      <c r="G183" t="e" cm="1">
        <f t="array" aca="1" ref="G183" ca="1">_xlfn.IFS($B183="etf", _xll.YCI($A183, "prospectus_benchmark_index",TODAY()),$B183&lt;&gt;"etf",_xll.YCI("M:" &amp; $A183, "prospectus_benchmark_index",TODAY()))</f>
        <v>#VALUE!</v>
      </c>
      <c r="H183" s="2" t="e" cm="1">
        <f t="array" aca="1" ref="H183" ca="1">_xlfn.IFS($B183="etf", _xll.YCP($A183,"quarterly_total_return",'Database Query'!$E$14),$B183&lt;&gt;"etf",_xll.YCP("M:"&amp; $A183,"quarterly_total_return",'Database Query'!$E$14))</f>
        <v>#VALUE!</v>
      </c>
      <c r="I183" s="2" t="e" cm="1">
        <f t="array" aca="1" ref="I183" ca="1">-_xll.YCP($E183,"quarterly_return",'Database Query'!$E$14)+H183</f>
        <v>#VALUE!</v>
      </c>
      <c r="J183" s="2" t="e" cm="1">
        <f t="array" aca="1" ref="J183" ca="1">_xlfn.IFS($B183="etf", _xll.YCP($A183,"ytd_total_return",'Database Query'!$E$14),$B183&lt;&gt;"etf",_xll.YCP("M:"&amp; $A183,"ytd_total_return",'Database Query'!$E$14))</f>
        <v>#VALUE!</v>
      </c>
      <c r="K183" s="2" t="e" cm="1">
        <f t="array" aca="1" ref="K183" ca="1">-_xll.YCP($E183,"ytd_return",'Database Query'!$E$14)+J183</f>
        <v>#VALUE!</v>
      </c>
      <c r="L183" s="2" t="e" cm="1">
        <f t="array" aca="1" ref="L183" ca="1">_xlfn.IFS($B183="etf", _xll.YCP($A183,"one_year_total_return",'Database Query'!$E$14),$B183&lt;&gt;"etf",_xll.YCP("M:"&amp; $A183,"one_year_total_return",'Database Query'!$E$14))</f>
        <v>#VALUE!</v>
      </c>
      <c r="M183" s="2" t="e" cm="1">
        <f t="array" aca="1" ref="M183" ca="1">-_xll.YCP($E183,"one_year_return",'Database Query'!$E$14)+L183</f>
        <v>#VALUE!</v>
      </c>
      <c r="N183" s="2" t="e" cm="1">
        <f t="array" aca="1" ref="N183" ca="1">_xlfn.IFS($B183="etf", _xll.YCP($A183,"three_year_total_return",'Database Query'!$E$14),$B183&lt;&gt;"etf",_xll.YCP("M:"&amp; $A183,"three_year_total_return",'Database Query'!$E$14))</f>
        <v>#VALUE!</v>
      </c>
      <c r="O183" s="2" t="e" cm="1">
        <f t="array" aca="1" ref="O183" ca="1">-_xll.YCP($E183,"three_year_return",'Database Query'!$E$14)+N183</f>
        <v>#VALUE!</v>
      </c>
      <c r="P183" s="2" t="e" cm="1">
        <f t="array" aca="1" ref="P183" ca="1">_xlfn.IFS($B183="etf", _xll.YCP($A183,"five_year_total_return",'Database Query'!$E$14),$B183&lt;&gt;"etf",_xll.YCP("M:"&amp; $A183,"five_year_total_return",'Database Query'!$E$14))</f>
        <v>#VALUE!</v>
      </c>
      <c r="Q183" s="2" t="e" cm="1">
        <f t="array" aca="1" ref="Q183" ca="1">-_xll.YCP($E183,"five_year_return",'Database Query'!$E$14)+P183</f>
        <v>#VALUE!</v>
      </c>
    </row>
    <row r="184" spans="1:17" x14ac:dyDescent="0.25">
      <c r="A184" t="str">
        <v>OIGYX</v>
      </c>
      <c r="B184" t="e" cm="1">
        <f t="array" aca="1" ref="B184" ca="1">_xll.YCI(A184,"detailed_security_type",TODAY())</f>
        <v>#VALUE!</v>
      </c>
      <c r="C184" t="e" cm="1">
        <f t="array" aca="1" ref="C184" ca="1">_xlfn.IFS(B184="etf", _xll.YCI(A184, "security_name",TODAY()),B184&lt;&gt;"etf",_xll.YCI("M:" &amp; A184, "security_name",TODAY()))</f>
        <v>#VALUE!</v>
      </c>
      <c r="D184" t="e" cm="1">
        <f t="array" aca="1" ref="D184" ca="1">_xlfn.IFS($B184="etf", _xll.YCI($A184, "ycharts_benchmark_category",TODAY()),$B184&lt;&gt;"etf",_xll.YCI("M:" &amp; $A184, "ycharts_benchmark_category",TODAY()))</f>
        <v>#VALUE!</v>
      </c>
      <c r="E184" t="e" cm="1">
        <f t="array" aca="1" ref="E184" ca="1">_xlfn.IFS($B184="etf", _xll.YCI($A184, "ycharts_benchmark_index_symbol",TODAY()),$B184&lt;&gt;"etf",_xll.YCI("M:" &amp; $A184, "ycharts_benchmark_index_symbol",TODAY()))</f>
        <v>#VALUE!</v>
      </c>
      <c r="F184" t="e" cm="1">
        <f t="array" aca="1" ref="F184" ca="1">_xlfn.IFS($B184="etf", _xll.YCI($E184, "security_name",TODAY()),$B184&lt;&gt;"etf",_xll.YCI( $E184, "security_name",TODAY()))</f>
        <v>#VALUE!</v>
      </c>
      <c r="G184" t="e" cm="1">
        <f t="array" aca="1" ref="G184" ca="1">_xlfn.IFS($B184="etf", _xll.YCI($A184, "prospectus_benchmark_index",TODAY()),$B184&lt;&gt;"etf",_xll.YCI("M:" &amp; $A184, "prospectus_benchmark_index",TODAY()))</f>
        <v>#VALUE!</v>
      </c>
      <c r="H184" s="2" t="e" cm="1">
        <f t="array" aca="1" ref="H184" ca="1">_xlfn.IFS($B184="etf", _xll.YCP($A184,"quarterly_total_return",'Database Query'!$E$14),$B184&lt;&gt;"etf",_xll.YCP("M:"&amp; $A184,"quarterly_total_return",'Database Query'!$E$14))</f>
        <v>#VALUE!</v>
      </c>
      <c r="I184" s="2" t="e" cm="1">
        <f t="array" aca="1" ref="I184" ca="1">-_xll.YCP($E184,"quarterly_return",'Database Query'!$E$14)+H184</f>
        <v>#VALUE!</v>
      </c>
      <c r="J184" s="2" t="e" cm="1">
        <f t="array" aca="1" ref="J184" ca="1">_xlfn.IFS($B184="etf", _xll.YCP($A184,"ytd_total_return",'Database Query'!$E$14),$B184&lt;&gt;"etf",_xll.YCP("M:"&amp; $A184,"ytd_total_return",'Database Query'!$E$14))</f>
        <v>#VALUE!</v>
      </c>
      <c r="K184" s="2" t="e" cm="1">
        <f t="array" aca="1" ref="K184" ca="1">-_xll.YCP($E184,"ytd_return",'Database Query'!$E$14)+J184</f>
        <v>#VALUE!</v>
      </c>
      <c r="L184" s="2" t="e" cm="1">
        <f t="array" aca="1" ref="L184" ca="1">_xlfn.IFS($B184="etf", _xll.YCP($A184,"one_year_total_return",'Database Query'!$E$14),$B184&lt;&gt;"etf",_xll.YCP("M:"&amp; $A184,"one_year_total_return",'Database Query'!$E$14))</f>
        <v>#VALUE!</v>
      </c>
      <c r="M184" s="2" t="e" cm="1">
        <f t="array" aca="1" ref="M184" ca="1">-_xll.YCP($E184,"one_year_return",'Database Query'!$E$14)+L184</f>
        <v>#VALUE!</v>
      </c>
      <c r="N184" s="2" t="e" cm="1">
        <f t="array" aca="1" ref="N184" ca="1">_xlfn.IFS($B184="etf", _xll.YCP($A184,"three_year_total_return",'Database Query'!$E$14),$B184&lt;&gt;"etf",_xll.YCP("M:"&amp; $A184,"three_year_total_return",'Database Query'!$E$14))</f>
        <v>#VALUE!</v>
      </c>
      <c r="O184" s="2" t="e" cm="1">
        <f t="array" aca="1" ref="O184" ca="1">-_xll.YCP($E184,"three_year_return",'Database Query'!$E$14)+N184</f>
        <v>#VALUE!</v>
      </c>
      <c r="P184" s="2" t="e" cm="1">
        <f t="array" aca="1" ref="P184" ca="1">_xlfn.IFS($B184="etf", _xll.YCP($A184,"five_year_total_return",'Database Query'!$E$14),$B184&lt;&gt;"etf",_xll.YCP("M:"&amp; $A184,"five_year_total_return",'Database Query'!$E$14))</f>
        <v>#VALUE!</v>
      </c>
      <c r="Q184" s="2" t="e" cm="1">
        <f t="array" aca="1" ref="Q184" ca="1">-_xll.YCP($E184,"five_year_return",'Database Query'!$E$14)+P184</f>
        <v>#VALUE!</v>
      </c>
    </row>
    <row r="185" spans="1:17" x14ac:dyDescent="0.25">
      <c r="A185" t="str">
        <v>ORIAX</v>
      </c>
      <c r="B185" t="e" cm="1">
        <f t="array" aca="1" ref="B185" ca="1">_xll.YCI(A185,"detailed_security_type",TODAY())</f>
        <v>#VALUE!</v>
      </c>
      <c r="C185" t="e" cm="1">
        <f t="array" aca="1" ref="C185" ca="1">_xlfn.IFS(B185="etf", _xll.YCI(A185, "security_name",TODAY()),B185&lt;&gt;"etf",_xll.YCI("M:" &amp; A185, "security_name",TODAY()))</f>
        <v>#VALUE!</v>
      </c>
      <c r="D185" t="e" cm="1">
        <f t="array" aca="1" ref="D185" ca="1">_xlfn.IFS($B185="etf", _xll.YCI($A185, "ycharts_benchmark_category",TODAY()),$B185&lt;&gt;"etf",_xll.YCI("M:" &amp; $A185, "ycharts_benchmark_category",TODAY()))</f>
        <v>#VALUE!</v>
      </c>
      <c r="E185" t="e" cm="1">
        <f t="array" aca="1" ref="E185" ca="1">_xlfn.IFS($B185="etf", _xll.YCI($A185, "ycharts_benchmark_index_symbol",TODAY()),$B185&lt;&gt;"etf",_xll.YCI("M:" &amp; $A185, "ycharts_benchmark_index_symbol",TODAY()))</f>
        <v>#VALUE!</v>
      </c>
      <c r="F185" t="e" cm="1">
        <f t="array" aca="1" ref="F185" ca="1">_xlfn.IFS($B185="etf", _xll.YCI($E185, "security_name",TODAY()),$B185&lt;&gt;"etf",_xll.YCI( $E185, "security_name",TODAY()))</f>
        <v>#VALUE!</v>
      </c>
      <c r="G185" t="e" cm="1">
        <f t="array" aca="1" ref="G185" ca="1">_xlfn.IFS($B185="etf", _xll.YCI($A185, "prospectus_benchmark_index",TODAY()),$B185&lt;&gt;"etf",_xll.YCI("M:" &amp; $A185, "prospectus_benchmark_index",TODAY()))</f>
        <v>#VALUE!</v>
      </c>
      <c r="H185" s="2" t="e" cm="1">
        <f t="array" aca="1" ref="H185" ca="1">_xlfn.IFS($B185="etf", _xll.YCP($A185,"quarterly_total_return",'Database Query'!$E$14),$B185&lt;&gt;"etf",_xll.YCP("M:"&amp; $A185,"quarterly_total_return",'Database Query'!$E$14))</f>
        <v>#VALUE!</v>
      </c>
      <c r="I185" s="2" t="e" cm="1">
        <f t="array" aca="1" ref="I185" ca="1">-_xll.YCP($E185,"quarterly_return",'Database Query'!$E$14)+H185</f>
        <v>#VALUE!</v>
      </c>
      <c r="J185" s="2" t="e" cm="1">
        <f t="array" aca="1" ref="J185" ca="1">_xlfn.IFS($B185="etf", _xll.YCP($A185,"ytd_total_return",'Database Query'!$E$14),$B185&lt;&gt;"etf",_xll.YCP("M:"&amp; $A185,"ytd_total_return",'Database Query'!$E$14))</f>
        <v>#VALUE!</v>
      </c>
      <c r="K185" s="2" t="e" cm="1">
        <f t="array" aca="1" ref="K185" ca="1">-_xll.YCP($E185,"ytd_return",'Database Query'!$E$14)+J185</f>
        <v>#VALUE!</v>
      </c>
      <c r="L185" s="2" t="e" cm="1">
        <f t="array" aca="1" ref="L185" ca="1">_xlfn.IFS($B185="etf", _xll.YCP($A185,"one_year_total_return",'Database Query'!$E$14),$B185&lt;&gt;"etf",_xll.YCP("M:"&amp; $A185,"one_year_total_return",'Database Query'!$E$14))</f>
        <v>#VALUE!</v>
      </c>
      <c r="M185" s="2" t="e" cm="1">
        <f t="array" aca="1" ref="M185" ca="1">-_xll.YCP($E185,"one_year_return",'Database Query'!$E$14)+L185</f>
        <v>#VALUE!</v>
      </c>
      <c r="N185" s="2" t="e" cm="1">
        <f t="array" aca="1" ref="N185" ca="1">_xlfn.IFS($B185="etf", _xll.YCP($A185,"three_year_total_return",'Database Query'!$E$14),$B185&lt;&gt;"etf",_xll.YCP("M:"&amp; $A185,"three_year_total_return",'Database Query'!$E$14))</f>
        <v>#VALUE!</v>
      </c>
      <c r="O185" s="2" t="e" cm="1">
        <f t="array" aca="1" ref="O185" ca="1">-_xll.YCP($E185,"three_year_return",'Database Query'!$E$14)+N185</f>
        <v>#VALUE!</v>
      </c>
      <c r="P185" s="2" t="e" cm="1">
        <f t="array" aca="1" ref="P185" ca="1">_xlfn.IFS($B185="etf", _xll.YCP($A185,"five_year_total_return",'Database Query'!$E$14),$B185&lt;&gt;"etf",_xll.YCP("M:"&amp; $A185,"five_year_total_return",'Database Query'!$E$14))</f>
        <v>#VALUE!</v>
      </c>
      <c r="Q185" s="2" t="e" cm="1">
        <f t="array" aca="1" ref="Q185" ca="1">-_xll.YCP($E185,"five_year_return",'Database Query'!$E$14)+P185</f>
        <v>#VALUE!</v>
      </c>
    </row>
    <row r="186" spans="1:17" x14ac:dyDescent="0.25">
      <c r="A186" t="str">
        <v>OSTIX</v>
      </c>
      <c r="B186" t="e" cm="1">
        <f t="array" aca="1" ref="B186" ca="1">_xll.YCI(A186,"detailed_security_type",TODAY())</f>
        <v>#VALUE!</v>
      </c>
      <c r="C186" t="e" cm="1">
        <f t="array" aca="1" ref="C186" ca="1">_xlfn.IFS(B186="etf", _xll.YCI(A186, "security_name",TODAY()),B186&lt;&gt;"etf",_xll.YCI("M:" &amp; A186, "security_name",TODAY()))</f>
        <v>#VALUE!</v>
      </c>
      <c r="D186" t="e" cm="1">
        <f t="array" aca="1" ref="D186" ca="1">_xlfn.IFS($B186="etf", _xll.YCI($A186, "ycharts_benchmark_category",TODAY()),$B186&lt;&gt;"etf",_xll.YCI("M:" &amp; $A186, "ycharts_benchmark_category",TODAY()))</f>
        <v>#VALUE!</v>
      </c>
      <c r="E186" t="e" cm="1">
        <f t="array" aca="1" ref="E186" ca="1">_xlfn.IFS($B186="etf", _xll.YCI($A186, "ycharts_benchmark_index_symbol",TODAY()),$B186&lt;&gt;"etf",_xll.YCI("M:" &amp; $A186, "ycharts_benchmark_index_symbol",TODAY()))</f>
        <v>#VALUE!</v>
      </c>
      <c r="F186" t="e" cm="1">
        <f t="array" aca="1" ref="F186" ca="1">_xlfn.IFS($B186="etf", _xll.YCI($E186, "security_name",TODAY()),$B186&lt;&gt;"etf",_xll.YCI( $E186, "security_name",TODAY()))</f>
        <v>#VALUE!</v>
      </c>
      <c r="G186" t="e" cm="1">
        <f t="array" aca="1" ref="G186" ca="1">_xlfn.IFS($B186="etf", _xll.YCI($A186, "prospectus_benchmark_index",TODAY()),$B186&lt;&gt;"etf",_xll.YCI("M:" &amp; $A186, "prospectus_benchmark_index",TODAY()))</f>
        <v>#VALUE!</v>
      </c>
      <c r="H186" s="2" t="e" cm="1">
        <f t="array" aca="1" ref="H186" ca="1">_xlfn.IFS($B186="etf", _xll.YCP($A186,"quarterly_total_return",'Database Query'!$E$14),$B186&lt;&gt;"etf",_xll.YCP("M:"&amp; $A186,"quarterly_total_return",'Database Query'!$E$14))</f>
        <v>#VALUE!</v>
      </c>
      <c r="I186" s="2" t="e" cm="1">
        <f t="array" aca="1" ref="I186" ca="1">-_xll.YCP($E186,"quarterly_return",'Database Query'!$E$14)+H186</f>
        <v>#VALUE!</v>
      </c>
      <c r="J186" s="2" t="e" cm="1">
        <f t="array" aca="1" ref="J186" ca="1">_xlfn.IFS($B186="etf", _xll.YCP($A186,"ytd_total_return",'Database Query'!$E$14),$B186&lt;&gt;"etf",_xll.YCP("M:"&amp; $A186,"ytd_total_return",'Database Query'!$E$14))</f>
        <v>#VALUE!</v>
      </c>
      <c r="K186" s="2" t="e" cm="1">
        <f t="array" aca="1" ref="K186" ca="1">-_xll.YCP($E186,"ytd_return",'Database Query'!$E$14)+J186</f>
        <v>#VALUE!</v>
      </c>
      <c r="L186" s="2" t="e" cm="1">
        <f t="array" aca="1" ref="L186" ca="1">_xlfn.IFS($B186="etf", _xll.YCP($A186,"one_year_total_return",'Database Query'!$E$14),$B186&lt;&gt;"etf",_xll.YCP("M:"&amp; $A186,"one_year_total_return",'Database Query'!$E$14))</f>
        <v>#VALUE!</v>
      </c>
      <c r="M186" s="2" t="e" cm="1">
        <f t="array" aca="1" ref="M186" ca="1">-_xll.YCP($E186,"one_year_return",'Database Query'!$E$14)+L186</f>
        <v>#VALUE!</v>
      </c>
      <c r="N186" s="2" t="e" cm="1">
        <f t="array" aca="1" ref="N186" ca="1">_xlfn.IFS($B186="etf", _xll.YCP($A186,"three_year_total_return",'Database Query'!$E$14),$B186&lt;&gt;"etf",_xll.YCP("M:"&amp; $A186,"three_year_total_return",'Database Query'!$E$14))</f>
        <v>#VALUE!</v>
      </c>
      <c r="O186" s="2" t="e" cm="1">
        <f t="array" aca="1" ref="O186" ca="1">-_xll.YCP($E186,"three_year_return",'Database Query'!$E$14)+N186</f>
        <v>#VALUE!</v>
      </c>
      <c r="P186" s="2" t="e" cm="1">
        <f t="array" aca="1" ref="P186" ca="1">_xlfn.IFS($B186="etf", _xll.YCP($A186,"five_year_total_return",'Database Query'!$E$14),$B186&lt;&gt;"etf",_xll.YCP("M:"&amp; $A186,"five_year_total_return",'Database Query'!$E$14))</f>
        <v>#VALUE!</v>
      </c>
      <c r="Q186" s="2" t="e" cm="1">
        <f t="array" aca="1" ref="Q186" ca="1">-_xll.YCP($E186,"five_year_return",'Database Query'!$E$14)+P186</f>
        <v>#VALUE!</v>
      </c>
    </row>
    <row r="187" spans="1:17" x14ac:dyDescent="0.25">
      <c r="A187" t="str">
        <v>OTCAX</v>
      </c>
      <c r="B187" t="e" cm="1">
        <f t="array" aca="1" ref="B187" ca="1">_xll.YCI(A187,"detailed_security_type",TODAY())</f>
        <v>#VALUE!</v>
      </c>
      <c r="C187" t="e" cm="1">
        <f t="array" aca="1" ref="C187" ca="1">_xlfn.IFS(B187="etf", _xll.YCI(A187, "security_name",TODAY()),B187&lt;&gt;"etf",_xll.YCI("M:" &amp; A187, "security_name",TODAY()))</f>
        <v>#VALUE!</v>
      </c>
      <c r="D187" t="e" cm="1">
        <f t="array" aca="1" ref="D187" ca="1">_xlfn.IFS($B187="etf", _xll.YCI($A187, "ycharts_benchmark_category",TODAY()),$B187&lt;&gt;"etf",_xll.YCI("M:" &amp; $A187, "ycharts_benchmark_category",TODAY()))</f>
        <v>#VALUE!</v>
      </c>
      <c r="E187" t="e" cm="1">
        <f t="array" aca="1" ref="E187" ca="1">_xlfn.IFS($B187="etf", _xll.YCI($A187, "ycharts_benchmark_index_symbol",TODAY()),$B187&lt;&gt;"etf",_xll.YCI("M:" &amp; $A187, "ycharts_benchmark_index_symbol",TODAY()))</f>
        <v>#VALUE!</v>
      </c>
      <c r="F187" t="e" cm="1">
        <f t="array" aca="1" ref="F187" ca="1">_xlfn.IFS($B187="etf", _xll.YCI($E187, "security_name",TODAY()),$B187&lt;&gt;"etf",_xll.YCI( $E187, "security_name",TODAY()))</f>
        <v>#VALUE!</v>
      </c>
      <c r="G187" t="e" cm="1">
        <f t="array" aca="1" ref="G187" ca="1">_xlfn.IFS($B187="etf", _xll.YCI($A187, "prospectus_benchmark_index",TODAY()),$B187&lt;&gt;"etf",_xll.YCI("M:" &amp; $A187, "prospectus_benchmark_index",TODAY()))</f>
        <v>#VALUE!</v>
      </c>
      <c r="H187" s="2" t="e" cm="1">
        <f t="array" aca="1" ref="H187" ca="1">_xlfn.IFS($B187="etf", _xll.YCP($A187,"quarterly_total_return",'Database Query'!$E$14),$B187&lt;&gt;"etf",_xll.YCP("M:"&amp; $A187,"quarterly_total_return",'Database Query'!$E$14))</f>
        <v>#VALUE!</v>
      </c>
      <c r="I187" s="2" t="e" cm="1">
        <f t="array" aca="1" ref="I187" ca="1">-_xll.YCP($E187,"quarterly_return",'Database Query'!$E$14)+H187</f>
        <v>#VALUE!</v>
      </c>
      <c r="J187" s="2" t="e" cm="1">
        <f t="array" aca="1" ref="J187" ca="1">_xlfn.IFS($B187="etf", _xll.YCP($A187,"ytd_total_return",'Database Query'!$E$14),$B187&lt;&gt;"etf",_xll.YCP("M:"&amp; $A187,"ytd_total_return",'Database Query'!$E$14))</f>
        <v>#VALUE!</v>
      </c>
      <c r="K187" s="2" t="e" cm="1">
        <f t="array" aca="1" ref="K187" ca="1">-_xll.YCP($E187,"ytd_return",'Database Query'!$E$14)+J187</f>
        <v>#VALUE!</v>
      </c>
      <c r="L187" s="2" t="e" cm="1">
        <f t="array" aca="1" ref="L187" ca="1">_xlfn.IFS($B187="etf", _xll.YCP($A187,"one_year_total_return",'Database Query'!$E$14),$B187&lt;&gt;"etf",_xll.YCP("M:"&amp; $A187,"one_year_total_return",'Database Query'!$E$14))</f>
        <v>#VALUE!</v>
      </c>
      <c r="M187" s="2" t="e" cm="1">
        <f t="array" aca="1" ref="M187" ca="1">-_xll.YCP($E187,"one_year_return",'Database Query'!$E$14)+L187</f>
        <v>#VALUE!</v>
      </c>
      <c r="N187" s="2" t="e" cm="1">
        <f t="array" aca="1" ref="N187" ca="1">_xlfn.IFS($B187="etf", _xll.YCP($A187,"three_year_total_return",'Database Query'!$E$14),$B187&lt;&gt;"etf",_xll.YCP("M:"&amp; $A187,"three_year_total_return",'Database Query'!$E$14))</f>
        <v>#VALUE!</v>
      </c>
      <c r="O187" s="2" t="e" cm="1">
        <f t="array" aca="1" ref="O187" ca="1">-_xll.YCP($E187,"three_year_return",'Database Query'!$E$14)+N187</f>
        <v>#VALUE!</v>
      </c>
      <c r="P187" s="2" t="e" cm="1">
        <f t="array" aca="1" ref="P187" ca="1">_xlfn.IFS($B187="etf", _xll.YCP($A187,"five_year_total_return",'Database Query'!$E$14),$B187&lt;&gt;"etf",_xll.YCP("M:"&amp; $A187,"five_year_total_return",'Database Query'!$E$14))</f>
        <v>#VALUE!</v>
      </c>
      <c r="Q187" s="2" t="e" cm="1">
        <f t="array" aca="1" ref="Q187" ca="1">-_xll.YCP($E187,"five_year_return",'Database Query'!$E$14)+P187</f>
        <v>#VALUE!</v>
      </c>
    </row>
    <row r="188" spans="1:17" x14ac:dyDescent="0.25">
      <c r="A188" t="str">
        <v>OTCIX</v>
      </c>
      <c r="B188" t="e" cm="1">
        <f t="array" aca="1" ref="B188" ca="1">_xll.YCI(A188,"detailed_security_type",TODAY())</f>
        <v>#VALUE!</v>
      </c>
      <c r="C188" t="e" cm="1">
        <f t="array" aca="1" ref="C188" ca="1">_xlfn.IFS(B188="etf", _xll.YCI(A188, "security_name",TODAY()),B188&lt;&gt;"etf",_xll.YCI("M:" &amp; A188, "security_name",TODAY()))</f>
        <v>#VALUE!</v>
      </c>
      <c r="D188" t="e" cm="1">
        <f t="array" aca="1" ref="D188" ca="1">_xlfn.IFS($B188="etf", _xll.YCI($A188, "ycharts_benchmark_category",TODAY()),$B188&lt;&gt;"etf",_xll.YCI("M:" &amp; $A188, "ycharts_benchmark_category",TODAY()))</f>
        <v>#VALUE!</v>
      </c>
      <c r="E188" t="e" cm="1">
        <f t="array" aca="1" ref="E188" ca="1">_xlfn.IFS($B188="etf", _xll.YCI($A188, "ycharts_benchmark_index_symbol",TODAY()),$B188&lt;&gt;"etf",_xll.YCI("M:" &amp; $A188, "ycharts_benchmark_index_symbol",TODAY()))</f>
        <v>#VALUE!</v>
      </c>
      <c r="F188" t="e" cm="1">
        <f t="array" aca="1" ref="F188" ca="1">_xlfn.IFS($B188="etf", _xll.YCI($E188, "security_name",TODAY()),$B188&lt;&gt;"etf",_xll.YCI( $E188, "security_name",TODAY()))</f>
        <v>#VALUE!</v>
      </c>
      <c r="G188" t="e" cm="1">
        <f t="array" aca="1" ref="G188" ca="1">_xlfn.IFS($B188="etf", _xll.YCI($A188, "prospectus_benchmark_index",TODAY()),$B188&lt;&gt;"etf",_xll.YCI("M:" &amp; $A188, "prospectus_benchmark_index",TODAY()))</f>
        <v>#VALUE!</v>
      </c>
      <c r="H188" s="2" t="e" cm="1">
        <f t="array" aca="1" ref="H188" ca="1">_xlfn.IFS($B188="etf", _xll.YCP($A188,"quarterly_total_return",'Database Query'!$E$14),$B188&lt;&gt;"etf",_xll.YCP("M:"&amp; $A188,"quarterly_total_return",'Database Query'!$E$14))</f>
        <v>#VALUE!</v>
      </c>
      <c r="I188" s="2" t="e" cm="1">
        <f t="array" aca="1" ref="I188" ca="1">-_xll.YCP($E188,"quarterly_return",'Database Query'!$E$14)+H188</f>
        <v>#VALUE!</v>
      </c>
      <c r="J188" s="2" t="e" cm="1">
        <f t="array" aca="1" ref="J188" ca="1">_xlfn.IFS($B188="etf", _xll.YCP($A188,"ytd_total_return",'Database Query'!$E$14),$B188&lt;&gt;"etf",_xll.YCP("M:"&amp; $A188,"ytd_total_return",'Database Query'!$E$14))</f>
        <v>#VALUE!</v>
      </c>
      <c r="K188" s="2" t="e" cm="1">
        <f t="array" aca="1" ref="K188" ca="1">-_xll.YCP($E188,"ytd_return",'Database Query'!$E$14)+J188</f>
        <v>#VALUE!</v>
      </c>
      <c r="L188" s="2" t="e" cm="1">
        <f t="array" aca="1" ref="L188" ca="1">_xlfn.IFS($B188="etf", _xll.YCP($A188,"one_year_total_return",'Database Query'!$E$14),$B188&lt;&gt;"etf",_xll.YCP("M:"&amp; $A188,"one_year_total_return",'Database Query'!$E$14))</f>
        <v>#VALUE!</v>
      </c>
      <c r="M188" s="2" t="e" cm="1">
        <f t="array" aca="1" ref="M188" ca="1">-_xll.YCP($E188,"one_year_return",'Database Query'!$E$14)+L188</f>
        <v>#VALUE!</v>
      </c>
      <c r="N188" s="2" t="e" cm="1">
        <f t="array" aca="1" ref="N188" ca="1">_xlfn.IFS($B188="etf", _xll.YCP($A188,"three_year_total_return",'Database Query'!$E$14),$B188&lt;&gt;"etf",_xll.YCP("M:"&amp; $A188,"three_year_total_return",'Database Query'!$E$14))</f>
        <v>#VALUE!</v>
      </c>
      <c r="O188" s="2" t="e" cm="1">
        <f t="array" aca="1" ref="O188" ca="1">-_xll.YCP($E188,"three_year_return",'Database Query'!$E$14)+N188</f>
        <v>#VALUE!</v>
      </c>
      <c r="P188" s="2" t="e" cm="1">
        <f t="array" aca="1" ref="P188" ca="1">_xlfn.IFS($B188="etf", _xll.YCP($A188,"five_year_total_return",'Database Query'!$E$14),$B188&lt;&gt;"etf",_xll.YCP("M:"&amp; $A188,"five_year_total_return",'Database Query'!$E$14))</f>
        <v>#VALUE!</v>
      </c>
      <c r="Q188" s="2" t="e" cm="1">
        <f t="array" aca="1" ref="Q188" ca="1">-_xll.YCP($E188,"five_year_return",'Database Query'!$E$14)+P188</f>
        <v>#VALUE!</v>
      </c>
    </row>
    <row r="189" spans="1:17" x14ac:dyDescent="0.25">
      <c r="A189" t="str">
        <v>PAVE</v>
      </c>
      <c r="B189" t="str" cm="1">
        <f t="array" aca="1" ref="B189" ca="1">_xll.YCI(A189,"detailed_security_type",TODAY())</f>
        <v>etf</v>
      </c>
      <c r="C189" t="str" cm="1">
        <f t="array" aca="1" ref="C189" ca="1">_xlfn.IFS(B189="etf", _xll.YCI(A189, "security_name",TODAY()),B189&lt;&gt;"etf",_xll.YCI("M:" &amp; A189, "security_name",TODAY()))</f>
        <v>Global X US Infrastructure Development ETF</v>
      </c>
      <c r="D189" t="str" cm="1">
        <f t="array" aca="1" ref="D189" ca="1">_xlfn.IFS($B189="etf", _xll.YCI($A189, "ycharts_benchmark_category",TODAY()),$B189&lt;&gt;"etf",_xll.YCI("M:" &amp; $A189, "ycharts_benchmark_category",TODAY()))</f>
        <v>Industrials Equity</v>
      </c>
      <c r="E189" t="str" cm="1">
        <f t="array" aca="1" ref="E189" ca="1">_xlfn.IFS($B189="etf", _xll.YCI($A189, "ycharts_benchmark_index_symbol",TODAY()),$B189&lt;&gt;"etf",_xll.YCI("M:" &amp; $A189, "ycharts_benchmark_index_symbol",TODAY()))</f>
        <v>^SP15INSTR</v>
      </c>
      <c r="F189" t="str" cm="1">
        <f t="array" aca="1" ref="F189" ca="1">_xlfn.IFS($B189="etf", _xll.YCI($E189, "security_name",TODAY()),$B189&lt;&gt;"etf",_xll.YCI( $E189, "security_name",TODAY()))</f>
        <v>S&amp;P 1500 Industrials (Sector) Total Return</v>
      </c>
      <c r="G189" t="str" cm="1">
        <f t="array" aca="1" ref="G189" ca="1">_xlfn.IFS($B189="etf", _xll.YCI($A189, "prospectus_benchmark_index",TODAY()),$B189&lt;&gt;"etf",_xll.YCI("M:" &amp; $A189, "prospectus_benchmark_index",TODAY()))</f>
        <v>Indxx U.S. Infrastructure Dev TR USD</v>
      </c>
      <c r="H189" s="2" cm="1">
        <f t="array" aca="1" ref="H189" ca="1">_xlfn.IFS($B189="etf", _xll.YCP($A189,"quarterly_total_return",'Database Query'!$E$14),$B189&lt;&gt;"etf",_xll.YCP("M:"&amp; $A189,"quarterly_total_return",'Database Query'!$E$14))</f>
        <v>-1.4834999999999999E-2</v>
      </c>
      <c r="I189" s="2" cm="1">
        <f t="array" aca="1" ref="I189" ca="1">-_xll.YCP($E189,"quarterly_return",'Database Query'!$E$14)+H189</f>
        <v>4.7040000000000016E-3</v>
      </c>
      <c r="J189" s="2" cm="1">
        <f t="array" aca="1" ref="J189" ca="1">_xlfn.IFS($B189="etf", _xll.YCP($A189,"ytd_total_return",'Database Query'!$E$14),$B189&lt;&gt;"etf",_xll.YCP("M:"&amp; $A189,"ytd_total_return",'Database Query'!$E$14))</f>
        <v>0.17926</v>
      </c>
      <c r="K189" s="2" cm="1">
        <f t="array" aca="1" ref="K189" ca="1">-_xll.YCP($E189,"ytd_return",'Database Query'!$E$14)+J189</f>
        <v>9.8449999999999926E-3</v>
      </c>
      <c r="L189" s="2" cm="1">
        <f t="array" aca="1" ref="L189" ca="1">_xlfn.IFS($B189="etf", _xll.YCP($A189,"one_year_total_return",'Database Query'!$E$14),$B189&lt;&gt;"etf",_xll.YCP("M:"&amp; $A189,"one_year_total_return",'Database Query'!$E$14))</f>
        <v>0.17926</v>
      </c>
      <c r="M189" s="2" cm="1">
        <f t="array" aca="1" ref="M189" ca="1">-_xll.YCP($E189,"one_year_return",'Database Query'!$E$14)+L189</f>
        <v>9.8449999999999926E-3</v>
      </c>
      <c r="N189" s="2" cm="1">
        <f t="array" aca="1" ref="N189" ca="1">_xlfn.IFS($B189="etf", _xll.YCP($A189,"three_year_total_return",'Database Query'!$E$14),$B189&lt;&gt;"etf",_xll.YCP("M:"&amp; $A189,"three_year_total_return",'Database Query'!$E$14))</f>
        <v>0.43407299999999999</v>
      </c>
      <c r="O189" s="2" cm="1">
        <f t="array" aca="1" ref="O189" ca="1">-_xll.YCP($E189,"three_year_return",'Database Query'!$E$14)+N189</f>
        <v>0.11685299999999998</v>
      </c>
      <c r="P189" s="2" cm="1">
        <f t="array" aca="1" ref="P189" ca="1">_xlfn.IFS($B189="etf", _xll.YCP($A189,"five_year_total_return",'Database Query'!$E$14),$B189&lt;&gt;"etf",_xll.YCP("M:"&amp; $A189,"five_year_total_return",'Database Query'!$E$14))</f>
        <v>1.342006</v>
      </c>
      <c r="Q189" s="2" cm="1">
        <f t="array" aca="1" ref="Q189" ca="1">-_xll.YCP($E189,"five_year_return",'Database Query'!$E$14)+P189</f>
        <v>0.54445700000000008</v>
      </c>
    </row>
    <row r="190" spans="1:17" x14ac:dyDescent="0.25">
      <c r="A190" t="str">
        <v>PCLIX</v>
      </c>
      <c r="B190" t="e" cm="1">
        <f t="array" aca="1" ref="B190" ca="1">_xll.YCI(A190,"detailed_security_type",TODAY())</f>
        <v>#VALUE!</v>
      </c>
      <c r="C190" t="e" cm="1">
        <f t="array" aca="1" ref="C190" ca="1">_xlfn.IFS(B190="etf", _xll.YCI(A190, "security_name",TODAY()),B190&lt;&gt;"etf",_xll.YCI("M:" &amp; A190, "security_name",TODAY()))</f>
        <v>#VALUE!</v>
      </c>
      <c r="D190" t="e" cm="1">
        <f t="array" aca="1" ref="D190" ca="1">_xlfn.IFS($B190="etf", _xll.YCI($A190, "ycharts_benchmark_category",TODAY()),$B190&lt;&gt;"etf",_xll.YCI("M:" &amp; $A190, "ycharts_benchmark_category",TODAY()))</f>
        <v>#VALUE!</v>
      </c>
      <c r="E190" t="e" cm="1">
        <f t="array" aca="1" ref="E190" ca="1">_xlfn.IFS($B190="etf", _xll.YCI($A190, "ycharts_benchmark_index_symbol",TODAY()),$B190&lt;&gt;"etf",_xll.YCI("M:" &amp; $A190, "ycharts_benchmark_index_symbol",TODAY()))</f>
        <v>#VALUE!</v>
      </c>
      <c r="F190" t="e" cm="1">
        <f t="array" aca="1" ref="F190" ca="1">_xlfn.IFS($B190="etf", _xll.YCI($E190, "security_name",TODAY()),$B190&lt;&gt;"etf",_xll.YCI( $E190, "security_name",TODAY()))</f>
        <v>#VALUE!</v>
      </c>
      <c r="G190" t="e" cm="1">
        <f t="array" aca="1" ref="G190" ca="1">_xlfn.IFS($B190="etf", _xll.YCI($A190, "prospectus_benchmark_index",TODAY()),$B190&lt;&gt;"etf",_xll.YCI("M:" &amp; $A190, "prospectus_benchmark_index",TODAY()))</f>
        <v>#VALUE!</v>
      </c>
      <c r="H190" s="2" t="e" cm="1">
        <f t="array" aca="1" ref="H190" ca="1">_xlfn.IFS($B190="etf", _xll.YCP($A190,"quarterly_total_return",'Database Query'!$E$14),$B190&lt;&gt;"etf",_xll.YCP("M:"&amp; $A190,"quarterly_total_return",'Database Query'!$E$14))</f>
        <v>#VALUE!</v>
      </c>
      <c r="I190" s="2" t="e" cm="1">
        <f t="array" aca="1" ref="I190" ca="1">-_xll.YCP($E190,"quarterly_return",'Database Query'!$E$14)+H190</f>
        <v>#VALUE!</v>
      </c>
      <c r="J190" s="2" t="e" cm="1">
        <f t="array" aca="1" ref="J190" ca="1">_xlfn.IFS($B190="etf", _xll.YCP($A190,"ytd_total_return",'Database Query'!$E$14),$B190&lt;&gt;"etf",_xll.YCP("M:"&amp; $A190,"ytd_total_return",'Database Query'!$E$14))</f>
        <v>#VALUE!</v>
      </c>
      <c r="K190" s="2" t="e" cm="1">
        <f t="array" aca="1" ref="K190" ca="1">-_xll.YCP($E190,"ytd_return",'Database Query'!$E$14)+J190</f>
        <v>#VALUE!</v>
      </c>
      <c r="L190" s="2" t="e" cm="1">
        <f t="array" aca="1" ref="L190" ca="1">_xlfn.IFS($B190="etf", _xll.YCP($A190,"one_year_total_return",'Database Query'!$E$14),$B190&lt;&gt;"etf",_xll.YCP("M:"&amp; $A190,"one_year_total_return",'Database Query'!$E$14))</f>
        <v>#VALUE!</v>
      </c>
      <c r="M190" s="2" t="e" cm="1">
        <f t="array" aca="1" ref="M190" ca="1">-_xll.YCP($E190,"one_year_return",'Database Query'!$E$14)+L190</f>
        <v>#VALUE!</v>
      </c>
      <c r="N190" s="2" t="e" cm="1">
        <f t="array" aca="1" ref="N190" ca="1">_xlfn.IFS($B190="etf", _xll.YCP($A190,"three_year_total_return",'Database Query'!$E$14),$B190&lt;&gt;"etf",_xll.YCP("M:"&amp; $A190,"three_year_total_return",'Database Query'!$E$14))</f>
        <v>#VALUE!</v>
      </c>
      <c r="O190" s="2" t="e" cm="1">
        <f t="array" aca="1" ref="O190" ca="1">-_xll.YCP($E190,"three_year_return",'Database Query'!$E$14)+N190</f>
        <v>#VALUE!</v>
      </c>
      <c r="P190" s="2" t="e" cm="1">
        <f t="array" aca="1" ref="P190" ca="1">_xlfn.IFS($B190="etf", _xll.YCP($A190,"five_year_total_return",'Database Query'!$E$14),$B190&lt;&gt;"etf",_xll.YCP("M:"&amp; $A190,"five_year_total_return",'Database Query'!$E$14))</f>
        <v>#VALUE!</v>
      </c>
      <c r="Q190" s="2" t="e" cm="1">
        <f t="array" aca="1" ref="Q190" ca="1">-_xll.YCP($E190,"five_year_return",'Database Query'!$E$14)+P190</f>
        <v>#VALUE!</v>
      </c>
    </row>
    <row r="191" spans="1:17" x14ac:dyDescent="0.25">
      <c r="A191" t="str">
        <v>PDBZX</v>
      </c>
      <c r="B191" t="e" cm="1">
        <f t="array" aca="1" ref="B191" ca="1">_xll.YCI(A191,"detailed_security_type",TODAY())</f>
        <v>#VALUE!</v>
      </c>
      <c r="C191" t="e" cm="1">
        <f t="array" aca="1" ref="C191" ca="1">_xlfn.IFS(B191="etf", _xll.YCI(A191, "security_name",TODAY()),B191&lt;&gt;"etf",_xll.YCI("M:" &amp; A191, "security_name",TODAY()))</f>
        <v>#VALUE!</v>
      </c>
      <c r="D191" t="e" cm="1">
        <f t="array" aca="1" ref="D191" ca="1">_xlfn.IFS($B191="etf", _xll.YCI($A191, "ycharts_benchmark_category",TODAY()),$B191&lt;&gt;"etf",_xll.YCI("M:" &amp; $A191, "ycharts_benchmark_category",TODAY()))</f>
        <v>#VALUE!</v>
      </c>
      <c r="E191" t="e" cm="1">
        <f t="array" aca="1" ref="E191" ca="1">_xlfn.IFS($B191="etf", _xll.YCI($A191, "ycharts_benchmark_index_symbol",TODAY()),$B191&lt;&gt;"etf",_xll.YCI("M:" &amp; $A191, "ycharts_benchmark_index_symbol",TODAY()))</f>
        <v>#VALUE!</v>
      </c>
      <c r="F191" t="e" cm="1">
        <f t="array" aca="1" ref="F191" ca="1">_xlfn.IFS($B191="etf", _xll.YCI($E191, "security_name",TODAY()),$B191&lt;&gt;"etf",_xll.YCI( $E191, "security_name",TODAY()))</f>
        <v>#VALUE!</v>
      </c>
      <c r="G191" t="e" cm="1">
        <f t="array" aca="1" ref="G191" ca="1">_xlfn.IFS($B191="etf", _xll.YCI($A191, "prospectus_benchmark_index",TODAY()),$B191&lt;&gt;"etf",_xll.YCI("M:" &amp; $A191, "prospectus_benchmark_index",TODAY()))</f>
        <v>#VALUE!</v>
      </c>
      <c r="H191" s="2" t="e" cm="1">
        <f t="array" aca="1" ref="H191" ca="1">_xlfn.IFS($B191="etf", _xll.YCP($A191,"quarterly_total_return",'Database Query'!$E$14),$B191&lt;&gt;"etf",_xll.YCP("M:"&amp; $A191,"quarterly_total_return",'Database Query'!$E$14))</f>
        <v>#VALUE!</v>
      </c>
      <c r="I191" s="2" t="e" cm="1">
        <f t="array" aca="1" ref="I191" ca="1">-_xll.YCP($E191,"quarterly_return",'Database Query'!$E$14)+H191</f>
        <v>#VALUE!</v>
      </c>
      <c r="J191" s="2" t="e" cm="1">
        <f t="array" aca="1" ref="J191" ca="1">_xlfn.IFS($B191="etf", _xll.YCP($A191,"ytd_total_return",'Database Query'!$E$14),$B191&lt;&gt;"etf",_xll.YCP("M:"&amp; $A191,"ytd_total_return",'Database Query'!$E$14))</f>
        <v>#VALUE!</v>
      </c>
      <c r="K191" s="2" t="e" cm="1">
        <f t="array" aca="1" ref="K191" ca="1">-_xll.YCP($E191,"ytd_return",'Database Query'!$E$14)+J191</f>
        <v>#VALUE!</v>
      </c>
      <c r="L191" s="2" t="e" cm="1">
        <f t="array" aca="1" ref="L191" ca="1">_xlfn.IFS($B191="etf", _xll.YCP($A191,"one_year_total_return",'Database Query'!$E$14),$B191&lt;&gt;"etf",_xll.YCP("M:"&amp; $A191,"one_year_total_return",'Database Query'!$E$14))</f>
        <v>#VALUE!</v>
      </c>
      <c r="M191" s="2" t="e" cm="1">
        <f t="array" aca="1" ref="M191" ca="1">-_xll.YCP($E191,"one_year_return",'Database Query'!$E$14)+L191</f>
        <v>#VALUE!</v>
      </c>
      <c r="N191" s="2" t="e" cm="1">
        <f t="array" aca="1" ref="N191" ca="1">_xlfn.IFS($B191="etf", _xll.YCP($A191,"three_year_total_return",'Database Query'!$E$14),$B191&lt;&gt;"etf",_xll.YCP("M:"&amp; $A191,"three_year_total_return",'Database Query'!$E$14))</f>
        <v>#VALUE!</v>
      </c>
      <c r="O191" s="2" t="e" cm="1">
        <f t="array" aca="1" ref="O191" ca="1">-_xll.YCP($E191,"three_year_return",'Database Query'!$E$14)+N191</f>
        <v>#VALUE!</v>
      </c>
      <c r="P191" s="2" t="e" cm="1">
        <f t="array" aca="1" ref="P191" ca="1">_xlfn.IFS($B191="etf", _xll.YCP($A191,"five_year_total_return",'Database Query'!$E$14),$B191&lt;&gt;"etf",_xll.YCP("M:"&amp; $A191,"five_year_total_return",'Database Query'!$E$14))</f>
        <v>#VALUE!</v>
      </c>
      <c r="Q191" s="2" t="e" cm="1">
        <f t="array" aca="1" ref="Q191" ca="1">-_xll.YCP($E191,"five_year_return",'Database Query'!$E$14)+P191</f>
        <v>#VALUE!</v>
      </c>
    </row>
    <row r="192" spans="1:17" x14ac:dyDescent="0.25">
      <c r="A192" t="str">
        <v>PICYX</v>
      </c>
      <c r="B192" t="e" cm="1">
        <f t="array" aca="1" ref="B192" ca="1">_xll.YCI(A192,"detailed_security_type",TODAY())</f>
        <v>#VALUE!</v>
      </c>
      <c r="C192" t="e" cm="1">
        <f t="array" aca="1" ref="C192" ca="1">_xlfn.IFS(B192="etf", _xll.YCI(A192, "security_name",TODAY()),B192&lt;&gt;"etf",_xll.YCI("M:" &amp; A192, "security_name",TODAY()))</f>
        <v>#VALUE!</v>
      </c>
      <c r="D192" t="e" cm="1">
        <f t="array" aca="1" ref="D192" ca="1">_xlfn.IFS($B192="etf", _xll.YCI($A192, "ycharts_benchmark_category",TODAY()),$B192&lt;&gt;"etf",_xll.YCI("M:" &amp; $A192, "ycharts_benchmark_category",TODAY()))</f>
        <v>#VALUE!</v>
      </c>
      <c r="E192" t="e" cm="1">
        <f t="array" aca="1" ref="E192" ca="1">_xlfn.IFS($B192="etf", _xll.YCI($A192, "ycharts_benchmark_index_symbol",TODAY()),$B192&lt;&gt;"etf",_xll.YCI("M:" &amp; $A192, "ycharts_benchmark_index_symbol",TODAY()))</f>
        <v>#VALUE!</v>
      </c>
      <c r="F192" t="e" cm="1">
        <f t="array" aca="1" ref="F192" ca="1">_xlfn.IFS($B192="etf", _xll.YCI($E192, "security_name",TODAY()),$B192&lt;&gt;"etf",_xll.YCI( $E192, "security_name",TODAY()))</f>
        <v>#VALUE!</v>
      </c>
      <c r="G192" t="e" cm="1">
        <f t="array" aca="1" ref="G192" ca="1">_xlfn.IFS($B192="etf", _xll.YCI($A192, "prospectus_benchmark_index",TODAY()),$B192&lt;&gt;"etf",_xll.YCI("M:" &amp; $A192, "prospectus_benchmark_index",TODAY()))</f>
        <v>#VALUE!</v>
      </c>
      <c r="H192" s="2" t="e" cm="1">
        <f t="array" aca="1" ref="H192" ca="1">_xlfn.IFS($B192="etf", _xll.YCP($A192,"quarterly_total_return",'Database Query'!$E$14),$B192&lt;&gt;"etf",_xll.YCP("M:"&amp; $A192,"quarterly_total_return",'Database Query'!$E$14))</f>
        <v>#VALUE!</v>
      </c>
      <c r="I192" s="2" t="e" cm="1">
        <f t="array" aca="1" ref="I192" ca="1">-_xll.YCP($E192,"quarterly_return",'Database Query'!$E$14)+H192</f>
        <v>#VALUE!</v>
      </c>
      <c r="J192" s="2" t="e" cm="1">
        <f t="array" aca="1" ref="J192" ca="1">_xlfn.IFS($B192="etf", _xll.YCP($A192,"ytd_total_return",'Database Query'!$E$14),$B192&lt;&gt;"etf",_xll.YCP("M:"&amp; $A192,"ytd_total_return",'Database Query'!$E$14))</f>
        <v>#VALUE!</v>
      </c>
      <c r="K192" s="2" t="e" cm="1">
        <f t="array" aca="1" ref="K192" ca="1">-_xll.YCP($E192,"ytd_return",'Database Query'!$E$14)+J192</f>
        <v>#VALUE!</v>
      </c>
      <c r="L192" s="2" t="e" cm="1">
        <f t="array" aca="1" ref="L192" ca="1">_xlfn.IFS($B192="etf", _xll.YCP($A192,"one_year_total_return",'Database Query'!$E$14),$B192&lt;&gt;"etf",_xll.YCP("M:"&amp; $A192,"one_year_total_return",'Database Query'!$E$14))</f>
        <v>#VALUE!</v>
      </c>
      <c r="M192" s="2" t="e" cm="1">
        <f t="array" aca="1" ref="M192" ca="1">-_xll.YCP($E192,"one_year_return",'Database Query'!$E$14)+L192</f>
        <v>#VALUE!</v>
      </c>
      <c r="N192" s="2" t="e" cm="1">
        <f t="array" aca="1" ref="N192" ca="1">_xlfn.IFS($B192="etf", _xll.YCP($A192,"three_year_total_return",'Database Query'!$E$14),$B192&lt;&gt;"etf",_xll.YCP("M:"&amp; $A192,"three_year_total_return",'Database Query'!$E$14))</f>
        <v>#VALUE!</v>
      </c>
      <c r="O192" s="2" t="e" cm="1">
        <f t="array" aca="1" ref="O192" ca="1">-_xll.YCP($E192,"three_year_return",'Database Query'!$E$14)+N192</f>
        <v>#VALUE!</v>
      </c>
      <c r="P192" s="2" t="e" cm="1">
        <f t="array" aca="1" ref="P192" ca="1">_xlfn.IFS($B192="etf", _xll.YCP($A192,"five_year_total_return",'Database Query'!$E$14),$B192&lt;&gt;"etf",_xll.YCP("M:"&amp; $A192,"five_year_total_return",'Database Query'!$E$14))</f>
        <v>#VALUE!</v>
      </c>
      <c r="Q192" s="2" t="e" cm="1">
        <f t="array" aca="1" ref="Q192" ca="1">-_xll.YCP($E192,"five_year_return",'Database Query'!$E$14)+P192</f>
        <v>#VALUE!</v>
      </c>
    </row>
    <row r="193" spans="1:17" x14ac:dyDescent="0.25">
      <c r="A193" t="str">
        <v>PIGIX</v>
      </c>
      <c r="B193" t="e" cm="1">
        <f t="array" aca="1" ref="B193" ca="1">_xll.YCI(A193,"detailed_security_type",TODAY())</f>
        <v>#VALUE!</v>
      </c>
      <c r="C193" t="e" cm="1">
        <f t="array" aca="1" ref="C193" ca="1">_xlfn.IFS(B193="etf", _xll.YCI(A193, "security_name",TODAY()),B193&lt;&gt;"etf",_xll.YCI("M:" &amp; A193, "security_name",TODAY()))</f>
        <v>#VALUE!</v>
      </c>
      <c r="D193" t="e" cm="1">
        <f t="array" aca="1" ref="D193" ca="1">_xlfn.IFS($B193="etf", _xll.YCI($A193, "ycharts_benchmark_category",TODAY()),$B193&lt;&gt;"etf",_xll.YCI("M:" &amp; $A193, "ycharts_benchmark_category",TODAY()))</f>
        <v>#VALUE!</v>
      </c>
      <c r="E193" t="e" cm="1">
        <f t="array" aca="1" ref="E193" ca="1">_xlfn.IFS($B193="etf", _xll.YCI($A193, "ycharts_benchmark_index_symbol",TODAY()),$B193&lt;&gt;"etf",_xll.YCI("M:" &amp; $A193, "ycharts_benchmark_index_symbol",TODAY()))</f>
        <v>#VALUE!</v>
      </c>
      <c r="F193" t="e" cm="1">
        <f t="array" aca="1" ref="F193" ca="1">_xlfn.IFS($B193="etf", _xll.YCI($E193, "security_name",TODAY()),$B193&lt;&gt;"etf",_xll.YCI( $E193, "security_name",TODAY()))</f>
        <v>#VALUE!</v>
      </c>
      <c r="G193" t="e" cm="1">
        <f t="array" aca="1" ref="G193" ca="1">_xlfn.IFS($B193="etf", _xll.YCI($A193, "prospectus_benchmark_index",TODAY()),$B193&lt;&gt;"etf",_xll.YCI("M:" &amp; $A193, "prospectus_benchmark_index",TODAY()))</f>
        <v>#VALUE!</v>
      </c>
      <c r="H193" s="2" t="e" cm="1">
        <f t="array" aca="1" ref="H193" ca="1">_xlfn.IFS($B193="etf", _xll.YCP($A193,"quarterly_total_return",'Database Query'!$E$14),$B193&lt;&gt;"etf",_xll.YCP("M:"&amp; $A193,"quarterly_total_return",'Database Query'!$E$14))</f>
        <v>#VALUE!</v>
      </c>
      <c r="I193" s="2" t="e" cm="1">
        <f t="array" aca="1" ref="I193" ca="1">-_xll.YCP($E193,"quarterly_return",'Database Query'!$E$14)+H193</f>
        <v>#VALUE!</v>
      </c>
      <c r="J193" s="2" t="e" cm="1">
        <f t="array" aca="1" ref="J193" ca="1">_xlfn.IFS($B193="etf", _xll.YCP($A193,"ytd_total_return",'Database Query'!$E$14),$B193&lt;&gt;"etf",_xll.YCP("M:"&amp; $A193,"ytd_total_return",'Database Query'!$E$14))</f>
        <v>#VALUE!</v>
      </c>
      <c r="K193" s="2" t="e" cm="1">
        <f t="array" aca="1" ref="K193" ca="1">-_xll.YCP($E193,"ytd_return",'Database Query'!$E$14)+J193</f>
        <v>#VALUE!</v>
      </c>
      <c r="L193" s="2" t="e" cm="1">
        <f t="array" aca="1" ref="L193" ca="1">_xlfn.IFS($B193="etf", _xll.YCP($A193,"one_year_total_return",'Database Query'!$E$14),$B193&lt;&gt;"etf",_xll.YCP("M:"&amp; $A193,"one_year_total_return",'Database Query'!$E$14))</f>
        <v>#VALUE!</v>
      </c>
      <c r="M193" s="2" t="e" cm="1">
        <f t="array" aca="1" ref="M193" ca="1">-_xll.YCP($E193,"one_year_return",'Database Query'!$E$14)+L193</f>
        <v>#VALUE!</v>
      </c>
      <c r="N193" s="2" t="e" cm="1">
        <f t="array" aca="1" ref="N193" ca="1">_xlfn.IFS($B193="etf", _xll.YCP($A193,"three_year_total_return",'Database Query'!$E$14),$B193&lt;&gt;"etf",_xll.YCP("M:"&amp; $A193,"three_year_total_return",'Database Query'!$E$14))</f>
        <v>#VALUE!</v>
      </c>
      <c r="O193" s="2" t="e" cm="1">
        <f t="array" aca="1" ref="O193" ca="1">-_xll.YCP($E193,"three_year_return",'Database Query'!$E$14)+N193</f>
        <v>#VALUE!</v>
      </c>
      <c r="P193" s="2" t="e" cm="1">
        <f t="array" aca="1" ref="P193" ca="1">_xlfn.IFS($B193="etf", _xll.YCP($A193,"five_year_total_return",'Database Query'!$E$14),$B193&lt;&gt;"etf",_xll.YCP("M:"&amp; $A193,"five_year_total_return",'Database Query'!$E$14))</f>
        <v>#VALUE!</v>
      </c>
      <c r="Q193" s="2" t="e" cm="1">
        <f t="array" aca="1" ref="Q193" ca="1">-_xll.YCP($E193,"five_year_return",'Database Query'!$E$14)+P193</f>
        <v>#VALUE!</v>
      </c>
    </row>
    <row r="194" spans="1:17" x14ac:dyDescent="0.25">
      <c r="A194" t="str">
        <v>PIMIX</v>
      </c>
      <c r="B194" t="e" cm="1">
        <f t="array" aca="1" ref="B194" ca="1">_xll.YCI(A194,"detailed_security_type",TODAY())</f>
        <v>#VALUE!</v>
      </c>
      <c r="C194" t="e" cm="1">
        <f t="array" aca="1" ref="C194" ca="1">_xlfn.IFS(B194="etf", _xll.YCI(A194, "security_name",TODAY()),B194&lt;&gt;"etf",_xll.YCI("M:" &amp; A194, "security_name",TODAY()))</f>
        <v>#VALUE!</v>
      </c>
      <c r="D194" t="e" cm="1">
        <f t="array" aca="1" ref="D194" ca="1">_xlfn.IFS($B194="etf", _xll.YCI($A194, "ycharts_benchmark_category",TODAY()),$B194&lt;&gt;"etf",_xll.YCI("M:" &amp; $A194, "ycharts_benchmark_category",TODAY()))</f>
        <v>#VALUE!</v>
      </c>
      <c r="E194" t="e" cm="1">
        <f t="array" aca="1" ref="E194" ca="1">_xlfn.IFS($B194="etf", _xll.YCI($A194, "ycharts_benchmark_index_symbol",TODAY()),$B194&lt;&gt;"etf",_xll.YCI("M:" &amp; $A194, "ycharts_benchmark_index_symbol",TODAY()))</f>
        <v>#VALUE!</v>
      </c>
      <c r="F194" t="e" cm="1">
        <f t="array" aca="1" ref="F194" ca="1">_xlfn.IFS($B194="etf", _xll.YCI($E194, "security_name",TODAY()),$B194&lt;&gt;"etf",_xll.YCI( $E194, "security_name",TODAY()))</f>
        <v>#VALUE!</v>
      </c>
      <c r="G194" t="e" cm="1">
        <f t="array" aca="1" ref="G194" ca="1">_xlfn.IFS($B194="etf", _xll.YCI($A194, "prospectus_benchmark_index",TODAY()),$B194&lt;&gt;"etf",_xll.YCI("M:" &amp; $A194, "prospectus_benchmark_index",TODAY()))</f>
        <v>#VALUE!</v>
      </c>
      <c r="H194" s="2" t="e" cm="1">
        <f t="array" aca="1" ref="H194" ca="1">_xlfn.IFS($B194="etf", _xll.YCP($A194,"quarterly_total_return",'Database Query'!$E$14),$B194&lt;&gt;"etf",_xll.YCP("M:"&amp; $A194,"quarterly_total_return",'Database Query'!$E$14))</f>
        <v>#VALUE!</v>
      </c>
      <c r="I194" s="2" t="e" cm="1">
        <f t="array" aca="1" ref="I194" ca="1">-_xll.YCP($E194,"quarterly_return",'Database Query'!$E$14)+H194</f>
        <v>#VALUE!</v>
      </c>
      <c r="J194" s="2" t="e" cm="1">
        <f t="array" aca="1" ref="J194" ca="1">_xlfn.IFS($B194="etf", _xll.YCP($A194,"ytd_total_return",'Database Query'!$E$14),$B194&lt;&gt;"etf",_xll.YCP("M:"&amp; $A194,"ytd_total_return",'Database Query'!$E$14))</f>
        <v>#VALUE!</v>
      </c>
      <c r="K194" s="2" t="e" cm="1">
        <f t="array" aca="1" ref="K194" ca="1">-_xll.YCP($E194,"ytd_return",'Database Query'!$E$14)+J194</f>
        <v>#VALUE!</v>
      </c>
      <c r="L194" s="2" t="e" cm="1">
        <f t="array" aca="1" ref="L194" ca="1">_xlfn.IFS($B194="etf", _xll.YCP($A194,"one_year_total_return",'Database Query'!$E$14),$B194&lt;&gt;"etf",_xll.YCP("M:"&amp; $A194,"one_year_total_return",'Database Query'!$E$14))</f>
        <v>#VALUE!</v>
      </c>
      <c r="M194" s="2" t="e" cm="1">
        <f t="array" aca="1" ref="M194" ca="1">-_xll.YCP($E194,"one_year_return",'Database Query'!$E$14)+L194</f>
        <v>#VALUE!</v>
      </c>
      <c r="N194" s="2" t="e" cm="1">
        <f t="array" aca="1" ref="N194" ca="1">_xlfn.IFS($B194="etf", _xll.YCP($A194,"three_year_total_return",'Database Query'!$E$14),$B194&lt;&gt;"etf",_xll.YCP("M:"&amp; $A194,"three_year_total_return",'Database Query'!$E$14))</f>
        <v>#VALUE!</v>
      </c>
      <c r="O194" s="2" t="e" cm="1">
        <f t="array" aca="1" ref="O194" ca="1">-_xll.YCP($E194,"three_year_return",'Database Query'!$E$14)+N194</f>
        <v>#VALUE!</v>
      </c>
      <c r="P194" s="2" t="e" cm="1">
        <f t="array" aca="1" ref="P194" ca="1">_xlfn.IFS($B194="etf", _xll.YCP($A194,"five_year_total_return",'Database Query'!$E$14),$B194&lt;&gt;"etf",_xll.YCP("M:"&amp; $A194,"five_year_total_return",'Database Query'!$E$14))</f>
        <v>#VALUE!</v>
      </c>
      <c r="Q194" s="2" t="e" cm="1">
        <f t="array" aca="1" ref="Q194" ca="1">-_xll.YCP($E194,"five_year_return",'Database Query'!$E$14)+P194</f>
        <v>#VALUE!</v>
      </c>
    </row>
    <row r="195" spans="1:17" x14ac:dyDescent="0.25">
      <c r="A195" t="str">
        <v>PJSQX</v>
      </c>
      <c r="B195" t="e" cm="1">
        <f t="array" aca="1" ref="B195" ca="1">_xll.YCI(A195,"detailed_security_type",TODAY())</f>
        <v>#VALUE!</v>
      </c>
      <c r="C195" t="e" cm="1">
        <f t="array" aca="1" ref="C195" ca="1">_xlfn.IFS(B195="etf", _xll.YCI(A195, "security_name",TODAY()),B195&lt;&gt;"etf",_xll.YCI("M:" &amp; A195, "security_name",TODAY()))</f>
        <v>#VALUE!</v>
      </c>
      <c r="D195" t="e" cm="1">
        <f t="array" aca="1" ref="D195" ca="1">_xlfn.IFS($B195="etf", _xll.YCI($A195, "ycharts_benchmark_category",TODAY()),$B195&lt;&gt;"etf",_xll.YCI("M:" &amp; $A195, "ycharts_benchmark_category",TODAY()))</f>
        <v>#VALUE!</v>
      </c>
      <c r="E195" t="e" cm="1">
        <f t="array" aca="1" ref="E195" ca="1">_xlfn.IFS($B195="etf", _xll.YCI($A195, "ycharts_benchmark_index_symbol",TODAY()),$B195&lt;&gt;"etf",_xll.YCI("M:" &amp; $A195, "ycharts_benchmark_index_symbol",TODAY()))</f>
        <v>#VALUE!</v>
      </c>
      <c r="F195" t="e" cm="1">
        <f t="array" aca="1" ref="F195" ca="1">_xlfn.IFS($B195="etf", _xll.YCI($E195, "security_name",TODAY()),$B195&lt;&gt;"etf",_xll.YCI( $E195, "security_name",TODAY()))</f>
        <v>#VALUE!</v>
      </c>
      <c r="G195" t="e" cm="1">
        <f t="array" aca="1" ref="G195" ca="1">_xlfn.IFS($B195="etf", _xll.YCI($A195, "prospectus_benchmark_index",TODAY()),$B195&lt;&gt;"etf",_xll.YCI("M:" &amp; $A195, "prospectus_benchmark_index",TODAY()))</f>
        <v>#VALUE!</v>
      </c>
      <c r="H195" s="2" t="e" cm="1">
        <f t="array" aca="1" ref="H195" ca="1">_xlfn.IFS($B195="etf", _xll.YCP($A195,"quarterly_total_return",'Database Query'!$E$14),$B195&lt;&gt;"etf",_xll.YCP("M:"&amp; $A195,"quarterly_total_return",'Database Query'!$E$14))</f>
        <v>#VALUE!</v>
      </c>
      <c r="I195" s="2" t="e" cm="1">
        <f t="array" aca="1" ref="I195" ca="1">-_xll.YCP($E195,"quarterly_return",'Database Query'!$E$14)+H195</f>
        <v>#VALUE!</v>
      </c>
      <c r="J195" s="2" t="e" cm="1">
        <f t="array" aca="1" ref="J195" ca="1">_xlfn.IFS($B195="etf", _xll.YCP($A195,"ytd_total_return",'Database Query'!$E$14),$B195&lt;&gt;"etf",_xll.YCP("M:"&amp; $A195,"ytd_total_return",'Database Query'!$E$14))</f>
        <v>#VALUE!</v>
      </c>
      <c r="K195" s="2" t="e" cm="1">
        <f t="array" aca="1" ref="K195" ca="1">-_xll.YCP($E195,"ytd_return",'Database Query'!$E$14)+J195</f>
        <v>#VALUE!</v>
      </c>
      <c r="L195" s="2" t="e" cm="1">
        <f t="array" aca="1" ref="L195" ca="1">_xlfn.IFS($B195="etf", _xll.YCP($A195,"one_year_total_return",'Database Query'!$E$14),$B195&lt;&gt;"etf",_xll.YCP("M:"&amp; $A195,"one_year_total_return",'Database Query'!$E$14))</f>
        <v>#VALUE!</v>
      </c>
      <c r="M195" s="2" t="e" cm="1">
        <f t="array" aca="1" ref="M195" ca="1">-_xll.YCP($E195,"one_year_return",'Database Query'!$E$14)+L195</f>
        <v>#VALUE!</v>
      </c>
      <c r="N195" s="2" t="e" cm="1">
        <f t="array" aca="1" ref="N195" ca="1">_xlfn.IFS($B195="etf", _xll.YCP($A195,"three_year_total_return",'Database Query'!$E$14),$B195&lt;&gt;"etf",_xll.YCP("M:"&amp; $A195,"three_year_total_return",'Database Query'!$E$14))</f>
        <v>#VALUE!</v>
      </c>
      <c r="O195" s="2" t="e" cm="1">
        <f t="array" aca="1" ref="O195" ca="1">-_xll.YCP($E195,"three_year_return",'Database Query'!$E$14)+N195</f>
        <v>#VALUE!</v>
      </c>
      <c r="P195" s="2" t="e" cm="1">
        <f t="array" aca="1" ref="P195" ca="1">_xlfn.IFS($B195="etf", _xll.YCP($A195,"five_year_total_return",'Database Query'!$E$14),$B195&lt;&gt;"etf",_xll.YCP("M:"&amp; $A195,"five_year_total_return",'Database Query'!$E$14))</f>
        <v>#VALUE!</v>
      </c>
      <c r="Q195" s="2" t="e" cm="1">
        <f t="array" aca="1" ref="Q195" ca="1">-_xll.YCP($E195,"five_year_return",'Database Query'!$E$14)+P195</f>
        <v>#VALUE!</v>
      </c>
    </row>
    <row r="196" spans="1:17" x14ac:dyDescent="0.25">
      <c r="A196" t="str">
        <v>PNCYX</v>
      </c>
      <c r="B196" t="e" cm="1">
        <f t="array" aca="1" ref="B196" ca="1">_xll.YCI(A196,"detailed_security_type",TODAY())</f>
        <v>#VALUE!</v>
      </c>
      <c r="C196" t="e" cm="1">
        <f t="array" aca="1" ref="C196" ca="1">_xlfn.IFS(B196="etf", _xll.YCI(A196, "security_name",TODAY()),B196&lt;&gt;"etf",_xll.YCI("M:" &amp; A196, "security_name",TODAY()))</f>
        <v>#VALUE!</v>
      </c>
      <c r="D196" t="e" cm="1">
        <f t="array" aca="1" ref="D196" ca="1">_xlfn.IFS($B196="etf", _xll.YCI($A196, "ycharts_benchmark_category",TODAY()),$B196&lt;&gt;"etf",_xll.YCI("M:" &amp; $A196, "ycharts_benchmark_category",TODAY()))</f>
        <v>#VALUE!</v>
      </c>
      <c r="E196" t="e" cm="1">
        <f t="array" aca="1" ref="E196" ca="1">_xlfn.IFS($B196="etf", _xll.YCI($A196, "ycharts_benchmark_index_symbol",TODAY()),$B196&lt;&gt;"etf",_xll.YCI("M:" &amp; $A196, "ycharts_benchmark_index_symbol",TODAY()))</f>
        <v>#VALUE!</v>
      </c>
      <c r="F196" t="e" cm="1">
        <f t="array" aca="1" ref="F196" ca="1">_xlfn.IFS($B196="etf", _xll.YCI($E196, "security_name",TODAY()),$B196&lt;&gt;"etf",_xll.YCI( $E196, "security_name",TODAY()))</f>
        <v>#VALUE!</v>
      </c>
      <c r="G196" t="e" cm="1">
        <f t="array" aca="1" ref="G196" ca="1">_xlfn.IFS($B196="etf", _xll.YCI($A196, "prospectus_benchmark_index",TODAY()),$B196&lt;&gt;"etf",_xll.YCI("M:" &amp; $A196, "prospectus_benchmark_index",TODAY()))</f>
        <v>#VALUE!</v>
      </c>
      <c r="H196" s="2" t="e" cm="1">
        <f t="array" aca="1" ref="H196" ca="1">_xlfn.IFS($B196="etf", _xll.YCP($A196,"quarterly_total_return",'Database Query'!$E$14),$B196&lt;&gt;"etf",_xll.YCP("M:"&amp; $A196,"quarterly_total_return",'Database Query'!$E$14))</f>
        <v>#VALUE!</v>
      </c>
      <c r="I196" s="2" t="e" cm="1">
        <f t="array" aca="1" ref="I196" ca="1">-_xll.YCP($E196,"quarterly_return",'Database Query'!$E$14)+H196</f>
        <v>#VALUE!</v>
      </c>
      <c r="J196" s="2" t="e" cm="1">
        <f t="array" aca="1" ref="J196" ca="1">_xlfn.IFS($B196="etf", _xll.YCP($A196,"ytd_total_return",'Database Query'!$E$14),$B196&lt;&gt;"etf",_xll.YCP("M:"&amp; $A196,"ytd_total_return",'Database Query'!$E$14))</f>
        <v>#VALUE!</v>
      </c>
      <c r="K196" s="2" t="e" cm="1">
        <f t="array" aca="1" ref="K196" ca="1">-_xll.YCP($E196,"ytd_return",'Database Query'!$E$14)+J196</f>
        <v>#VALUE!</v>
      </c>
      <c r="L196" s="2" t="e" cm="1">
        <f t="array" aca="1" ref="L196" ca="1">_xlfn.IFS($B196="etf", _xll.YCP($A196,"one_year_total_return",'Database Query'!$E$14),$B196&lt;&gt;"etf",_xll.YCP("M:"&amp; $A196,"one_year_total_return",'Database Query'!$E$14))</f>
        <v>#VALUE!</v>
      </c>
      <c r="M196" s="2" t="e" cm="1">
        <f t="array" aca="1" ref="M196" ca="1">-_xll.YCP($E196,"one_year_return",'Database Query'!$E$14)+L196</f>
        <v>#VALUE!</v>
      </c>
      <c r="N196" s="2" t="e" cm="1">
        <f t="array" aca="1" ref="N196" ca="1">_xlfn.IFS($B196="etf", _xll.YCP($A196,"three_year_total_return",'Database Query'!$E$14),$B196&lt;&gt;"etf",_xll.YCP("M:"&amp; $A196,"three_year_total_return",'Database Query'!$E$14))</f>
        <v>#VALUE!</v>
      </c>
      <c r="O196" s="2" t="e" cm="1">
        <f t="array" aca="1" ref="O196" ca="1">-_xll.YCP($E196,"three_year_return",'Database Query'!$E$14)+N196</f>
        <v>#VALUE!</v>
      </c>
      <c r="P196" s="2" t="e" cm="1">
        <f t="array" aca="1" ref="P196" ca="1">_xlfn.IFS($B196="etf", _xll.YCP($A196,"five_year_total_return",'Database Query'!$E$14),$B196&lt;&gt;"etf",_xll.YCP("M:"&amp; $A196,"five_year_total_return",'Database Query'!$E$14))</f>
        <v>#VALUE!</v>
      </c>
      <c r="Q196" s="2" t="e" cm="1">
        <f t="array" aca="1" ref="Q196" ca="1">-_xll.YCP($E196,"five_year_return",'Database Query'!$E$14)+P196</f>
        <v>#VALUE!</v>
      </c>
    </row>
    <row r="197" spans="1:17" x14ac:dyDescent="0.25">
      <c r="A197" t="str">
        <v>PPA</v>
      </c>
      <c r="B197" t="str" cm="1">
        <f t="array" aca="1" ref="B197" ca="1">_xll.YCI(A197,"detailed_security_type",TODAY())</f>
        <v>etf</v>
      </c>
      <c r="C197" t="str" cm="1">
        <f t="array" aca="1" ref="C197" ca="1">_xlfn.IFS(B197="etf", _xll.YCI(A197, "security_name",TODAY()),B197&lt;&gt;"etf",_xll.YCI("M:" &amp; A197, "security_name",TODAY()))</f>
        <v>Invesco Aerospace &amp; Defense ETF</v>
      </c>
      <c r="D197" t="str" cm="1">
        <f t="array" aca="1" ref="D197" ca="1">_xlfn.IFS($B197="etf", _xll.YCI($A197, "ycharts_benchmark_category",TODAY()),$B197&lt;&gt;"etf",_xll.YCI("M:" &amp; $A197, "ycharts_benchmark_category",TODAY()))</f>
        <v>Industrials Equity</v>
      </c>
      <c r="E197" t="str" cm="1">
        <f t="array" aca="1" ref="E197" ca="1">_xlfn.IFS($B197="etf", _xll.YCI($A197, "ycharts_benchmark_index_symbol",TODAY()),$B197&lt;&gt;"etf",_xll.YCI("M:" &amp; $A197, "ycharts_benchmark_index_symbol",TODAY()))</f>
        <v>^SP15INSTR</v>
      </c>
      <c r="F197" t="str" cm="1">
        <f t="array" aca="1" ref="F197" ca="1">_xlfn.IFS($B197="etf", _xll.YCI($E197, "security_name",TODAY()),$B197&lt;&gt;"etf",_xll.YCI( $E197, "security_name",TODAY()))</f>
        <v>S&amp;P 1500 Industrials (Sector) Total Return</v>
      </c>
      <c r="G197" t="str" cm="1">
        <f t="array" aca="1" ref="G197" ca="1">_xlfn.IFS($B197="etf", _xll.YCI($A197, "prospectus_benchmark_index",TODAY()),$B197&lt;&gt;"etf",_xll.YCI("M:" &amp; $A197, "prospectus_benchmark_index",TODAY()))</f>
        <v>SPADE Defense TR USD</v>
      </c>
      <c r="H197" s="2" cm="1">
        <f t="array" aca="1" ref="H197" ca="1">_xlfn.IFS($B197="etf", _xll.YCP($A197,"quarterly_total_return",'Database Query'!$E$14),$B197&lt;&gt;"etf",_xll.YCP("M:"&amp; $A197,"quarterly_total_return",'Database Query'!$E$14))</f>
        <v>5.9699999999999998E-4</v>
      </c>
      <c r="I197" s="2" cm="1">
        <f t="array" aca="1" ref="I197" ca="1">-_xll.YCP($E197,"quarterly_return",'Database Query'!$E$14)+H197</f>
        <v>2.0136000000000001E-2</v>
      </c>
      <c r="J197" s="2" cm="1">
        <f t="array" aca="1" ref="J197" ca="1">_xlfn.IFS($B197="etf", _xll.YCP($A197,"ytd_total_return",'Database Query'!$E$14),$B197&lt;&gt;"etf",_xll.YCP("M:"&amp; $A197,"ytd_total_return",'Database Query'!$E$14))</f>
        <v>0.25283699999999998</v>
      </c>
      <c r="K197" s="2" cm="1">
        <f t="array" aca="1" ref="K197" ca="1">-_xll.YCP($E197,"ytd_return",'Database Query'!$E$14)+J197</f>
        <v>8.3421999999999968E-2</v>
      </c>
      <c r="L197" s="2" cm="1">
        <f t="array" aca="1" ref="L197" ca="1">_xlfn.IFS($B197="etf", _xll.YCP($A197,"one_year_total_return",'Database Query'!$E$14),$B197&lt;&gt;"etf",_xll.YCP("M:"&amp; $A197,"one_year_total_return",'Database Query'!$E$14))</f>
        <v>0.25283699999999998</v>
      </c>
      <c r="M197" s="2" cm="1">
        <f t="array" aca="1" ref="M197" ca="1">-_xll.YCP($E197,"one_year_return",'Database Query'!$E$14)+L197</f>
        <v>8.3421999999999968E-2</v>
      </c>
      <c r="N197" s="2" cm="1">
        <f t="array" aca="1" ref="N197" ca="1">_xlfn.IFS($B197="etf", _xll.YCP($A197,"three_year_total_return",'Database Query'!$E$14),$B197&lt;&gt;"etf",_xll.YCP("M:"&amp; $A197,"three_year_total_return",'Database Query'!$E$14))</f>
        <v>0.62450499999999998</v>
      </c>
      <c r="O197" s="2" cm="1">
        <f t="array" aca="1" ref="O197" ca="1">-_xll.YCP($E197,"three_year_return",'Database Query'!$E$14)+N197</f>
        <v>0.30728499999999997</v>
      </c>
      <c r="P197" s="2" cm="1">
        <f t="array" aca="1" ref="P197" ca="1">_xlfn.IFS($B197="etf", _xll.YCP($A197,"five_year_total_return",'Database Query'!$E$14),$B197&lt;&gt;"etf",_xll.YCP("M:"&amp; $A197,"five_year_total_return",'Database Query'!$E$14))</f>
        <v>0.74810399999999999</v>
      </c>
      <c r="Q197" s="2" cm="1">
        <f t="array" aca="1" ref="Q197" ca="1">-_xll.YCP($E197,"five_year_return",'Database Query'!$E$14)+P197</f>
        <v>-4.9444999999999961E-2</v>
      </c>
    </row>
    <row r="198" spans="1:17" x14ac:dyDescent="0.25">
      <c r="A198" t="str">
        <v>PRHSX</v>
      </c>
      <c r="B198" t="e" cm="1">
        <f t="array" aca="1" ref="B198" ca="1">_xll.YCI(A198,"detailed_security_type",TODAY())</f>
        <v>#VALUE!</v>
      </c>
      <c r="C198" t="e" cm="1">
        <f t="array" aca="1" ref="C198" ca="1">_xlfn.IFS(B198="etf", _xll.YCI(A198, "security_name",TODAY()),B198&lt;&gt;"etf",_xll.YCI("M:" &amp; A198, "security_name",TODAY()))</f>
        <v>#VALUE!</v>
      </c>
      <c r="D198" t="e" cm="1">
        <f t="array" aca="1" ref="D198" ca="1">_xlfn.IFS($B198="etf", _xll.YCI($A198, "ycharts_benchmark_category",TODAY()),$B198&lt;&gt;"etf",_xll.YCI("M:" &amp; $A198, "ycharts_benchmark_category",TODAY()))</f>
        <v>#VALUE!</v>
      </c>
      <c r="E198" t="e" cm="1">
        <f t="array" aca="1" ref="E198" ca="1">_xlfn.IFS($B198="etf", _xll.YCI($A198, "ycharts_benchmark_index_symbol",TODAY()),$B198&lt;&gt;"etf",_xll.YCI("M:" &amp; $A198, "ycharts_benchmark_index_symbol",TODAY()))</f>
        <v>#VALUE!</v>
      </c>
      <c r="F198" t="e" cm="1">
        <f t="array" aca="1" ref="F198" ca="1">_xlfn.IFS($B198="etf", _xll.YCI($E198, "security_name",TODAY()),$B198&lt;&gt;"etf",_xll.YCI( $E198, "security_name",TODAY()))</f>
        <v>#VALUE!</v>
      </c>
      <c r="G198" t="e" cm="1">
        <f t="array" aca="1" ref="G198" ca="1">_xlfn.IFS($B198="etf", _xll.YCI($A198, "prospectus_benchmark_index",TODAY()),$B198&lt;&gt;"etf",_xll.YCI("M:" &amp; $A198, "prospectus_benchmark_index",TODAY()))</f>
        <v>#VALUE!</v>
      </c>
      <c r="H198" s="2" t="e" cm="1">
        <f t="array" aca="1" ref="H198" ca="1">_xlfn.IFS($B198="etf", _xll.YCP($A198,"quarterly_total_return",'Database Query'!$E$14),$B198&lt;&gt;"etf",_xll.YCP("M:"&amp; $A198,"quarterly_total_return",'Database Query'!$E$14))</f>
        <v>#VALUE!</v>
      </c>
      <c r="I198" s="2" t="e" cm="1">
        <f t="array" aca="1" ref="I198" ca="1">-_xll.YCP($E198,"quarterly_return",'Database Query'!$E$14)+H198</f>
        <v>#VALUE!</v>
      </c>
      <c r="J198" s="2" t="e" cm="1">
        <f t="array" aca="1" ref="J198" ca="1">_xlfn.IFS($B198="etf", _xll.YCP($A198,"ytd_total_return",'Database Query'!$E$14),$B198&lt;&gt;"etf",_xll.YCP("M:"&amp; $A198,"ytd_total_return",'Database Query'!$E$14))</f>
        <v>#VALUE!</v>
      </c>
      <c r="K198" s="2" t="e" cm="1">
        <f t="array" aca="1" ref="K198" ca="1">-_xll.YCP($E198,"ytd_return",'Database Query'!$E$14)+J198</f>
        <v>#VALUE!</v>
      </c>
      <c r="L198" s="2" t="e" cm="1">
        <f t="array" aca="1" ref="L198" ca="1">_xlfn.IFS($B198="etf", _xll.YCP($A198,"one_year_total_return",'Database Query'!$E$14),$B198&lt;&gt;"etf",_xll.YCP("M:"&amp; $A198,"one_year_total_return",'Database Query'!$E$14))</f>
        <v>#VALUE!</v>
      </c>
      <c r="M198" s="2" t="e" cm="1">
        <f t="array" aca="1" ref="M198" ca="1">-_xll.YCP($E198,"one_year_return",'Database Query'!$E$14)+L198</f>
        <v>#VALUE!</v>
      </c>
      <c r="N198" s="2" t="e" cm="1">
        <f t="array" aca="1" ref="N198" ca="1">_xlfn.IFS($B198="etf", _xll.YCP($A198,"three_year_total_return",'Database Query'!$E$14),$B198&lt;&gt;"etf",_xll.YCP("M:"&amp; $A198,"three_year_total_return",'Database Query'!$E$14))</f>
        <v>#VALUE!</v>
      </c>
      <c r="O198" s="2" t="e" cm="1">
        <f t="array" aca="1" ref="O198" ca="1">-_xll.YCP($E198,"three_year_return",'Database Query'!$E$14)+N198</f>
        <v>#VALUE!</v>
      </c>
      <c r="P198" s="2" t="e" cm="1">
        <f t="array" aca="1" ref="P198" ca="1">_xlfn.IFS($B198="etf", _xll.YCP($A198,"five_year_total_return",'Database Query'!$E$14),$B198&lt;&gt;"etf",_xll.YCP("M:"&amp; $A198,"five_year_total_return",'Database Query'!$E$14))</f>
        <v>#VALUE!</v>
      </c>
      <c r="Q198" s="2" t="e" cm="1">
        <f t="array" aca="1" ref="Q198" ca="1">-_xll.YCP($E198,"five_year_return",'Database Query'!$E$14)+P198</f>
        <v>#VALUE!</v>
      </c>
    </row>
    <row r="199" spans="1:17" x14ac:dyDescent="0.25">
      <c r="A199" t="str">
        <v>PSCT</v>
      </c>
      <c r="B199" t="str" cm="1">
        <f t="array" aca="1" ref="B199" ca="1">_xll.YCI(A199,"detailed_security_type",TODAY())</f>
        <v>etf</v>
      </c>
      <c r="C199" t="str" cm="1">
        <f t="array" aca="1" ref="C199" ca="1">_xlfn.IFS(B199="etf", _xll.YCI(A199, "security_name",TODAY()),B199&lt;&gt;"etf",_xll.YCI("M:" &amp; A199, "security_name",TODAY()))</f>
        <v>Invesco S&amp;P SmallCap Information Tech ETF</v>
      </c>
      <c r="D199" t="str" cm="1">
        <f t="array" aca="1" ref="D199" ca="1">_xlfn.IFS($B199="etf", _xll.YCI($A199, "ycharts_benchmark_category",TODAY()),$B199&lt;&gt;"etf",_xll.YCI("M:" &amp; $A199, "ycharts_benchmark_category",TODAY()))</f>
        <v>Financials Equity</v>
      </c>
      <c r="E199" t="str" cm="1">
        <f t="array" aca="1" ref="E199" ca="1">_xlfn.IFS($B199="etf", _xll.YCI($A199, "ycharts_benchmark_index_symbol",TODAY()),$B199&lt;&gt;"etf",_xll.YCI("M:" &amp; $A199, "ycharts_benchmark_index_symbol",TODAY()))</f>
        <v>^SP15FINSTR</v>
      </c>
      <c r="F199" t="str" cm="1">
        <f t="array" aca="1" ref="F199" ca="1">_xlfn.IFS($B199="etf", _xll.YCI($E199, "security_name",TODAY()),$B199&lt;&gt;"etf",_xll.YCI( $E199, "security_name",TODAY()))</f>
        <v>S&amp;P 1500 Financials (Sector) Total Return</v>
      </c>
      <c r="G199" t="str" cm="1">
        <f t="array" aca="1" ref="G199" ca="1">_xlfn.IFS($B199="etf", _xll.YCI($A199, "prospectus_benchmark_index",TODAY()),$B199&lt;&gt;"etf",_xll.YCI("M:" &amp; $A199, "prospectus_benchmark_index",TODAY()))</f>
        <v>S&amp;P Small 600Cap Info Tech TR USD</v>
      </c>
      <c r="H199" s="2" cm="1">
        <f t="array" aca="1" ref="H199" ca="1">_xlfn.IFS($B199="etf", _xll.YCP($A199,"quarterly_total_return",'Database Query'!$E$14),$B199&lt;&gt;"etf",_xll.YCP("M:"&amp; $A199,"quarterly_total_return",'Database Query'!$E$14))</f>
        <v>-3.2699999999999999E-3</v>
      </c>
      <c r="I199" s="2" cm="1">
        <f t="array" aca="1" ref="I199" ca="1">-_xll.YCP($E199,"quarterly_return",'Database Query'!$E$14)+H199</f>
        <v>-7.2484999999999994E-2</v>
      </c>
      <c r="J199" s="2" cm="1">
        <f t="array" aca="1" ref="J199" ca="1">_xlfn.IFS($B199="etf", _xll.YCP($A199,"ytd_total_return",'Database Query'!$E$14),$B199&lt;&gt;"etf",_xll.YCP("M:"&amp; $A199,"ytd_total_return",'Database Query'!$E$14))</f>
        <v>-1.0649E-2</v>
      </c>
      <c r="K199" s="2" cm="1">
        <f t="array" aca="1" ref="K199" ca="1">-_xll.YCP($E199,"ytd_return",'Database Query'!$E$14)+J199</f>
        <v>-0.30848000000000003</v>
      </c>
      <c r="L199" s="2" cm="1">
        <f t="array" aca="1" ref="L199" ca="1">_xlfn.IFS($B199="etf", _xll.YCP($A199,"one_year_total_return",'Database Query'!$E$14),$B199&lt;&gt;"etf",_xll.YCP("M:"&amp; $A199,"one_year_total_return",'Database Query'!$E$14))</f>
        <v>-1.0649E-2</v>
      </c>
      <c r="M199" s="2" cm="1">
        <f t="array" aca="1" ref="M199" ca="1">-_xll.YCP($E199,"one_year_return",'Database Query'!$E$14)+L199</f>
        <v>-0.30848000000000003</v>
      </c>
      <c r="N199" s="2" cm="1">
        <f t="array" aca="1" ref="N199" ca="1">_xlfn.IFS($B199="etf", _xll.YCP($A199,"three_year_total_return",'Database Query'!$E$14),$B199&lt;&gt;"etf",_xll.YCP("M:"&amp; $A199,"three_year_total_return",'Database Query'!$E$14))</f>
        <v>-7.3647000000000004E-2</v>
      </c>
      <c r="O199" s="2" cm="1">
        <f t="array" aca="1" ref="O199" ca="1">-_xll.YCP($E199,"three_year_return",'Database Query'!$E$14)+N199</f>
        <v>-0.37577199999999999</v>
      </c>
      <c r="P199" s="2" cm="1">
        <f t="array" aca="1" ref="P199" ca="1">_xlfn.IFS($B199="etf", _xll.YCP($A199,"five_year_total_return",'Database Query'!$E$14),$B199&lt;&gt;"etf",_xll.YCP("M:"&amp; $A199,"five_year_total_return",'Database Query'!$E$14))</f>
        <v>0.49465599999999998</v>
      </c>
      <c r="Q199" s="2" cm="1">
        <f t="array" aca="1" ref="Q199" ca="1">-_xll.YCP($E199,"five_year_return",'Database Query'!$E$14)+P199</f>
        <v>-0.22389199999999998</v>
      </c>
    </row>
    <row r="200" spans="1:17" x14ac:dyDescent="0.25">
      <c r="A200" t="str">
        <v>PTIAX</v>
      </c>
      <c r="B200" t="e" cm="1">
        <f t="array" aca="1" ref="B200" ca="1">_xll.YCI(A200,"detailed_security_type",TODAY())</f>
        <v>#VALUE!</v>
      </c>
      <c r="C200" t="e" cm="1">
        <f t="array" aca="1" ref="C200" ca="1">_xlfn.IFS(B200="etf", _xll.YCI(A200, "security_name",TODAY()),B200&lt;&gt;"etf",_xll.YCI("M:" &amp; A200, "security_name",TODAY()))</f>
        <v>#VALUE!</v>
      </c>
      <c r="D200" t="e" cm="1">
        <f t="array" aca="1" ref="D200" ca="1">_xlfn.IFS($B200="etf", _xll.YCI($A200, "ycharts_benchmark_category",TODAY()),$B200&lt;&gt;"etf",_xll.YCI("M:" &amp; $A200, "ycharts_benchmark_category",TODAY()))</f>
        <v>#VALUE!</v>
      </c>
      <c r="E200" t="e" cm="1">
        <f t="array" aca="1" ref="E200" ca="1">_xlfn.IFS($B200="etf", _xll.YCI($A200, "ycharts_benchmark_index_symbol",TODAY()),$B200&lt;&gt;"etf",_xll.YCI("M:" &amp; $A200, "ycharts_benchmark_index_symbol",TODAY()))</f>
        <v>#VALUE!</v>
      </c>
      <c r="F200" t="e" cm="1">
        <f t="array" aca="1" ref="F200" ca="1">_xlfn.IFS($B200="etf", _xll.YCI($E200, "security_name",TODAY()),$B200&lt;&gt;"etf",_xll.YCI( $E200, "security_name",TODAY()))</f>
        <v>#VALUE!</v>
      </c>
      <c r="G200" t="e" cm="1">
        <f t="array" aca="1" ref="G200" ca="1">_xlfn.IFS($B200="etf", _xll.YCI($A200, "prospectus_benchmark_index",TODAY()),$B200&lt;&gt;"etf",_xll.YCI("M:" &amp; $A200, "prospectus_benchmark_index",TODAY()))</f>
        <v>#VALUE!</v>
      </c>
      <c r="H200" s="2" t="e" cm="1">
        <f t="array" aca="1" ref="H200" ca="1">_xlfn.IFS($B200="etf", _xll.YCP($A200,"quarterly_total_return",'Database Query'!$E$14),$B200&lt;&gt;"etf",_xll.YCP("M:"&amp; $A200,"quarterly_total_return",'Database Query'!$E$14))</f>
        <v>#VALUE!</v>
      </c>
      <c r="I200" s="2" t="e" cm="1">
        <f t="array" aca="1" ref="I200" ca="1">-_xll.YCP($E200,"quarterly_return",'Database Query'!$E$14)+H200</f>
        <v>#VALUE!</v>
      </c>
      <c r="J200" s="2" t="e" cm="1">
        <f t="array" aca="1" ref="J200" ca="1">_xlfn.IFS($B200="etf", _xll.YCP($A200,"ytd_total_return",'Database Query'!$E$14),$B200&lt;&gt;"etf",_xll.YCP("M:"&amp; $A200,"ytd_total_return",'Database Query'!$E$14))</f>
        <v>#VALUE!</v>
      </c>
      <c r="K200" s="2" t="e" cm="1">
        <f t="array" aca="1" ref="K200" ca="1">-_xll.YCP($E200,"ytd_return",'Database Query'!$E$14)+J200</f>
        <v>#VALUE!</v>
      </c>
      <c r="L200" s="2" t="e" cm="1">
        <f t="array" aca="1" ref="L200" ca="1">_xlfn.IFS($B200="etf", _xll.YCP($A200,"one_year_total_return",'Database Query'!$E$14),$B200&lt;&gt;"etf",_xll.YCP("M:"&amp; $A200,"one_year_total_return",'Database Query'!$E$14))</f>
        <v>#VALUE!</v>
      </c>
      <c r="M200" s="2" t="e" cm="1">
        <f t="array" aca="1" ref="M200" ca="1">-_xll.YCP($E200,"one_year_return",'Database Query'!$E$14)+L200</f>
        <v>#VALUE!</v>
      </c>
      <c r="N200" s="2" t="e" cm="1">
        <f t="array" aca="1" ref="N200" ca="1">_xlfn.IFS($B200="etf", _xll.YCP($A200,"three_year_total_return",'Database Query'!$E$14),$B200&lt;&gt;"etf",_xll.YCP("M:"&amp; $A200,"three_year_total_return",'Database Query'!$E$14))</f>
        <v>#VALUE!</v>
      </c>
      <c r="O200" s="2" t="e" cm="1">
        <f t="array" aca="1" ref="O200" ca="1">-_xll.YCP($E200,"three_year_return",'Database Query'!$E$14)+N200</f>
        <v>#VALUE!</v>
      </c>
      <c r="P200" s="2" t="e" cm="1">
        <f t="array" aca="1" ref="P200" ca="1">_xlfn.IFS($B200="etf", _xll.YCP($A200,"five_year_total_return",'Database Query'!$E$14),$B200&lt;&gt;"etf",_xll.YCP("M:"&amp; $A200,"five_year_total_return",'Database Query'!$E$14))</f>
        <v>#VALUE!</v>
      </c>
      <c r="Q200" s="2" t="e" cm="1">
        <f t="array" aca="1" ref="Q200" ca="1">-_xll.YCP($E200,"five_year_return",'Database Query'!$E$14)+P200</f>
        <v>#VALUE!</v>
      </c>
    </row>
    <row r="201" spans="1:17" x14ac:dyDescent="0.25">
      <c r="A201" t="str">
        <v>PXNIX</v>
      </c>
      <c r="B201" t="e" cm="1">
        <f t="array" aca="1" ref="B201" ca="1">_xll.YCI(A201,"detailed_security_type",TODAY())</f>
        <v>#VALUE!</v>
      </c>
      <c r="C201" t="e" cm="1">
        <f t="array" aca="1" ref="C201" ca="1">_xlfn.IFS(B201="etf", _xll.YCI(A201, "security_name",TODAY()),B201&lt;&gt;"etf",_xll.YCI("M:" &amp; A201, "security_name",TODAY()))</f>
        <v>#VALUE!</v>
      </c>
      <c r="D201" t="e" cm="1">
        <f t="array" aca="1" ref="D201" ca="1">_xlfn.IFS($B201="etf", _xll.YCI($A201, "ycharts_benchmark_category",TODAY()),$B201&lt;&gt;"etf",_xll.YCI("M:" &amp; $A201, "ycharts_benchmark_category",TODAY()))</f>
        <v>#VALUE!</v>
      </c>
      <c r="E201" t="e" cm="1">
        <f t="array" aca="1" ref="E201" ca="1">_xlfn.IFS($B201="etf", _xll.YCI($A201, "ycharts_benchmark_index_symbol",TODAY()),$B201&lt;&gt;"etf",_xll.YCI("M:" &amp; $A201, "ycharts_benchmark_index_symbol",TODAY()))</f>
        <v>#VALUE!</v>
      </c>
      <c r="F201" t="e" cm="1">
        <f t="array" aca="1" ref="F201" ca="1">_xlfn.IFS($B201="etf", _xll.YCI($E201, "security_name",TODAY()),$B201&lt;&gt;"etf",_xll.YCI( $E201, "security_name",TODAY()))</f>
        <v>#VALUE!</v>
      </c>
      <c r="G201" t="e" cm="1">
        <f t="array" aca="1" ref="G201" ca="1">_xlfn.IFS($B201="etf", _xll.YCI($A201, "prospectus_benchmark_index",TODAY()),$B201&lt;&gt;"etf",_xll.YCI("M:" &amp; $A201, "prospectus_benchmark_index",TODAY()))</f>
        <v>#VALUE!</v>
      </c>
      <c r="H201" s="2" t="e" cm="1">
        <f t="array" aca="1" ref="H201" ca="1">_xlfn.IFS($B201="etf", _xll.YCP($A201,"quarterly_total_return",'Database Query'!$E$14),$B201&lt;&gt;"etf",_xll.YCP("M:"&amp; $A201,"quarterly_total_return",'Database Query'!$E$14))</f>
        <v>#VALUE!</v>
      </c>
      <c r="I201" s="2" t="e" cm="1">
        <f t="array" aca="1" ref="I201" ca="1">-_xll.YCP($E201,"quarterly_return",'Database Query'!$E$14)+H201</f>
        <v>#VALUE!</v>
      </c>
      <c r="J201" s="2" t="e" cm="1">
        <f t="array" aca="1" ref="J201" ca="1">_xlfn.IFS($B201="etf", _xll.YCP($A201,"ytd_total_return",'Database Query'!$E$14),$B201&lt;&gt;"etf",_xll.YCP("M:"&amp; $A201,"ytd_total_return",'Database Query'!$E$14))</f>
        <v>#VALUE!</v>
      </c>
      <c r="K201" s="2" t="e" cm="1">
        <f t="array" aca="1" ref="K201" ca="1">-_xll.YCP($E201,"ytd_return",'Database Query'!$E$14)+J201</f>
        <v>#VALUE!</v>
      </c>
      <c r="L201" s="2" t="e" cm="1">
        <f t="array" aca="1" ref="L201" ca="1">_xlfn.IFS($B201="etf", _xll.YCP($A201,"one_year_total_return",'Database Query'!$E$14),$B201&lt;&gt;"etf",_xll.YCP("M:"&amp; $A201,"one_year_total_return",'Database Query'!$E$14))</f>
        <v>#VALUE!</v>
      </c>
      <c r="M201" s="2" t="e" cm="1">
        <f t="array" aca="1" ref="M201" ca="1">-_xll.YCP($E201,"one_year_return",'Database Query'!$E$14)+L201</f>
        <v>#VALUE!</v>
      </c>
      <c r="N201" s="2" t="e" cm="1">
        <f t="array" aca="1" ref="N201" ca="1">_xlfn.IFS($B201="etf", _xll.YCP($A201,"three_year_total_return",'Database Query'!$E$14),$B201&lt;&gt;"etf",_xll.YCP("M:"&amp; $A201,"three_year_total_return",'Database Query'!$E$14))</f>
        <v>#VALUE!</v>
      </c>
      <c r="O201" s="2" t="e" cm="1">
        <f t="array" aca="1" ref="O201" ca="1">-_xll.YCP($E201,"three_year_return",'Database Query'!$E$14)+N201</f>
        <v>#VALUE!</v>
      </c>
      <c r="P201" s="2" t="e" cm="1">
        <f t="array" aca="1" ref="P201" ca="1">_xlfn.IFS($B201="etf", _xll.YCP($A201,"five_year_total_return",'Database Query'!$E$14),$B201&lt;&gt;"etf",_xll.YCP("M:"&amp; $A201,"five_year_total_return",'Database Query'!$E$14))</f>
        <v>#VALUE!</v>
      </c>
      <c r="Q201" s="2" t="e" cm="1">
        <f t="array" aca="1" ref="Q201" ca="1">-_xll.YCP($E201,"five_year_return",'Database Query'!$E$14)+P201</f>
        <v>#VALUE!</v>
      </c>
    </row>
    <row r="202" spans="1:17" x14ac:dyDescent="0.25">
      <c r="A202" t="str">
        <v>QMNIX</v>
      </c>
      <c r="B202" t="e" cm="1">
        <f t="array" aca="1" ref="B202" ca="1">_xll.YCI(A202,"detailed_security_type",TODAY())</f>
        <v>#VALUE!</v>
      </c>
      <c r="C202" t="e" cm="1">
        <f t="array" aca="1" ref="C202" ca="1">_xlfn.IFS(B202="etf", _xll.YCI(A202, "security_name",TODAY()),B202&lt;&gt;"etf",_xll.YCI("M:" &amp; A202, "security_name",TODAY()))</f>
        <v>#VALUE!</v>
      </c>
      <c r="D202" t="e" cm="1">
        <f t="array" aca="1" ref="D202" ca="1">_xlfn.IFS($B202="etf", _xll.YCI($A202, "ycharts_benchmark_category",TODAY()),$B202&lt;&gt;"etf",_xll.YCI("M:" &amp; $A202, "ycharts_benchmark_category",TODAY()))</f>
        <v>#VALUE!</v>
      </c>
      <c r="E202" t="e" cm="1">
        <f t="array" aca="1" ref="E202" ca="1">_xlfn.IFS($B202="etf", _xll.YCI($A202, "ycharts_benchmark_index_symbol",TODAY()),$B202&lt;&gt;"etf",_xll.YCI("M:" &amp; $A202, "ycharts_benchmark_index_symbol",TODAY()))</f>
        <v>#VALUE!</v>
      </c>
      <c r="F202" t="e" cm="1">
        <f t="array" aca="1" ref="F202" ca="1">_xlfn.IFS($B202="etf", _xll.YCI($E202, "security_name",TODAY()),$B202&lt;&gt;"etf",_xll.YCI( $E202, "security_name",TODAY()))</f>
        <v>#VALUE!</v>
      </c>
      <c r="G202" t="e" cm="1">
        <f t="array" aca="1" ref="G202" ca="1">_xlfn.IFS($B202="etf", _xll.YCI($A202, "prospectus_benchmark_index",TODAY()),$B202&lt;&gt;"etf",_xll.YCI("M:" &amp; $A202, "prospectus_benchmark_index",TODAY()))</f>
        <v>#VALUE!</v>
      </c>
      <c r="H202" s="2" t="e" cm="1">
        <f t="array" aca="1" ref="H202" ca="1">_xlfn.IFS($B202="etf", _xll.YCP($A202,"quarterly_total_return",'Database Query'!$E$14),$B202&lt;&gt;"etf",_xll.YCP("M:"&amp; $A202,"quarterly_total_return",'Database Query'!$E$14))</f>
        <v>#VALUE!</v>
      </c>
      <c r="I202" s="2" t="e" cm="1">
        <f t="array" aca="1" ref="I202" ca="1">-_xll.YCP($E202,"quarterly_return",'Database Query'!$E$14)+H202</f>
        <v>#VALUE!</v>
      </c>
      <c r="J202" s="2" t="e" cm="1">
        <f t="array" aca="1" ref="J202" ca="1">_xlfn.IFS($B202="etf", _xll.YCP($A202,"ytd_total_return",'Database Query'!$E$14),$B202&lt;&gt;"etf",_xll.YCP("M:"&amp; $A202,"ytd_total_return",'Database Query'!$E$14))</f>
        <v>#VALUE!</v>
      </c>
      <c r="K202" s="2" t="e" cm="1">
        <f t="array" aca="1" ref="K202" ca="1">-_xll.YCP($E202,"ytd_return",'Database Query'!$E$14)+J202</f>
        <v>#VALUE!</v>
      </c>
      <c r="L202" s="2" t="e" cm="1">
        <f t="array" aca="1" ref="L202" ca="1">_xlfn.IFS($B202="etf", _xll.YCP($A202,"one_year_total_return",'Database Query'!$E$14),$B202&lt;&gt;"etf",_xll.YCP("M:"&amp; $A202,"one_year_total_return",'Database Query'!$E$14))</f>
        <v>#VALUE!</v>
      </c>
      <c r="M202" s="2" t="e" cm="1">
        <f t="array" aca="1" ref="M202" ca="1">-_xll.YCP($E202,"one_year_return",'Database Query'!$E$14)+L202</f>
        <v>#VALUE!</v>
      </c>
      <c r="N202" s="2" t="e" cm="1">
        <f t="array" aca="1" ref="N202" ca="1">_xlfn.IFS($B202="etf", _xll.YCP($A202,"three_year_total_return",'Database Query'!$E$14),$B202&lt;&gt;"etf",_xll.YCP("M:"&amp; $A202,"three_year_total_return",'Database Query'!$E$14))</f>
        <v>#VALUE!</v>
      </c>
      <c r="O202" s="2" t="e" cm="1">
        <f t="array" aca="1" ref="O202" ca="1">-_xll.YCP($E202,"three_year_return",'Database Query'!$E$14)+N202</f>
        <v>#VALUE!</v>
      </c>
      <c r="P202" s="2" t="e" cm="1">
        <f t="array" aca="1" ref="P202" ca="1">_xlfn.IFS($B202="etf", _xll.YCP($A202,"five_year_total_return",'Database Query'!$E$14),$B202&lt;&gt;"etf",_xll.YCP("M:"&amp; $A202,"five_year_total_return",'Database Query'!$E$14))</f>
        <v>#VALUE!</v>
      </c>
      <c r="Q202" s="2" t="e" cm="1">
        <f t="array" aca="1" ref="Q202" ca="1">-_xll.YCP($E202,"five_year_return",'Database Query'!$E$14)+P202</f>
        <v>#VALUE!</v>
      </c>
    </row>
    <row r="203" spans="1:17" x14ac:dyDescent="0.25">
      <c r="A203" t="str">
        <v>QNTIX</v>
      </c>
      <c r="B203" t="e" cm="1">
        <f t="array" aca="1" ref="B203" ca="1">_xll.YCI(A203,"detailed_security_type",TODAY())</f>
        <v>#VALUE!</v>
      </c>
      <c r="C203" t="e" cm="1">
        <f t="array" aca="1" ref="C203" ca="1">_xlfn.IFS(B203="etf", _xll.YCI(A203, "security_name",TODAY()),B203&lt;&gt;"etf",_xll.YCI("M:" &amp; A203, "security_name",TODAY()))</f>
        <v>#VALUE!</v>
      </c>
      <c r="D203" t="e" cm="1">
        <f t="array" aca="1" ref="D203" ca="1">_xlfn.IFS($B203="etf", _xll.YCI($A203, "ycharts_benchmark_category",TODAY()),$B203&lt;&gt;"etf",_xll.YCI("M:" &amp; $A203, "ycharts_benchmark_category",TODAY()))</f>
        <v>#VALUE!</v>
      </c>
      <c r="E203" t="e" cm="1">
        <f t="array" aca="1" ref="E203" ca="1">_xlfn.IFS($B203="etf", _xll.YCI($A203, "ycharts_benchmark_index_symbol",TODAY()),$B203&lt;&gt;"etf",_xll.YCI("M:" &amp; $A203, "ycharts_benchmark_index_symbol",TODAY()))</f>
        <v>#VALUE!</v>
      </c>
      <c r="F203" t="e" cm="1">
        <f t="array" aca="1" ref="F203" ca="1">_xlfn.IFS($B203="etf", _xll.YCI($E203, "security_name",TODAY()),$B203&lt;&gt;"etf",_xll.YCI( $E203, "security_name",TODAY()))</f>
        <v>#VALUE!</v>
      </c>
      <c r="G203" t="e" cm="1">
        <f t="array" aca="1" ref="G203" ca="1">_xlfn.IFS($B203="etf", _xll.YCI($A203, "prospectus_benchmark_index",TODAY()),$B203&lt;&gt;"etf",_xll.YCI("M:" &amp; $A203, "prospectus_benchmark_index",TODAY()))</f>
        <v>#VALUE!</v>
      </c>
      <c r="H203" s="2" t="e" cm="1">
        <f t="array" aca="1" ref="H203" ca="1">_xlfn.IFS($B203="etf", _xll.YCP($A203,"quarterly_total_return",'Database Query'!$E$14),$B203&lt;&gt;"etf",_xll.YCP("M:"&amp; $A203,"quarterly_total_return",'Database Query'!$E$14))</f>
        <v>#VALUE!</v>
      </c>
      <c r="I203" s="2" t="e" cm="1">
        <f t="array" aca="1" ref="I203" ca="1">-_xll.YCP($E203,"quarterly_return",'Database Query'!$E$14)+H203</f>
        <v>#VALUE!</v>
      </c>
      <c r="J203" s="2" t="e" cm="1">
        <f t="array" aca="1" ref="J203" ca="1">_xlfn.IFS($B203="etf", _xll.YCP($A203,"ytd_total_return",'Database Query'!$E$14),$B203&lt;&gt;"etf",_xll.YCP("M:"&amp; $A203,"ytd_total_return",'Database Query'!$E$14))</f>
        <v>#VALUE!</v>
      </c>
      <c r="K203" s="2" t="e" cm="1">
        <f t="array" aca="1" ref="K203" ca="1">-_xll.YCP($E203,"ytd_return",'Database Query'!$E$14)+J203</f>
        <v>#VALUE!</v>
      </c>
      <c r="L203" s="2" t="e" cm="1">
        <f t="array" aca="1" ref="L203" ca="1">_xlfn.IFS($B203="etf", _xll.YCP($A203,"one_year_total_return",'Database Query'!$E$14),$B203&lt;&gt;"etf",_xll.YCP("M:"&amp; $A203,"one_year_total_return",'Database Query'!$E$14))</f>
        <v>#VALUE!</v>
      </c>
      <c r="M203" s="2" t="e" cm="1">
        <f t="array" aca="1" ref="M203" ca="1">-_xll.YCP($E203,"one_year_return",'Database Query'!$E$14)+L203</f>
        <v>#VALUE!</v>
      </c>
      <c r="N203" s="2" t="e" cm="1">
        <f t="array" aca="1" ref="N203" ca="1">_xlfn.IFS($B203="etf", _xll.YCP($A203,"three_year_total_return",'Database Query'!$E$14),$B203&lt;&gt;"etf",_xll.YCP("M:"&amp; $A203,"three_year_total_return",'Database Query'!$E$14))</f>
        <v>#VALUE!</v>
      </c>
      <c r="O203" s="2" t="e" cm="1">
        <f t="array" aca="1" ref="O203" ca="1">-_xll.YCP($E203,"three_year_return",'Database Query'!$E$14)+N203</f>
        <v>#VALUE!</v>
      </c>
      <c r="P203" s="2" t="e" cm="1">
        <f t="array" aca="1" ref="P203" ca="1">_xlfn.IFS($B203="etf", _xll.YCP($A203,"five_year_total_return",'Database Query'!$E$14),$B203&lt;&gt;"etf",_xll.YCP("M:"&amp; $A203,"five_year_total_return",'Database Query'!$E$14))</f>
        <v>#VALUE!</v>
      </c>
      <c r="Q203" s="2" t="e" cm="1">
        <f t="array" aca="1" ref="Q203" ca="1">-_xll.YCP($E203,"five_year_return",'Database Query'!$E$14)+P203</f>
        <v>#VALUE!</v>
      </c>
    </row>
    <row r="204" spans="1:17" x14ac:dyDescent="0.25">
      <c r="A204" t="str">
        <v>QQQ</v>
      </c>
      <c r="B204" t="str" cm="1">
        <f t="array" aca="1" ref="B204" ca="1">_xll.YCI(A204,"detailed_security_type",TODAY())</f>
        <v>etf</v>
      </c>
      <c r="C204" t="str" cm="1">
        <f t="array" aca="1" ref="C204" ca="1">_xlfn.IFS(B204="etf", _xll.YCI(A204, "security_name",TODAY()),B204&lt;&gt;"etf",_xll.YCI("M:" &amp; A204, "security_name",TODAY()))</f>
        <v>Invesco QQQ Trust, Series 1</v>
      </c>
      <c r="D204" t="str" cm="1">
        <f t="array" aca="1" ref="D204" ca="1">_xlfn.IFS($B204="etf", _xll.YCI($A204, "ycharts_benchmark_category",TODAY()),$B204&lt;&gt;"etf",_xll.YCI("M:" &amp; $A204, "ycharts_benchmark_category",TODAY()))</f>
        <v>US Large Cap Growth</v>
      </c>
      <c r="E204" t="str" cm="1">
        <f t="array" aca="1" ref="E204" ca="1">_xlfn.IFS($B204="etf", _xll.YCI($A204, "ycharts_benchmark_index_symbol",TODAY()),$B204&lt;&gt;"etf",_xll.YCI("M:" &amp; $A204, "ycharts_benchmark_index_symbol",TODAY()))</f>
        <v>^RLGTR</v>
      </c>
      <c r="F204" t="str" cm="1">
        <f t="array" aca="1" ref="F204" ca="1">_xlfn.IFS($B204="etf", _xll.YCI($E204, "security_name",TODAY()),$B204&lt;&gt;"etf",_xll.YCI( $E204, "security_name",TODAY()))</f>
        <v>Russell 1000 Growth Total Return</v>
      </c>
      <c r="G204" t="str" cm="1">
        <f t="array" aca="1" ref="G204" ca="1">_xlfn.IFS($B204="etf", _xll.YCI($A204, "prospectus_benchmark_index",TODAY()),$B204&lt;&gt;"etf",_xll.YCI("M:" &amp; $A204, "prospectus_benchmark_index",TODAY()))</f>
        <v>NASDAQ 100 TR USD</v>
      </c>
      <c r="H204" s="2" cm="1">
        <f t="array" aca="1" ref="H204" ca="1">_xlfn.IFS($B204="etf", _xll.YCP($A204,"quarterly_total_return",'Database Query'!$E$14),$B204&lt;&gt;"etf",_xll.YCP("M:"&amp; $A204,"quarterly_total_return",'Database Query'!$E$14))</f>
        <v>4.9124000000000001E-2</v>
      </c>
      <c r="I204" s="2" cm="1">
        <f t="array" aca="1" ref="I204" ca="1">-_xll.YCP($E204,"quarterly_return",'Database Query'!$E$14)+H204</f>
        <v>-2.1581000000000003E-2</v>
      </c>
      <c r="J204" s="2" cm="1">
        <f t="array" aca="1" ref="J204" ca="1">_xlfn.IFS($B204="etf", _xll.YCP($A204,"ytd_total_return",'Database Query'!$E$14),$B204&lt;&gt;"etf",_xll.YCP("M:"&amp; $A204,"ytd_total_return",'Database Query'!$E$14))</f>
        <v>0.25576399999999999</v>
      </c>
      <c r="K204" s="2" cm="1">
        <f t="array" aca="1" ref="K204" ca="1">-_xll.YCP($E204,"ytd_return",'Database Query'!$E$14)+J204</f>
        <v>-7.7798000000000034E-2</v>
      </c>
      <c r="L204" s="2" cm="1">
        <f t="array" aca="1" ref="L204" ca="1">_xlfn.IFS($B204="etf", _xll.YCP($A204,"one_year_total_return",'Database Query'!$E$14),$B204&lt;&gt;"etf",_xll.YCP("M:"&amp; $A204,"one_year_total_return",'Database Query'!$E$14))</f>
        <v>0.25576399999999999</v>
      </c>
      <c r="M204" s="2" cm="1">
        <f t="array" aca="1" ref="M204" ca="1">-_xll.YCP($E204,"one_year_return",'Database Query'!$E$14)+L204</f>
        <v>-7.7798000000000034E-2</v>
      </c>
      <c r="N204" s="2" cm="1">
        <f t="array" aca="1" ref="N204" ca="1">_xlfn.IFS($B204="etf", _xll.YCP($A204,"three_year_total_return",'Database Query'!$E$14),$B204&lt;&gt;"etf",_xll.YCP("M:"&amp; $A204,"three_year_total_return",'Database Query'!$E$14))</f>
        <v>0.31106699999999998</v>
      </c>
      <c r="O204" s="2" cm="1">
        <f t="array" aca="1" ref="O204" ca="1">-_xll.YCP($E204,"three_year_return",'Database Query'!$E$14)+N204</f>
        <v>-3.724700000000003E-2</v>
      </c>
      <c r="P204" s="2" cm="1">
        <f t="array" aca="1" ref="P204" ca="1">_xlfn.IFS($B204="etf", _xll.YCP($A204,"five_year_total_return",'Database Query'!$E$14),$B204&lt;&gt;"etf",_xll.YCP("M:"&amp; $A204,"five_year_total_return",'Database Query'!$E$14))</f>
        <v>1.482774</v>
      </c>
      <c r="Q204" s="2" cm="1">
        <f t="array" aca="1" ref="Q204" ca="1">-_xll.YCP($E204,"five_year_return",'Database Query'!$E$14)+P204</f>
        <v>0.10013800000000006</v>
      </c>
    </row>
    <row r="205" spans="1:17" x14ac:dyDescent="0.25">
      <c r="A205" t="str">
        <v>QUAIX</v>
      </c>
      <c r="B205" t="e" cm="1">
        <f t="array" aca="1" ref="B205" ca="1">_xll.YCI(A205,"detailed_security_type",TODAY())</f>
        <v>#VALUE!</v>
      </c>
      <c r="C205" t="e" cm="1">
        <f t="array" aca="1" ref="C205" ca="1">_xlfn.IFS(B205="etf", _xll.YCI(A205, "security_name",TODAY()),B205&lt;&gt;"etf",_xll.YCI("M:" &amp; A205, "security_name",TODAY()))</f>
        <v>#VALUE!</v>
      </c>
      <c r="D205" t="e" cm="1">
        <f t="array" aca="1" ref="D205" ca="1">_xlfn.IFS($B205="etf", _xll.YCI($A205, "ycharts_benchmark_category",TODAY()),$B205&lt;&gt;"etf",_xll.YCI("M:" &amp; $A205, "ycharts_benchmark_category",TODAY()))</f>
        <v>#VALUE!</v>
      </c>
      <c r="E205" t="e" cm="1">
        <f t="array" aca="1" ref="E205" ca="1">_xlfn.IFS($B205="etf", _xll.YCI($A205, "ycharts_benchmark_index_symbol",TODAY()),$B205&lt;&gt;"etf",_xll.YCI("M:" &amp; $A205, "ycharts_benchmark_index_symbol",TODAY()))</f>
        <v>#VALUE!</v>
      </c>
      <c r="F205" t="e" cm="1">
        <f t="array" aca="1" ref="F205" ca="1">_xlfn.IFS($B205="etf", _xll.YCI($E205, "security_name",TODAY()),$B205&lt;&gt;"etf",_xll.YCI( $E205, "security_name",TODAY()))</f>
        <v>#VALUE!</v>
      </c>
      <c r="G205" t="e" cm="1">
        <f t="array" aca="1" ref="G205" ca="1">_xlfn.IFS($B205="etf", _xll.YCI($A205, "prospectus_benchmark_index",TODAY()),$B205&lt;&gt;"etf",_xll.YCI("M:" &amp; $A205, "prospectus_benchmark_index",TODAY()))</f>
        <v>#VALUE!</v>
      </c>
      <c r="H205" s="2" t="e" cm="1">
        <f t="array" aca="1" ref="H205" ca="1">_xlfn.IFS($B205="etf", _xll.YCP($A205,"quarterly_total_return",'Database Query'!$E$14),$B205&lt;&gt;"etf",_xll.YCP("M:"&amp; $A205,"quarterly_total_return",'Database Query'!$E$14))</f>
        <v>#VALUE!</v>
      </c>
      <c r="I205" s="2" t="e" cm="1">
        <f t="array" aca="1" ref="I205" ca="1">-_xll.YCP($E205,"quarterly_return",'Database Query'!$E$14)+H205</f>
        <v>#VALUE!</v>
      </c>
      <c r="J205" s="2" t="e" cm="1">
        <f t="array" aca="1" ref="J205" ca="1">_xlfn.IFS($B205="etf", _xll.YCP($A205,"ytd_total_return",'Database Query'!$E$14),$B205&lt;&gt;"etf",_xll.YCP("M:"&amp; $A205,"ytd_total_return",'Database Query'!$E$14))</f>
        <v>#VALUE!</v>
      </c>
      <c r="K205" s="2" t="e" cm="1">
        <f t="array" aca="1" ref="K205" ca="1">-_xll.YCP($E205,"ytd_return",'Database Query'!$E$14)+J205</f>
        <v>#VALUE!</v>
      </c>
      <c r="L205" s="2" t="e" cm="1">
        <f t="array" aca="1" ref="L205" ca="1">_xlfn.IFS($B205="etf", _xll.YCP($A205,"one_year_total_return",'Database Query'!$E$14),$B205&lt;&gt;"etf",_xll.YCP("M:"&amp; $A205,"one_year_total_return",'Database Query'!$E$14))</f>
        <v>#VALUE!</v>
      </c>
      <c r="M205" s="2" t="e" cm="1">
        <f t="array" aca="1" ref="M205" ca="1">-_xll.YCP($E205,"one_year_return",'Database Query'!$E$14)+L205</f>
        <v>#VALUE!</v>
      </c>
      <c r="N205" s="2" t="e" cm="1">
        <f t="array" aca="1" ref="N205" ca="1">_xlfn.IFS($B205="etf", _xll.YCP($A205,"three_year_total_return",'Database Query'!$E$14),$B205&lt;&gt;"etf",_xll.YCP("M:"&amp; $A205,"three_year_total_return",'Database Query'!$E$14))</f>
        <v>#VALUE!</v>
      </c>
      <c r="O205" s="2" t="e" cm="1">
        <f t="array" aca="1" ref="O205" ca="1">-_xll.YCP($E205,"three_year_return",'Database Query'!$E$14)+N205</f>
        <v>#VALUE!</v>
      </c>
      <c r="P205" s="2" t="e" cm="1">
        <f t="array" aca="1" ref="P205" ca="1">_xlfn.IFS($B205="etf", _xll.YCP($A205,"five_year_total_return",'Database Query'!$E$14),$B205&lt;&gt;"etf",_xll.YCP("M:"&amp; $A205,"five_year_total_return",'Database Query'!$E$14))</f>
        <v>#VALUE!</v>
      </c>
      <c r="Q205" s="2" t="e" cm="1">
        <f t="array" aca="1" ref="Q205" ca="1">-_xll.YCP($E205,"five_year_return",'Database Query'!$E$14)+P205</f>
        <v>#VALUE!</v>
      </c>
    </row>
    <row r="206" spans="1:17" x14ac:dyDescent="0.25">
      <c r="A206" t="str">
        <v>QUASX</v>
      </c>
      <c r="B206" t="e" cm="1">
        <f t="array" aca="1" ref="B206" ca="1">_xll.YCI(A206,"detailed_security_type",TODAY())</f>
        <v>#VALUE!</v>
      </c>
      <c r="C206" t="e" cm="1">
        <f t="array" aca="1" ref="C206" ca="1">_xlfn.IFS(B206="etf", _xll.YCI(A206, "security_name",TODAY()),B206&lt;&gt;"etf",_xll.YCI("M:" &amp; A206, "security_name",TODAY()))</f>
        <v>#VALUE!</v>
      </c>
      <c r="D206" t="e" cm="1">
        <f t="array" aca="1" ref="D206" ca="1">_xlfn.IFS($B206="etf", _xll.YCI($A206, "ycharts_benchmark_category",TODAY()),$B206&lt;&gt;"etf",_xll.YCI("M:" &amp; $A206, "ycharts_benchmark_category",TODAY()))</f>
        <v>#VALUE!</v>
      </c>
      <c r="E206" t="e" cm="1">
        <f t="array" aca="1" ref="E206" ca="1">_xlfn.IFS($B206="etf", _xll.YCI($A206, "ycharts_benchmark_index_symbol",TODAY()),$B206&lt;&gt;"etf",_xll.YCI("M:" &amp; $A206, "ycharts_benchmark_index_symbol",TODAY()))</f>
        <v>#VALUE!</v>
      </c>
      <c r="F206" t="e" cm="1">
        <f t="array" aca="1" ref="F206" ca="1">_xlfn.IFS($B206="etf", _xll.YCI($E206, "security_name",TODAY()),$B206&lt;&gt;"etf",_xll.YCI( $E206, "security_name",TODAY()))</f>
        <v>#VALUE!</v>
      </c>
      <c r="G206" t="e" cm="1">
        <f t="array" aca="1" ref="G206" ca="1">_xlfn.IFS($B206="etf", _xll.YCI($A206, "prospectus_benchmark_index",TODAY()),$B206&lt;&gt;"etf",_xll.YCI("M:" &amp; $A206, "prospectus_benchmark_index",TODAY()))</f>
        <v>#VALUE!</v>
      </c>
      <c r="H206" s="2" t="e" cm="1">
        <f t="array" aca="1" ref="H206" ca="1">_xlfn.IFS($B206="etf", _xll.YCP($A206,"quarterly_total_return",'Database Query'!$E$14),$B206&lt;&gt;"etf",_xll.YCP("M:"&amp; $A206,"quarterly_total_return",'Database Query'!$E$14))</f>
        <v>#VALUE!</v>
      </c>
      <c r="I206" s="2" t="e" cm="1">
        <f t="array" aca="1" ref="I206" ca="1">-_xll.YCP($E206,"quarterly_return",'Database Query'!$E$14)+H206</f>
        <v>#VALUE!</v>
      </c>
      <c r="J206" s="2" t="e" cm="1">
        <f t="array" aca="1" ref="J206" ca="1">_xlfn.IFS($B206="etf", _xll.YCP($A206,"ytd_total_return",'Database Query'!$E$14),$B206&lt;&gt;"etf",_xll.YCP("M:"&amp; $A206,"ytd_total_return",'Database Query'!$E$14))</f>
        <v>#VALUE!</v>
      </c>
      <c r="K206" s="2" t="e" cm="1">
        <f t="array" aca="1" ref="K206" ca="1">-_xll.YCP($E206,"ytd_return",'Database Query'!$E$14)+J206</f>
        <v>#VALUE!</v>
      </c>
      <c r="L206" s="2" t="e" cm="1">
        <f t="array" aca="1" ref="L206" ca="1">_xlfn.IFS($B206="etf", _xll.YCP($A206,"one_year_total_return",'Database Query'!$E$14),$B206&lt;&gt;"etf",_xll.YCP("M:"&amp; $A206,"one_year_total_return",'Database Query'!$E$14))</f>
        <v>#VALUE!</v>
      </c>
      <c r="M206" s="2" t="e" cm="1">
        <f t="array" aca="1" ref="M206" ca="1">-_xll.YCP($E206,"one_year_return",'Database Query'!$E$14)+L206</f>
        <v>#VALUE!</v>
      </c>
      <c r="N206" s="2" t="e" cm="1">
        <f t="array" aca="1" ref="N206" ca="1">_xlfn.IFS($B206="etf", _xll.YCP($A206,"three_year_total_return",'Database Query'!$E$14),$B206&lt;&gt;"etf",_xll.YCP("M:"&amp; $A206,"three_year_total_return",'Database Query'!$E$14))</f>
        <v>#VALUE!</v>
      </c>
      <c r="O206" s="2" t="e" cm="1">
        <f t="array" aca="1" ref="O206" ca="1">-_xll.YCP($E206,"three_year_return",'Database Query'!$E$14)+N206</f>
        <v>#VALUE!</v>
      </c>
      <c r="P206" s="2" t="e" cm="1">
        <f t="array" aca="1" ref="P206" ca="1">_xlfn.IFS($B206="etf", _xll.YCP($A206,"five_year_total_return",'Database Query'!$E$14),$B206&lt;&gt;"etf",_xll.YCP("M:"&amp; $A206,"five_year_total_return",'Database Query'!$E$14))</f>
        <v>#VALUE!</v>
      </c>
      <c r="Q206" s="2" t="e" cm="1">
        <f t="array" aca="1" ref="Q206" ca="1">-_xll.YCP($E206,"five_year_return",'Database Query'!$E$14)+P206</f>
        <v>#VALUE!</v>
      </c>
    </row>
    <row r="207" spans="1:17" x14ac:dyDescent="0.25">
      <c r="A207" t="str">
        <v>QUAYX</v>
      </c>
      <c r="B207" t="e" cm="1">
        <f t="array" aca="1" ref="B207" ca="1">_xll.YCI(A207,"detailed_security_type",TODAY())</f>
        <v>#VALUE!</v>
      </c>
      <c r="C207" t="e" cm="1">
        <f t="array" aca="1" ref="C207" ca="1">_xlfn.IFS(B207="etf", _xll.YCI(A207, "security_name",TODAY()),B207&lt;&gt;"etf",_xll.YCI("M:" &amp; A207, "security_name",TODAY()))</f>
        <v>#VALUE!</v>
      </c>
      <c r="D207" t="e" cm="1">
        <f t="array" aca="1" ref="D207" ca="1">_xlfn.IFS($B207="etf", _xll.YCI($A207, "ycharts_benchmark_category",TODAY()),$B207&lt;&gt;"etf",_xll.YCI("M:" &amp; $A207, "ycharts_benchmark_category",TODAY()))</f>
        <v>#VALUE!</v>
      </c>
      <c r="E207" t="e" cm="1">
        <f t="array" aca="1" ref="E207" ca="1">_xlfn.IFS($B207="etf", _xll.YCI($A207, "ycharts_benchmark_index_symbol",TODAY()),$B207&lt;&gt;"etf",_xll.YCI("M:" &amp; $A207, "ycharts_benchmark_index_symbol",TODAY()))</f>
        <v>#VALUE!</v>
      </c>
      <c r="F207" t="e" cm="1">
        <f t="array" aca="1" ref="F207" ca="1">_xlfn.IFS($B207="etf", _xll.YCI($E207, "security_name",TODAY()),$B207&lt;&gt;"etf",_xll.YCI( $E207, "security_name",TODAY()))</f>
        <v>#VALUE!</v>
      </c>
      <c r="G207" t="e" cm="1">
        <f t="array" aca="1" ref="G207" ca="1">_xlfn.IFS($B207="etf", _xll.YCI($A207, "prospectus_benchmark_index",TODAY()),$B207&lt;&gt;"etf",_xll.YCI("M:" &amp; $A207, "prospectus_benchmark_index",TODAY()))</f>
        <v>#VALUE!</v>
      </c>
      <c r="H207" s="2" t="e" cm="1">
        <f t="array" aca="1" ref="H207" ca="1">_xlfn.IFS($B207="etf", _xll.YCP($A207,"quarterly_total_return",'Database Query'!$E$14),$B207&lt;&gt;"etf",_xll.YCP("M:"&amp; $A207,"quarterly_total_return",'Database Query'!$E$14))</f>
        <v>#VALUE!</v>
      </c>
      <c r="I207" s="2" t="e" cm="1">
        <f t="array" aca="1" ref="I207" ca="1">-_xll.YCP($E207,"quarterly_return",'Database Query'!$E$14)+H207</f>
        <v>#VALUE!</v>
      </c>
      <c r="J207" s="2" t="e" cm="1">
        <f t="array" aca="1" ref="J207" ca="1">_xlfn.IFS($B207="etf", _xll.YCP($A207,"ytd_total_return",'Database Query'!$E$14),$B207&lt;&gt;"etf",_xll.YCP("M:"&amp; $A207,"ytd_total_return",'Database Query'!$E$14))</f>
        <v>#VALUE!</v>
      </c>
      <c r="K207" s="2" t="e" cm="1">
        <f t="array" aca="1" ref="K207" ca="1">-_xll.YCP($E207,"ytd_return",'Database Query'!$E$14)+J207</f>
        <v>#VALUE!</v>
      </c>
      <c r="L207" s="2" t="e" cm="1">
        <f t="array" aca="1" ref="L207" ca="1">_xlfn.IFS($B207="etf", _xll.YCP($A207,"one_year_total_return",'Database Query'!$E$14),$B207&lt;&gt;"etf",_xll.YCP("M:"&amp; $A207,"one_year_total_return",'Database Query'!$E$14))</f>
        <v>#VALUE!</v>
      </c>
      <c r="M207" s="2" t="e" cm="1">
        <f t="array" aca="1" ref="M207" ca="1">-_xll.YCP($E207,"one_year_return",'Database Query'!$E$14)+L207</f>
        <v>#VALUE!</v>
      </c>
      <c r="N207" s="2" t="e" cm="1">
        <f t="array" aca="1" ref="N207" ca="1">_xlfn.IFS($B207="etf", _xll.YCP($A207,"three_year_total_return",'Database Query'!$E$14),$B207&lt;&gt;"etf",_xll.YCP("M:"&amp; $A207,"three_year_total_return",'Database Query'!$E$14))</f>
        <v>#VALUE!</v>
      </c>
      <c r="O207" s="2" t="e" cm="1">
        <f t="array" aca="1" ref="O207" ca="1">-_xll.YCP($E207,"three_year_return",'Database Query'!$E$14)+N207</f>
        <v>#VALUE!</v>
      </c>
      <c r="P207" s="2" t="e" cm="1">
        <f t="array" aca="1" ref="P207" ca="1">_xlfn.IFS($B207="etf", _xll.YCP($A207,"five_year_total_return",'Database Query'!$E$14),$B207&lt;&gt;"etf",_xll.YCP("M:"&amp; $A207,"five_year_total_return",'Database Query'!$E$14))</f>
        <v>#VALUE!</v>
      </c>
      <c r="Q207" s="2" t="e" cm="1">
        <f t="array" aca="1" ref="Q207" ca="1">-_xll.YCP($E207,"five_year_return",'Database Query'!$E$14)+P207</f>
        <v>#VALUE!</v>
      </c>
    </row>
    <row r="208" spans="1:17" x14ac:dyDescent="0.25">
      <c r="A208" t="str">
        <v>RSYEX</v>
      </c>
      <c r="B208" t="e" cm="1">
        <f t="array" aca="1" ref="B208" ca="1">_xll.YCI(A208,"detailed_security_type",TODAY())</f>
        <v>#VALUE!</v>
      </c>
      <c r="C208" t="e" cm="1">
        <f t="array" aca="1" ref="C208" ca="1">_xlfn.IFS(B208="etf", _xll.YCI(A208, "security_name",TODAY()),B208&lt;&gt;"etf",_xll.YCI("M:" &amp; A208, "security_name",TODAY()))</f>
        <v>#VALUE!</v>
      </c>
      <c r="D208" t="e" cm="1">
        <f t="array" aca="1" ref="D208" ca="1">_xlfn.IFS($B208="etf", _xll.YCI($A208, "ycharts_benchmark_category",TODAY()),$B208&lt;&gt;"etf",_xll.YCI("M:" &amp; $A208, "ycharts_benchmark_category",TODAY()))</f>
        <v>#VALUE!</v>
      </c>
      <c r="E208" t="e" cm="1">
        <f t="array" aca="1" ref="E208" ca="1">_xlfn.IFS($B208="etf", _xll.YCI($A208, "ycharts_benchmark_index_symbol",TODAY()),$B208&lt;&gt;"etf",_xll.YCI("M:" &amp; $A208, "ycharts_benchmark_index_symbol",TODAY()))</f>
        <v>#VALUE!</v>
      </c>
      <c r="F208" t="e" cm="1">
        <f t="array" aca="1" ref="F208" ca="1">_xlfn.IFS($B208="etf", _xll.YCI($E208, "security_name",TODAY()),$B208&lt;&gt;"etf",_xll.YCI( $E208, "security_name",TODAY()))</f>
        <v>#VALUE!</v>
      </c>
      <c r="G208" t="e" cm="1">
        <f t="array" aca="1" ref="G208" ca="1">_xlfn.IFS($B208="etf", _xll.YCI($A208, "prospectus_benchmark_index",TODAY()),$B208&lt;&gt;"etf",_xll.YCI("M:" &amp; $A208, "prospectus_benchmark_index",TODAY()))</f>
        <v>#VALUE!</v>
      </c>
      <c r="H208" s="2" t="e" cm="1">
        <f t="array" aca="1" ref="H208" ca="1">_xlfn.IFS($B208="etf", _xll.YCP($A208,"quarterly_total_return",'Database Query'!$E$14),$B208&lt;&gt;"etf",_xll.YCP("M:"&amp; $A208,"quarterly_total_return",'Database Query'!$E$14))</f>
        <v>#VALUE!</v>
      </c>
      <c r="I208" s="2" t="e" cm="1">
        <f t="array" aca="1" ref="I208" ca="1">-_xll.YCP($E208,"quarterly_return",'Database Query'!$E$14)+H208</f>
        <v>#VALUE!</v>
      </c>
      <c r="J208" s="2" t="e" cm="1">
        <f t="array" aca="1" ref="J208" ca="1">_xlfn.IFS($B208="etf", _xll.YCP($A208,"ytd_total_return",'Database Query'!$E$14),$B208&lt;&gt;"etf",_xll.YCP("M:"&amp; $A208,"ytd_total_return",'Database Query'!$E$14))</f>
        <v>#VALUE!</v>
      </c>
      <c r="K208" s="2" t="e" cm="1">
        <f t="array" aca="1" ref="K208" ca="1">-_xll.YCP($E208,"ytd_return",'Database Query'!$E$14)+J208</f>
        <v>#VALUE!</v>
      </c>
      <c r="L208" s="2" t="e" cm="1">
        <f t="array" aca="1" ref="L208" ca="1">_xlfn.IFS($B208="etf", _xll.YCP($A208,"one_year_total_return",'Database Query'!$E$14),$B208&lt;&gt;"etf",_xll.YCP("M:"&amp; $A208,"one_year_total_return",'Database Query'!$E$14))</f>
        <v>#VALUE!</v>
      </c>
      <c r="M208" s="2" t="e" cm="1">
        <f t="array" aca="1" ref="M208" ca="1">-_xll.YCP($E208,"one_year_return",'Database Query'!$E$14)+L208</f>
        <v>#VALUE!</v>
      </c>
      <c r="N208" s="2" t="e" cm="1">
        <f t="array" aca="1" ref="N208" ca="1">_xlfn.IFS($B208="etf", _xll.YCP($A208,"three_year_total_return",'Database Query'!$E$14),$B208&lt;&gt;"etf",_xll.YCP("M:"&amp; $A208,"three_year_total_return",'Database Query'!$E$14))</f>
        <v>#VALUE!</v>
      </c>
      <c r="O208" s="2" t="e" cm="1">
        <f t="array" aca="1" ref="O208" ca="1">-_xll.YCP($E208,"three_year_return",'Database Query'!$E$14)+N208</f>
        <v>#VALUE!</v>
      </c>
      <c r="P208" s="2" t="e" cm="1">
        <f t="array" aca="1" ref="P208" ca="1">_xlfn.IFS($B208="etf", _xll.YCP($A208,"five_year_total_return",'Database Query'!$E$14),$B208&lt;&gt;"etf",_xll.YCP("M:"&amp; $A208,"five_year_total_return",'Database Query'!$E$14))</f>
        <v>#VALUE!</v>
      </c>
      <c r="Q208" s="2" t="e" cm="1">
        <f t="array" aca="1" ref="Q208" ca="1">-_xll.YCP($E208,"five_year_return",'Database Query'!$E$14)+P208</f>
        <v>#VALUE!</v>
      </c>
    </row>
    <row r="209" spans="1:17" x14ac:dyDescent="0.25">
      <c r="A209" t="str">
        <v>RYMFX</v>
      </c>
      <c r="B209" t="e" cm="1">
        <f t="array" aca="1" ref="B209" ca="1">_xll.YCI(A209,"detailed_security_type",TODAY())</f>
        <v>#VALUE!</v>
      </c>
      <c r="C209" t="e" cm="1">
        <f t="array" aca="1" ref="C209" ca="1">_xlfn.IFS(B209="etf", _xll.YCI(A209, "security_name",TODAY()),B209&lt;&gt;"etf",_xll.YCI("M:" &amp; A209, "security_name",TODAY()))</f>
        <v>#VALUE!</v>
      </c>
      <c r="D209" t="e" cm="1">
        <f t="array" aca="1" ref="D209" ca="1">_xlfn.IFS($B209="etf", _xll.YCI($A209, "ycharts_benchmark_category",TODAY()),$B209&lt;&gt;"etf",_xll.YCI("M:" &amp; $A209, "ycharts_benchmark_category",TODAY()))</f>
        <v>#VALUE!</v>
      </c>
      <c r="E209" t="e" cm="1">
        <f t="array" aca="1" ref="E209" ca="1">_xlfn.IFS($B209="etf", _xll.YCI($A209, "ycharts_benchmark_index_symbol",TODAY()),$B209&lt;&gt;"etf",_xll.YCI("M:" &amp; $A209, "ycharts_benchmark_index_symbol",TODAY()))</f>
        <v>#VALUE!</v>
      </c>
      <c r="F209" t="e" cm="1">
        <f t="array" aca="1" ref="F209" ca="1">_xlfn.IFS($B209="etf", _xll.YCI($E209, "security_name",TODAY()),$B209&lt;&gt;"etf",_xll.YCI( $E209, "security_name",TODAY()))</f>
        <v>#VALUE!</v>
      </c>
      <c r="G209" t="e" cm="1">
        <f t="array" aca="1" ref="G209" ca="1">_xlfn.IFS($B209="etf", _xll.YCI($A209, "prospectus_benchmark_index",TODAY()),$B209&lt;&gt;"etf",_xll.YCI("M:" &amp; $A209, "prospectus_benchmark_index",TODAY()))</f>
        <v>#VALUE!</v>
      </c>
      <c r="H209" s="2" t="e" cm="1">
        <f t="array" aca="1" ref="H209" ca="1">_xlfn.IFS($B209="etf", _xll.YCP($A209,"quarterly_total_return",'Database Query'!$E$14),$B209&lt;&gt;"etf",_xll.YCP("M:"&amp; $A209,"quarterly_total_return",'Database Query'!$E$14))</f>
        <v>#VALUE!</v>
      </c>
      <c r="I209" s="2" t="e" cm="1">
        <f t="array" aca="1" ref="I209" ca="1">-_xll.YCP($E209,"quarterly_return",'Database Query'!$E$14)+H209</f>
        <v>#VALUE!</v>
      </c>
      <c r="J209" s="2" t="e" cm="1">
        <f t="array" aca="1" ref="J209" ca="1">_xlfn.IFS($B209="etf", _xll.YCP($A209,"ytd_total_return",'Database Query'!$E$14),$B209&lt;&gt;"etf",_xll.YCP("M:"&amp; $A209,"ytd_total_return",'Database Query'!$E$14))</f>
        <v>#VALUE!</v>
      </c>
      <c r="K209" s="2" t="e" cm="1">
        <f t="array" aca="1" ref="K209" ca="1">-_xll.YCP($E209,"ytd_return",'Database Query'!$E$14)+J209</f>
        <v>#VALUE!</v>
      </c>
      <c r="L209" s="2" t="e" cm="1">
        <f t="array" aca="1" ref="L209" ca="1">_xlfn.IFS($B209="etf", _xll.YCP($A209,"one_year_total_return",'Database Query'!$E$14),$B209&lt;&gt;"etf",_xll.YCP("M:"&amp; $A209,"one_year_total_return",'Database Query'!$E$14))</f>
        <v>#VALUE!</v>
      </c>
      <c r="M209" s="2" t="e" cm="1">
        <f t="array" aca="1" ref="M209" ca="1">-_xll.YCP($E209,"one_year_return",'Database Query'!$E$14)+L209</f>
        <v>#VALUE!</v>
      </c>
      <c r="N209" s="2" t="e" cm="1">
        <f t="array" aca="1" ref="N209" ca="1">_xlfn.IFS($B209="etf", _xll.YCP($A209,"three_year_total_return",'Database Query'!$E$14),$B209&lt;&gt;"etf",_xll.YCP("M:"&amp; $A209,"three_year_total_return",'Database Query'!$E$14))</f>
        <v>#VALUE!</v>
      </c>
      <c r="O209" s="2" t="e" cm="1">
        <f t="array" aca="1" ref="O209" ca="1">-_xll.YCP($E209,"three_year_return",'Database Query'!$E$14)+N209</f>
        <v>#VALUE!</v>
      </c>
      <c r="P209" s="2" t="e" cm="1">
        <f t="array" aca="1" ref="P209" ca="1">_xlfn.IFS($B209="etf", _xll.YCP($A209,"five_year_total_return",'Database Query'!$E$14),$B209&lt;&gt;"etf",_xll.YCP("M:"&amp; $A209,"five_year_total_return",'Database Query'!$E$14))</f>
        <v>#VALUE!</v>
      </c>
      <c r="Q209" s="2" t="e" cm="1">
        <f t="array" aca="1" ref="Q209" ca="1">-_xll.YCP($E209,"five_year_return",'Database Query'!$E$14)+P209</f>
        <v>#VALUE!</v>
      </c>
    </row>
    <row r="210" spans="1:17" x14ac:dyDescent="0.25">
      <c r="A210" t="str">
        <v>RYMSX</v>
      </c>
      <c r="B210" t="e" cm="1">
        <f t="array" aca="1" ref="B210" ca="1">_xll.YCI(A210,"detailed_security_type",TODAY())</f>
        <v>#VALUE!</v>
      </c>
      <c r="C210" t="e" cm="1">
        <f t="array" aca="1" ref="C210" ca="1">_xlfn.IFS(B210="etf", _xll.YCI(A210, "security_name",TODAY()),B210&lt;&gt;"etf",_xll.YCI("M:" &amp; A210, "security_name",TODAY()))</f>
        <v>#VALUE!</v>
      </c>
      <c r="D210" t="e" cm="1">
        <f t="array" aca="1" ref="D210" ca="1">_xlfn.IFS($B210="etf", _xll.YCI($A210, "ycharts_benchmark_category",TODAY()),$B210&lt;&gt;"etf",_xll.YCI("M:" &amp; $A210, "ycharts_benchmark_category",TODAY()))</f>
        <v>#VALUE!</v>
      </c>
      <c r="E210" t="e" cm="1">
        <f t="array" aca="1" ref="E210" ca="1">_xlfn.IFS($B210="etf", _xll.YCI($A210, "ycharts_benchmark_index_symbol",TODAY()),$B210&lt;&gt;"etf",_xll.YCI("M:" &amp; $A210, "ycharts_benchmark_index_symbol",TODAY()))</f>
        <v>#VALUE!</v>
      </c>
      <c r="F210" t="e" cm="1">
        <f t="array" aca="1" ref="F210" ca="1">_xlfn.IFS($B210="etf", _xll.YCI($E210, "security_name",TODAY()),$B210&lt;&gt;"etf",_xll.YCI( $E210, "security_name",TODAY()))</f>
        <v>#VALUE!</v>
      </c>
      <c r="G210" t="e" cm="1">
        <f t="array" aca="1" ref="G210" ca="1">_xlfn.IFS($B210="etf", _xll.YCI($A210, "prospectus_benchmark_index",TODAY()),$B210&lt;&gt;"etf",_xll.YCI("M:" &amp; $A210, "prospectus_benchmark_index",TODAY()))</f>
        <v>#VALUE!</v>
      </c>
      <c r="H210" s="2" t="e" cm="1">
        <f t="array" aca="1" ref="H210" ca="1">_xlfn.IFS($B210="etf", _xll.YCP($A210,"quarterly_total_return",'Database Query'!$E$14),$B210&lt;&gt;"etf",_xll.YCP("M:"&amp; $A210,"quarterly_total_return",'Database Query'!$E$14))</f>
        <v>#VALUE!</v>
      </c>
      <c r="I210" s="2" t="e" cm="1">
        <f t="array" aca="1" ref="I210" ca="1">-_xll.YCP($E210,"quarterly_return",'Database Query'!$E$14)+H210</f>
        <v>#VALUE!</v>
      </c>
      <c r="J210" s="2" t="e" cm="1">
        <f t="array" aca="1" ref="J210" ca="1">_xlfn.IFS($B210="etf", _xll.YCP($A210,"ytd_total_return",'Database Query'!$E$14),$B210&lt;&gt;"etf",_xll.YCP("M:"&amp; $A210,"ytd_total_return",'Database Query'!$E$14))</f>
        <v>#VALUE!</v>
      </c>
      <c r="K210" s="2" t="e" cm="1">
        <f t="array" aca="1" ref="K210" ca="1">-_xll.YCP($E210,"ytd_return",'Database Query'!$E$14)+J210</f>
        <v>#VALUE!</v>
      </c>
      <c r="L210" s="2" t="e" cm="1">
        <f t="array" aca="1" ref="L210" ca="1">_xlfn.IFS($B210="etf", _xll.YCP($A210,"one_year_total_return",'Database Query'!$E$14),$B210&lt;&gt;"etf",_xll.YCP("M:"&amp; $A210,"one_year_total_return",'Database Query'!$E$14))</f>
        <v>#VALUE!</v>
      </c>
      <c r="M210" s="2" t="e" cm="1">
        <f t="array" aca="1" ref="M210" ca="1">-_xll.YCP($E210,"one_year_return",'Database Query'!$E$14)+L210</f>
        <v>#VALUE!</v>
      </c>
      <c r="N210" s="2" t="e" cm="1">
        <f t="array" aca="1" ref="N210" ca="1">_xlfn.IFS($B210="etf", _xll.YCP($A210,"three_year_total_return",'Database Query'!$E$14),$B210&lt;&gt;"etf",_xll.YCP("M:"&amp; $A210,"three_year_total_return",'Database Query'!$E$14))</f>
        <v>#VALUE!</v>
      </c>
      <c r="O210" s="2" t="e" cm="1">
        <f t="array" aca="1" ref="O210" ca="1">-_xll.YCP($E210,"three_year_return",'Database Query'!$E$14)+N210</f>
        <v>#VALUE!</v>
      </c>
      <c r="P210" s="2" t="e" cm="1">
        <f t="array" aca="1" ref="P210" ca="1">_xlfn.IFS($B210="etf", _xll.YCP($A210,"five_year_total_return",'Database Query'!$E$14),$B210&lt;&gt;"etf",_xll.YCP("M:"&amp; $A210,"five_year_total_return",'Database Query'!$E$14))</f>
        <v>#VALUE!</v>
      </c>
      <c r="Q210" s="2" t="e" cm="1">
        <f t="array" aca="1" ref="Q210" ca="1">-_xll.YCP($E210,"five_year_return",'Database Query'!$E$14)+P210</f>
        <v>#VALUE!</v>
      </c>
    </row>
    <row r="211" spans="1:17" x14ac:dyDescent="0.25">
      <c r="A211" t="str">
        <v>RZG</v>
      </c>
      <c r="B211" t="str" cm="1">
        <f t="array" aca="1" ref="B211" ca="1">_xll.YCI(A211,"detailed_security_type",TODAY())</f>
        <v>etf</v>
      </c>
      <c r="C211" t="str" cm="1">
        <f t="array" aca="1" ref="C211" ca="1">_xlfn.IFS(B211="etf", _xll.YCI(A211, "security_name",TODAY()),B211&lt;&gt;"etf",_xll.YCI("M:" &amp; A211, "security_name",TODAY()))</f>
        <v>Invesco S&amp;P SmallCap 600 Pure Growth ETF</v>
      </c>
      <c r="D211" t="str" cm="1">
        <f t="array" aca="1" ref="D211" ca="1">_xlfn.IFS($B211="etf", _xll.YCI($A211, "ycharts_benchmark_category",TODAY()),$B211&lt;&gt;"etf",_xll.YCI("M:" &amp; $A211, "ycharts_benchmark_category",TODAY()))</f>
        <v>US Small-Cap Growth</v>
      </c>
      <c r="E211" t="str" cm="1">
        <f t="array" aca="1" ref="E211" ca="1">_xlfn.IFS($B211="etf", _xll.YCI($A211, "ycharts_benchmark_index_symbol",TODAY()),$B211&lt;&gt;"etf",_xll.YCI("M:" &amp; $A211, "ycharts_benchmark_index_symbol",TODAY()))</f>
        <v>^RUOTR</v>
      </c>
      <c r="F211" t="str" cm="1">
        <f t="array" aca="1" ref="F211" ca="1">_xlfn.IFS($B211="etf", _xll.YCI($E211, "security_name",TODAY()),$B211&lt;&gt;"etf",_xll.YCI( $E211, "security_name",TODAY()))</f>
        <v>Russell 2000 Growth Total Return</v>
      </c>
      <c r="G211" t="str" cm="1">
        <f t="array" aca="1" ref="G211" ca="1">_xlfn.IFS($B211="etf", _xll.YCI($A211, "prospectus_benchmark_index",TODAY()),$B211&lt;&gt;"etf",_xll.YCI("M:" &amp; $A211, "prospectus_benchmark_index",TODAY()))</f>
        <v>S&amp;P SmallCap 600 Pure Growth TR USD</v>
      </c>
      <c r="H211" s="2" cm="1">
        <f t="array" aca="1" ref="H211" ca="1">_xlfn.IFS($B211="etf", _xll.YCP($A211,"quarterly_total_return",'Database Query'!$E$14),$B211&lt;&gt;"etf",_xll.YCP("M:"&amp; $A211,"quarterly_total_return",'Database Query'!$E$14))</f>
        <v>-3.5693000000000003E-2</v>
      </c>
      <c r="I211" s="2" cm="1">
        <f t="array" aca="1" ref="I211" ca="1">-_xll.YCP($E211,"quarterly_return",'Database Query'!$E$14)+H211</f>
        <v>-5.2732000000000001E-2</v>
      </c>
      <c r="J211" s="2" cm="1">
        <f t="array" aca="1" ref="J211" ca="1">_xlfn.IFS($B211="etf", _xll.YCP($A211,"ytd_total_return",'Database Query'!$E$14),$B211&lt;&gt;"etf",_xll.YCP("M:"&amp; $A211,"ytd_total_return",'Database Query'!$E$14))</f>
        <v>9.8338999999999996E-2</v>
      </c>
      <c r="K211" s="2" cm="1">
        <f t="array" aca="1" ref="K211" ca="1">-_xll.YCP($E211,"ytd_return",'Database Query'!$E$14)+J211</f>
        <v>-5.3203000000000014E-2</v>
      </c>
      <c r="L211" s="2" cm="1">
        <f t="array" aca="1" ref="L211" ca="1">_xlfn.IFS($B211="etf", _xll.YCP($A211,"one_year_total_return",'Database Query'!$E$14),$B211&lt;&gt;"etf",_xll.YCP("M:"&amp; $A211,"one_year_total_return",'Database Query'!$E$14))</f>
        <v>9.8338999999999996E-2</v>
      </c>
      <c r="M211" s="2" cm="1">
        <f t="array" aca="1" ref="M211" ca="1">-_xll.YCP($E211,"one_year_return",'Database Query'!$E$14)+L211</f>
        <v>-5.3203000000000014E-2</v>
      </c>
      <c r="N211" s="2" cm="1">
        <f t="array" aca="1" ref="N211" ca="1">_xlfn.IFS($B211="etf", _xll.YCP($A211,"three_year_total_return",'Database Query'!$E$14),$B211&lt;&gt;"etf",_xll.YCP("M:"&amp; $A211,"three_year_total_return",'Database Query'!$E$14))</f>
        <v>-7.0966000000000001E-2</v>
      </c>
      <c r="O211" s="2" cm="1">
        <f t="array" aca="1" ref="O211" ca="1">-_xll.YCP($E211,"three_year_return",'Database Query'!$E$14)+N211</f>
        <v>-7.7218999999999996E-2</v>
      </c>
      <c r="P211" s="2" cm="1">
        <f t="array" aca="1" ref="P211" ca="1">_xlfn.IFS($B211="etf", _xll.YCP($A211,"five_year_total_return",'Database Query'!$E$14),$B211&lt;&gt;"etf",_xll.YCP("M:"&amp; $A211,"five_year_total_return",'Database Query'!$E$14))</f>
        <v>0.32396399999999997</v>
      </c>
      <c r="Q211" s="2" cm="1">
        <f t="array" aca="1" ref="Q211" ca="1">-_xll.YCP($E211,"five_year_return",'Database Query'!$E$14)+P211</f>
        <v>-6.9182000000000021E-2</v>
      </c>
    </row>
    <row r="212" spans="1:17" x14ac:dyDescent="0.25">
      <c r="A212" t="str">
        <v>SATRX</v>
      </c>
      <c r="B212" t="e" cm="1">
        <f t="array" aca="1" ref="B212" ca="1">_xll.YCI(A212,"detailed_security_type",TODAY())</f>
        <v>#VALUE!</v>
      </c>
      <c r="C212" t="e" cm="1">
        <f t="array" aca="1" ref="C212" ca="1">_xlfn.IFS(B212="etf", _xll.YCI(A212, "security_name",TODAY()),B212&lt;&gt;"etf",_xll.YCI("M:" &amp; A212, "security_name",TODAY()))</f>
        <v>#VALUE!</v>
      </c>
      <c r="D212" t="e" cm="1">
        <f t="array" aca="1" ref="D212" ca="1">_xlfn.IFS($B212="etf", _xll.YCI($A212, "ycharts_benchmark_category",TODAY()),$B212&lt;&gt;"etf",_xll.YCI("M:" &amp; $A212, "ycharts_benchmark_category",TODAY()))</f>
        <v>#VALUE!</v>
      </c>
      <c r="E212" t="e" cm="1">
        <f t="array" aca="1" ref="E212" ca="1">_xlfn.IFS($B212="etf", _xll.YCI($A212, "ycharts_benchmark_index_symbol",TODAY()),$B212&lt;&gt;"etf",_xll.YCI("M:" &amp; $A212, "ycharts_benchmark_index_symbol",TODAY()))</f>
        <v>#VALUE!</v>
      </c>
      <c r="F212" t="e" cm="1">
        <f t="array" aca="1" ref="F212" ca="1">_xlfn.IFS($B212="etf", _xll.YCI($E212, "security_name",TODAY()),$B212&lt;&gt;"etf",_xll.YCI( $E212, "security_name",TODAY()))</f>
        <v>#VALUE!</v>
      </c>
      <c r="G212" t="e" cm="1">
        <f t="array" aca="1" ref="G212" ca="1">_xlfn.IFS($B212="etf", _xll.YCI($A212, "prospectus_benchmark_index",TODAY()),$B212&lt;&gt;"etf",_xll.YCI("M:" &amp; $A212, "prospectus_benchmark_index",TODAY()))</f>
        <v>#VALUE!</v>
      </c>
      <c r="H212" s="2" t="e" cm="1">
        <f t="array" aca="1" ref="H212" ca="1">_xlfn.IFS($B212="etf", _xll.YCP($A212,"quarterly_total_return",'Database Query'!$E$14),$B212&lt;&gt;"etf",_xll.YCP("M:"&amp; $A212,"quarterly_total_return",'Database Query'!$E$14))</f>
        <v>#VALUE!</v>
      </c>
      <c r="I212" s="2" t="e" cm="1">
        <f t="array" aca="1" ref="I212" ca="1">-_xll.YCP($E212,"quarterly_return",'Database Query'!$E$14)+H212</f>
        <v>#VALUE!</v>
      </c>
      <c r="J212" s="2" t="e" cm="1">
        <f t="array" aca="1" ref="J212" ca="1">_xlfn.IFS($B212="etf", _xll.YCP($A212,"ytd_total_return",'Database Query'!$E$14),$B212&lt;&gt;"etf",_xll.YCP("M:"&amp; $A212,"ytd_total_return",'Database Query'!$E$14))</f>
        <v>#VALUE!</v>
      </c>
      <c r="K212" s="2" t="e" cm="1">
        <f t="array" aca="1" ref="K212" ca="1">-_xll.YCP($E212,"ytd_return",'Database Query'!$E$14)+J212</f>
        <v>#VALUE!</v>
      </c>
      <c r="L212" s="2" t="e" cm="1">
        <f t="array" aca="1" ref="L212" ca="1">_xlfn.IFS($B212="etf", _xll.YCP($A212,"one_year_total_return",'Database Query'!$E$14),$B212&lt;&gt;"etf",_xll.YCP("M:"&amp; $A212,"one_year_total_return",'Database Query'!$E$14))</f>
        <v>#VALUE!</v>
      </c>
      <c r="M212" s="2" t="e" cm="1">
        <f t="array" aca="1" ref="M212" ca="1">-_xll.YCP($E212,"one_year_return",'Database Query'!$E$14)+L212</f>
        <v>#VALUE!</v>
      </c>
      <c r="N212" s="2" t="e" cm="1">
        <f t="array" aca="1" ref="N212" ca="1">_xlfn.IFS($B212="etf", _xll.YCP($A212,"three_year_total_return",'Database Query'!$E$14),$B212&lt;&gt;"etf",_xll.YCP("M:"&amp; $A212,"three_year_total_return",'Database Query'!$E$14))</f>
        <v>#VALUE!</v>
      </c>
      <c r="O212" s="2" t="e" cm="1">
        <f t="array" aca="1" ref="O212" ca="1">-_xll.YCP($E212,"three_year_return",'Database Query'!$E$14)+N212</f>
        <v>#VALUE!</v>
      </c>
      <c r="P212" s="2" t="e" cm="1">
        <f t="array" aca="1" ref="P212" ca="1">_xlfn.IFS($B212="etf", _xll.YCP($A212,"five_year_total_return",'Database Query'!$E$14),$B212&lt;&gt;"etf",_xll.YCP("M:"&amp; $A212,"five_year_total_return",'Database Query'!$E$14))</f>
        <v>#VALUE!</v>
      </c>
      <c r="Q212" s="2" t="e" cm="1">
        <f t="array" aca="1" ref="Q212" ca="1">-_xll.YCP($E212,"five_year_return",'Database Query'!$E$14)+P212</f>
        <v>#VALUE!</v>
      </c>
    </row>
    <row r="213" spans="1:17" x14ac:dyDescent="0.25">
      <c r="A213" t="str">
        <v>SAWMX</v>
      </c>
      <c r="B213" t="e" cm="1">
        <f t="array" aca="1" ref="B213" ca="1">_xll.YCI(A213,"detailed_security_type",TODAY())</f>
        <v>#VALUE!</v>
      </c>
      <c r="C213" t="e" cm="1">
        <f t="array" aca="1" ref="C213" ca="1">_xlfn.IFS(B213="etf", _xll.YCI(A213, "security_name",TODAY()),B213&lt;&gt;"etf",_xll.YCI("M:" &amp; A213, "security_name",TODAY()))</f>
        <v>#VALUE!</v>
      </c>
      <c r="D213" t="e" cm="1">
        <f t="array" aca="1" ref="D213" ca="1">_xlfn.IFS($B213="etf", _xll.YCI($A213, "ycharts_benchmark_category",TODAY()),$B213&lt;&gt;"etf",_xll.YCI("M:" &amp; $A213, "ycharts_benchmark_category",TODAY()))</f>
        <v>#VALUE!</v>
      </c>
      <c r="E213" t="e" cm="1">
        <f t="array" aca="1" ref="E213" ca="1">_xlfn.IFS($B213="etf", _xll.YCI($A213, "ycharts_benchmark_index_symbol",TODAY()),$B213&lt;&gt;"etf",_xll.YCI("M:" &amp; $A213, "ycharts_benchmark_index_symbol",TODAY()))</f>
        <v>#VALUE!</v>
      </c>
      <c r="F213" t="e" cm="1">
        <f t="array" aca="1" ref="F213" ca="1">_xlfn.IFS($B213="etf", _xll.YCI($E213, "security_name",TODAY()),$B213&lt;&gt;"etf",_xll.YCI( $E213, "security_name",TODAY()))</f>
        <v>#VALUE!</v>
      </c>
      <c r="G213" t="e" cm="1">
        <f t="array" aca="1" ref="G213" ca="1">_xlfn.IFS($B213="etf", _xll.YCI($A213, "prospectus_benchmark_index",TODAY()),$B213&lt;&gt;"etf",_xll.YCI("M:" &amp; $A213, "prospectus_benchmark_index",TODAY()))</f>
        <v>#VALUE!</v>
      </c>
      <c r="H213" s="2" t="e" cm="1">
        <f t="array" aca="1" ref="H213" ca="1">_xlfn.IFS($B213="etf", _xll.YCP($A213,"quarterly_total_return",'Database Query'!$E$14),$B213&lt;&gt;"etf",_xll.YCP("M:"&amp; $A213,"quarterly_total_return",'Database Query'!$E$14))</f>
        <v>#VALUE!</v>
      </c>
      <c r="I213" s="2" t="e" cm="1">
        <f t="array" aca="1" ref="I213" ca="1">-_xll.YCP($E213,"quarterly_return",'Database Query'!$E$14)+H213</f>
        <v>#VALUE!</v>
      </c>
      <c r="J213" s="2" t="e" cm="1">
        <f t="array" aca="1" ref="J213" ca="1">_xlfn.IFS($B213="etf", _xll.YCP($A213,"ytd_total_return",'Database Query'!$E$14),$B213&lt;&gt;"etf",_xll.YCP("M:"&amp; $A213,"ytd_total_return",'Database Query'!$E$14))</f>
        <v>#VALUE!</v>
      </c>
      <c r="K213" s="2" t="e" cm="1">
        <f t="array" aca="1" ref="K213" ca="1">-_xll.YCP($E213,"ytd_return",'Database Query'!$E$14)+J213</f>
        <v>#VALUE!</v>
      </c>
      <c r="L213" s="2" t="e" cm="1">
        <f t="array" aca="1" ref="L213" ca="1">_xlfn.IFS($B213="etf", _xll.YCP($A213,"one_year_total_return",'Database Query'!$E$14),$B213&lt;&gt;"etf",_xll.YCP("M:"&amp; $A213,"one_year_total_return",'Database Query'!$E$14))</f>
        <v>#VALUE!</v>
      </c>
      <c r="M213" s="2" t="e" cm="1">
        <f t="array" aca="1" ref="M213" ca="1">-_xll.YCP($E213,"one_year_return",'Database Query'!$E$14)+L213</f>
        <v>#VALUE!</v>
      </c>
      <c r="N213" s="2" t="e" cm="1">
        <f t="array" aca="1" ref="N213" ca="1">_xlfn.IFS($B213="etf", _xll.YCP($A213,"three_year_total_return",'Database Query'!$E$14),$B213&lt;&gt;"etf",_xll.YCP("M:"&amp; $A213,"three_year_total_return",'Database Query'!$E$14))</f>
        <v>#VALUE!</v>
      </c>
      <c r="O213" s="2" t="e" cm="1">
        <f t="array" aca="1" ref="O213" ca="1">-_xll.YCP($E213,"three_year_return",'Database Query'!$E$14)+N213</f>
        <v>#VALUE!</v>
      </c>
      <c r="P213" s="2" t="e" cm="1">
        <f t="array" aca="1" ref="P213" ca="1">_xlfn.IFS($B213="etf", _xll.YCP($A213,"five_year_total_return",'Database Query'!$E$14),$B213&lt;&gt;"etf",_xll.YCP("M:"&amp; $A213,"five_year_total_return",'Database Query'!$E$14))</f>
        <v>#VALUE!</v>
      </c>
      <c r="Q213" s="2" t="e" cm="1">
        <f t="array" aca="1" ref="Q213" ca="1">-_xll.YCP($E213,"five_year_return",'Database Query'!$E$14)+P213</f>
        <v>#VALUE!</v>
      </c>
    </row>
    <row r="214" spans="1:17" x14ac:dyDescent="0.25">
      <c r="A214" t="str">
        <v>SGENX</v>
      </c>
      <c r="B214" t="e" cm="1">
        <f t="array" aca="1" ref="B214" ca="1">_xll.YCI(A214,"detailed_security_type",TODAY())</f>
        <v>#VALUE!</v>
      </c>
      <c r="C214" t="e" cm="1">
        <f t="array" aca="1" ref="C214" ca="1">_xlfn.IFS(B214="etf", _xll.YCI(A214, "security_name",TODAY()),B214&lt;&gt;"etf",_xll.YCI("M:" &amp; A214, "security_name",TODAY()))</f>
        <v>#VALUE!</v>
      </c>
      <c r="D214" t="e" cm="1">
        <f t="array" aca="1" ref="D214" ca="1">_xlfn.IFS($B214="etf", _xll.YCI($A214, "ycharts_benchmark_category",TODAY()),$B214&lt;&gt;"etf",_xll.YCI("M:" &amp; $A214, "ycharts_benchmark_category",TODAY()))</f>
        <v>#VALUE!</v>
      </c>
      <c r="E214" t="e" cm="1">
        <f t="array" aca="1" ref="E214" ca="1">_xlfn.IFS($B214="etf", _xll.YCI($A214, "ycharts_benchmark_index_symbol",TODAY()),$B214&lt;&gt;"etf",_xll.YCI("M:" &amp; $A214, "ycharts_benchmark_index_symbol",TODAY()))</f>
        <v>#VALUE!</v>
      </c>
      <c r="F214" t="e" cm="1">
        <f t="array" aca="1" ref="F214" ca="1">_xlfn.IFS($B214="etf", _xll.YCI($E214, "security_name",TODAY()),$B214&lt;&gt;"etf",_xll.YCI( $E214, "security_name",TODAY()))</f>
        <v>#VALUE!</v>
      </c>
      <c r="G214" t="e" cm="1">
        <f t="array" aca="1" ref="G214" ca="1">_xlfn.IFS($B214="etf", _xll.YCI($A214, "prospectus_benchmark_index",TODAY()),$B214&lt;&gt;"etf",_xll.YCI("M:" &amp; $A214, "prospectus_benchmark_index",TODAY()))</f>
        <v>#VALUE!</v>
      </c>
      <c r="H214" s="2" t="e" cm="1">
        <f t="array" aca="1" ref="H214" ca="1">_xlfn.IFS($B214="etf", _xll.YCP($A214,"quarterly_total_return",'Database Query'!$E$14),$B214&lt;&gt;"etf",_xll.YCP("M:"&amp; $A214,"quarterly_total_return",'Database Query'!$E$14))</f>
        <v>#VALUE!</v>
      </c>
      <c r="I214" s="2" t="e" cm="1">
        <f t="array" aca="1" ref="I214" ca="1">-_xll.YCP($E214,"quarterly_return",'Database Query'!$E$14)+H214</f>
        <v>#VALUE!</v>
      </c>
      <c r="J214" s="2" t="e" cm="1">
        <f t="array" aca="1" ref="J214" ca="1">_xlfn.IFS($B214="etf", _xll.YCP($A214,"ytd_total_return",'Database Query'!$E$14),$B214&lt;&gt;"etf",_xll.YCP("M:"&amp; $A214,"ytd_total_return",'Database Query'!$E$14))</f>
        <v>#VALUE!</v>
      </c>
      <c r="K214" s="2" t="e" cm="1">
        <f t="array" aca="1" ref="K214" ca="1">-_xll.YCP($E214,"ytd_return",'Database Query'!$E$14)+J214</f>
        <v>#VALUE!</v>
      </c>
      <c r="L214" s="2" t="e" cm="1">
        <f t="array" aca="1" ref="L214" ca="1">_xlfn.IFS($B214="etf", _xll.YCP($A214,"one_year_total_return",'Database Query'!$E$14),$B214&lt;&gt;"etf",_xll.YCP("M:"&amp; $A214,"one_year_total_return",'Database Query'!$E$14))</f>
        <v>#VALUE!</v>
      </c>
      <c r="M214" s="2" t="e" cm="1">
        <f t="array" aca="1" ref="M214" ca="1">-_xll.YCP($E214,"one_year_return",'Database Query'!$E$14)+L214</f>
        <v>#VALUE!</v>
      </c>
      <c r="N214" s="2" t="e" cm="1">
        <f t="array" aca="1" ref="N214" ca="1">_xlfn.IFS($B214="etf", _xll.YCP($A214,"three_year_total_return",'Database Query'!$E$14),$B214&lt;&gt;"etf",_xll.YCP("M:"&amp; $A214,"three_year_total_return",'Database Query'!$E$14))</f>
        <v>#VALUE!</v>
      </c>
      <c r="O214" s="2" t="e" cm="1">
        <f t="array" aca="1" ref="O214" ca="1">-_xll.YCP($E214,"three_year_return",'Database Query'!$E$14)+N214</f>
        <v>#VALUE!</v>
      </c>
      <c r="P214" s="2" t="e" cm="1">
        <f t="array" aca="1" ref="P214" ca="1">_xlfn.IFS($B214="etf", _xll.YCP($A214,"five_year_total_return",'Database Query'!$E$14),$B214&lt;&gt;"etf",_xll.YCP("M:"&amp; $A214,"five_year_total_return",'Database Query'!$E$14))</f>
        <v>#VALUE!</v>
      </c>
      <c r="Q214" s="2" t="e" cm="1">
        <f t="array" aca="1" ref="Q214" ca="1">-_xll.YCP($E214,"five_year_return",'Database Query'!$E$14)+P214</f>
        <v>#VALUE!</v>
      </c>
    </row>
    <row r="215" spans="1:17" x14ac:dyDescent="0.25">
      <c r="A215" t="str">
        <v>SGOV</v>
      </c>
      <c r="B215" t="str" cm="1">
        <f t="array" aca="1" ref="B215" ca="1">_xll.YCI(A215,"detailed_security_type",TODAY())</f>
        <v>etf</v>
      </c>
      <c r="C215" t="str" cm="1">
        <f t="array" aca="1" ref="C215" ca="1">_xlfn.IFS(B215="etf", _xll.YCI(A215, "security_name",TODAY()),B215&lt;&gt;"etf",_xll.YCI("M:" &amp; A215, "security_name",TODAY()))</f>
        <v>iShares 0-3 Month Treasury Bond ETF</v>
      </c>
      <c r="D215" t="str" cm="1">
        <f t="array" aca="1" ref="D215" ca="1">_xlfn.IFS($B215="etf", _xll.YCI($A215, "ycharts_benchmark_category",TODAY()),$B215&lt;&gt;"etf",_xll.YCI("M:" &amp; $A215, "ycharts_benchmark_category",TODAY()))</f>
        <v>US Short Term Government Bond</v>
      </c>
      <c r="E215" t="str" cm="1">
        <f t="array" aca="1" ref="E215" ca="1">_xlfn.IFS($B215="etf", _xll.YCI($A215, "ycharts_benchmark_index_symbol",TODAY()),$B215&lt;&gt;"etf",_xll.YCI("M:" &amp; $A215, "ycharts_benchmark_index_symbol",TODAY()))</f>
        <v>^BBUGCR13YT</v>
      </c>
      <c r="F215" t="str" cm="1">
        <f t="array" aca="1" ref="F215" ca="1">_xlfn.IFS($B215="etf", _xll.YCI($E215, "security_name",TODAY()),$B215&lt;&gt;"etf",_xll.YCI( $E215, "security_name",TODAY()))</f>
        <v>Bloomberg US Government/Credit 1-3 Year</v>
      </c>
      <c r="G215" t="str" cm="1">
        <f t="array" aca="1" ref="G215" ca="1">_xlfn.IFS($B215="etf", _xll.YCI($A215, "prospectus_benchmark_index",TODAY()),$B215&lt;&gt;"etf",_xll.YCI("M:" &amp; $A215, "prospectus_benchmark_index",TODAY()))</f>
        <v>ICE BofA 0-3 M US Trsy Bill TR USD</v>
      </c>
      <c r="H215" s="2" cm="1">
        <f t="array" aca="1" ref="H215" ca="1">_xlfn.IFS($B215="etf", _xll.YCP($A215,"quarterly_total_return",'Database Query'!$E$14),$B215&lt;&gt;"etf",_xll.YCP("M:"&amp; $A215,"quarterly_total_return",'Database Query'!$E$14))</f>
        <v>1.1958E-2</v>
      </c>
      <c r="I215" s="2" cm="1">
        <f t="array" aca="1" ref="I215" ca="1">-_xll.YCP($E215,"quarterly_return",'Database Query'!$E$14)+H215</f>
        <v>1.2160000000000001E-2</v>
      </c>
      <c r="J215" s="2" cm="1">
        <f t="array" aca="1" ref="J215" ca="1">_xlfn.IFS($B215="etf", _xll.YCP($A215,"ytd_total_return",'Database Query'!$E$14),$B215&lt;&gt;"etf",_xll.YCP("M:"&amp; $A215,"ytd_total_return",'Database Query'!$E$14))</f>
        <v>5.2727999999999997E-2</v>
      </c>
      <c r="K215" s="2" cm="1">
        <f t="array" aca="1" ref="K215" ca="1">-_xll.YCP($E215,"ytd_return",'Database Query'!$E$14)+J215</f>
        <v>9.1709999999999986E-3</v>
      </c>
      <c r="L215" s="2" cm="1">
        <f t="array" aca="1" ref="L215" ca="1">_xlfn.IFS($B215="etf", _xll.YCP($A215,"one_year_total_return",'Database Query'!$E$14),$B215&lt;&gt;"etf",_xll.YCP("M:"&amp; $A215,"one_year_total_return",'Database Query'!$E$14))</f>
        <v>5.2727999999999997E-2</v>
      </c>
      <c r="M215" s="2" cm="1">
        <f t="array" aca="1" ref="M215" ca="1">-_xll.YCP($E215,"one_year_return",'Database Query'!$E$14)+L215</f>
        <v>9.1709999999999986E-3</v>
      </c>
      <c r="N215" s="2" cm="1">
        <f t="array" aca="1" ref="N215" ca="1">_xlfn.IFS($B215="etf", _xll.YCP($A215,"three_year_total_return",'Database Query'!$E$14),$B215&lt;&gt;"etf",_xll.YCP("M:"&amp; $A215,"three_year_total_return",'Database Query'!$E$14))</f>
        <v>0.12409100000000001</v>
      </c>
      <c r="O215" s="2" cm="1">
        <f t="array" aca="1" ref="O215" ca="1">-_xll.YCP($E215,"three_year_return",'Database Query'!$E$14)+N215</f>
        <v>7.2651000000000007E-2</v>
      </c>
      <c r="P215" s="2" t="str" cm="1">
        <f t="array" aca="1" ref="P215" ca="1">_xlfn.IFS($B215="etf", _xll.YCP($A215,"five_year_total_return",'Database Query'!$E$14),$B215&lt;&gt;"etf",_xll.YCP("M:"&amp; $A215,"five_year_total_return",'Database Query'!$E$14))</f>
        <v>ERR: NO DATA</v>
      </c>
      <c r="Q215" s="2" t="e" cm="1">
        <f t="array" aca="1" ref="Q215" ca="1">-_xll.YCP($E215,"five_year_return",'Database Query'!$E$14)+P215</f>
        <v>#VALUE!</v>
      </c>
    </row>
    <row r="216" spans="1:17" x14ac:dyDescent="0.25">
      <c r="A216" t="str">
        <v>SHOIX</v>
      </c>
      <c r="B216" t="e" cm="1">
        <f t="array" aca="1" ref="B216" ca="1">_xll.YCI(A216,"detailed_security_type",TODAY())</f>
        <v>#VALUE!</v>
      </c>
      <c r="C216" t="e" cm="1">
        <f t="array" aca="1" ref="C216" ca="1">_xlfn.IFS(B216="etf", _xll.YCI(A216, "security_name",TODAY()),B216&lt;&gt;"etf",_xll.YCI("M:" &amp; A216, "security_name",TODAY()))</f>
        <v>#VALUE!</v>
      </c>
      <c r="D216" t="e" cm="1">
        <f t="array" aca="1" ref="D216" ca="1">_xlfn.IFS($B216="etf", _xll.YCI($A216, "ycharts_benchmark_category",TODAY()),$B216&lt;&gt;"etf",_xll.YCI("M:" &amp; $A216, "ycharts_benchmark_category",TODAY()))</f>
        <v>#VALUE!</v>
      </c>
      <c r="E216" t="e" cm="1">
        <f t="array" aca="1" ref="E216" ca="1">_xlfn.IFS($B216="etf", _xll.YCI($A216, "ycharts_benchmark_index_symbol",TODAY()),$B216&lt;&gt;"etf",_xll.YCI("M:" &amp; $A216, "ycharts_benchmark_index_symbol",TODAY()))</f>
        <v>#VALUE!</v>
      </c>
      <c r="F216" t="e" cm="1">
        <f t="array" aca="1" ref="F216" ca="1">_xlfn.IFS($B216="etf", _xll.YCI($E216, "security_name",TODAY()),$B216&lt;&gt;"etf",_xll.YCI( $E216, "security_name",TODAY()))</f>
        <v>#VALUE!</v>
      </c>
      <c r="G216" t="e" cm="1">
        <f t="array" aca="1" ref="G216" ca="1">_xlfn.IFS($B216="etf", _xll.YCI($A216, "prospectus_benchmark_index",TODAY()),$B216&lt;&gt;"etf",_xll.YCI("M:" &amp; $A216, "prospectus_benchmark_index",TODAY()))</f>
        <v>#VALUE!</v>
      </c>
      <c r="H216" s="2" t="e" cm="1">
        <f t="array" aca="1" ref="H216" ca="1">_xlfn.IFS($B216="etf", _xll.YCP($A216,"quarterly_total_return",'Database Query'!$E$14),$B216&lt;&gt;"etf",_xll.YCP("M:"&amp; $A216,"quarterly_total_return",'Database Query'!$E$14))</f>
        <v>#VALUE!</v>
      </c>
      <c r="I216" s="2" t="e" cm="1">
        <f t="array" aca="1" ref="I216" ca="1">-_xll.YCP($E216,"quarterly_return",'Database Query'!$E$14)+H216</f>
        <v>#VALUE!</v>
      </c>
      <c r="J216" s="2" t="e" cm="1">
        <f t="array" aca="1" ref="J216" ca="1">_xlfn.IFS($B216="etf", _xll.YCP($A216,"ytd_total_return",'Database Query'!$E$14),$B216&lt;&gt;"etf",_xll.YCP("M:"&amp; $A216,"ytd_total_return",'Database Query'!$E$14))</f>
        <v>#VALUE!</v>
      </c>
      <c r="K216" s="2" t="e" cm="1">
        <f t="array" aca="1" ref="K216" ca="1">-_xll.YCP($E216,"ytd_return",'Database Query'!$E$14)+J216</f>
        <v>#VALUE!</v>
      </c>
      <c r="L216" s="2" t="e" cm="1">
        <f t="array" aca="1" ref="L216" ca="1">_xlfn.IFS($B216="etf", _xll.YCP($A216,"one_year_total_return",'Database Query'!$E$14),$B216&lt;&gt;"etf",_xll.YCP("M:"&amp; $A216,"one_year_total_return",'Database Query'!$E$14))</f>
        <v>#VALUE!</v>
      </c>
      <c r="M216" s="2" t="e" cm="1">
        <f t="array" aca="1" ref="M216" ca="1">-_xll.YCP($E216,"one_year_return",'Database Query'!$E$14)+L216</f>
        <v>#VALUE!</v>
      </c>
      <c r="N216" s="2" t="e" cm="1">
        <f t="array" aca="1" ref="N216" ca="1">_xlfn.IFS($B216="etf", _xll.YCP($A216,"three_year_total_return",'Database Query'!$E$14),$B216&lt;&gt;"etf",_xll.YCP("M:"&amp; $A216,"three_year_total_return",'Database Query'!$E$14))</f>
        <v>#VALUE!</v>
      </c>
      <c r="O216" s="2" t="e" cm="1">
        <f t="array" aca="1" ref="O216" ca="1">-_xll.YCP($E216,"three_year_return",'Database Query'!$E$14)+N216</f>
        <v>#VALUE!</v>
      </c>
      <c r="P216" s="2" t="e" cm="1">
        <f t="array" aca="1" ref="P216" ca="1">_xlfn.IFS($B216="etf", _xll.YCP($A216,"five_year_total_return",'Database Query'!$E$14),$B216&lt;&gt;"etf",_xll.YCP("M:"&amp; $A216,"five_year_total_return",'Database Query'!$E$14))</f>
        <v>#VALUE!</v>
      </c>
      <c r="Q216" s="2" t="e" cm="1">
        <f t="array" aca="1" ref="Q216" ca="1">-_xll.YCP($E216,"five_year_return",'Database Query'!$E$14)+P216</f>
        <v>#VALUE!</v>
      </c>
    </row>
    <row r="217" spans="1:17" x14ac:dyDescent="0.25">
      <c r="A217" t="str">
        <v>SHV</v>
      </c>
      <c r="B217" t="str" cm="1">
        <f t="array" aca="1" ref="B217" ca="1">_xll.YCI(A217,"detailed_security_type",TODAY())</f>
        <v>etf</v>
      </c>
      <c r="C217" t="str" cm="1">
        <f t="array" aca="1" ref="C217" ca="1">_xlfn.IFS(B217="etf", _xll.YCI(A217, "security_name",TODAY()),B217&lt;&gt;"etf",_xll.YCI("M:" &amp; A217, "security_name",TODAY()))</f>
        <v>iShares Short Treasury Bond ETF</v>
      </c>
      <c r="D217" t="str" cm="1">
        <f t="array" aca="1" ref="D217" ca="1">_xlfn.IFS($B217="etf", _xll.YCI($A217, "ycharts_benchmark_category",TODAY()),$B217&lt;&gt;"etf",_xll.YCI("M:" &amp; $A217, "ycharts_benchmark_category",TODAY()))</f>
        <v>US Short Term Government Bond</v>
      </c>
      <c r="E217" t="str" cm="1">
        <f t="array" aca="1" ref="E217" ca="1">_xlfn.IFS($B217="etf", _xll.YCI($A217, "ycharts_benchmark_index_symbol",TODAY()),$B217&lt;&gt;"etf",_xll.YCI("M:" &amp; $A217, "ycharts_benchmark_index_symbol",TODAY()))</f>
        <v>^BBUGCR13YT</v>
      </c>
      <c r="F217" t="str" cm="1">
        <f t="array" aca="1" ref="F217" ca="1">_xlfn.IFS($B217="etf", _xll.YCI($E217, "security_name",TODAY()),$B217&lt;&gt;"etf",_xll.YCI( $E217, "security_name",TODAY()))</f>
        <v>Bloomberg US Government/Credit 1-3 Year</v>
      </c>
      <c r="G217" t="str" cm="1">
        <f t="array" aca="1" ref="G217" ca="1">_xlfn.IFS($B217="etf", _xll.YCI($A217, "prospectus_benchmark_index",TODAY()),$B217&lt;&gt;"etf",_xll.YCI("M:" &amp; $A217, "prospectus_benchmark_index",TODAY()))</f>
        <v>ICE Short US Treasury Sec 4PM TR USD</v>
      </c>
      <c r="H217" s="2" cm="1">
        <f t="array" aca="1" ref="H217" ca="1">_xlfn.IFS($B217="etf", _xll.YCP($A217,"quarterly_total_return",'Database Query'!$E$14),$B217&lt;&gt;"etf",_xll.YCP("M:"&amp; $A217,"quarterly_total_return",'Database Query'!$E$14))</f>
        <v>1.1343000000000001E-2</v>
      </c>
      <c r="I217" s="2" cm="1">
        <f t="array" aca="1" ref="I217" ca="1">-_xll.YCP($E217,"quarterly_return",'Database Query'!$E$14)+H217</f>
        <v>1.1545000000000001E-2</v>
      </c>
      <c r="J217" s="2" cm="1">
        <f t="array" aca="1" ref="J217" ca="1">_xlfn.IFS($B217="etf", _xll.YCP($A217,"ytd_total_return",'Database Query'!$E$14),$B217&lt;&gt;"etf",_xll.YCP("M:"&amp; $A217,"ytd_total_return",'Database Query'!$E$14))</f>
        <v>5.1235999999999997E-2</v>
      </c>
      <c r="K217" s="2" cm="1">
        <f t="array" aca="1" ref="K217" ca="1">-_xll.YCP($E217,"ytd_return",'Database Query'!$E$14)+J217</f>
        <v>7.6789999999999983E-3</v>
      </c>
      <c r="L217" s="2" cm="1">
        <f t="array" aca="1" ref="L217" ca="1">_xlfn.IFS($B217="etf", _xll.YCP($A217,"one_year_total_return",'Database Query'!$E$14),$B217&lt;&gt;"etf",_xll.YCP("M:"&amp; $A217,"one_year_total_return",'Database Query'!$E$14))</f>
        <v>5.1235999999999997E-2</v>
      </c>
      <c r="M217" s="2" cm="1">
        <f t="array" aca="1" ref="M217" ca="1">-_xll.YCP($E217,"one_year_return",'Database Query'!$E$14)+L217</f>
        <v>7.6789999999999983E-3</v>
      </c>
      <c r="N217" s="2" cm="1">
        <f t="array" aca="1" ref="N217" ca="1">_xlfn.IFS($B217="etf", _xll.YCP($A217,"three_year_total_return",'Database Query'!$E$14),$B217&lt;&gt;"etf",_xll.YCP("M:"&amp; $A217,"three_year_total_return",'Database Query'!$E$14))</f>
        <v>0.114577</v>
      </c>
      <c r="O217" s="2" cm="1">
        <f t="array" aca="1" ref="O217" ca="1">-_xll.YCP($E217,"three_year_return",'Database Query'!$E$14)+N217</f>
        <v>6.3136999999999999E-2</v>
      </c>
      <c r="P217" s="2" cm="1">
        <f t="array" aca="1" ref="P217" ca="1">_xlfn.IFS($B217="etf", _xll.YCP($A217,"five_year_total_return",'Database Query'!$E$14),$B217&lt;&gt;"etf",_xll.YCP("M:"&amp; $A217,"five_year_total_return",'Database Query'!$E$14))</f>
        <v>0.12245499999999999</v>
      </c>
      <c r="Q217" s="2" cm="1">
        <f t="array" aca="1" ref="Q217" ca="1">-_xll.YCP($E217,"five_year_return",'Database Query'!$E$14)+P217</f>
        <v>4.1102E-2</v>
      </c>
    </row>
    <row r="218" spans="1:17" x14ac:dyDescent="0.25">
      <c r="A218" t="str">
        <v>SHY</v>
      </c>
      <c r="B218" t="str" cm="1">
        <f t="array" aca="1" ref="B218" ca="1">_xll.YCI(A218,"detailed_security_type",TODAY())</f>
        <v>etf</v>
      </c>
      <c r="C218" t="str" cm="1">
        <f t="array" aca="1" ref="C218" ca="1">_xlfn.IFS(B218="etf", _xll.YCI(A218, "security_name",TODAY()),B218&lt;&gt;"etf",_xll.YCI("M:" &amp; A218, "security_name",TODAY()))</f>
        <v>iShares 1-3 Year Treasury Bond ETF</v>
      </c>
      <c r="D218" t="str" cm="1">
        <f t="array" aca="1" ref="D218" ca="1">_xlfn.IFS($B218="etf", _xll.YCI($A218, "ycharts_benchmark_category",TODAY()),$B218&lt;&gt;"etf",_xll.YCI("M:" &amp; $A218, "ycharts_benchmark_category",TODAY()))</f>
        <v>US Short Term Government Bond</v>
      </c>
      <c r="E218" t="str" cm="1">
        <f t="array" aca="1" ref="E218" ca="1">_xlfn.IFS($B218="etf", _xll.YCI($A218, "ycharts_benchmark_index_symbol",TODAY()),$B218&lt;&gt;"etf",_xll.YCI("M:" &amp; $A218, "ycharts_benchmark_index_symbol",TODAY()))</f>
        <v>^BBUGCR13YT</v>
      </c>
      <c r="F218" t="str" cm="1">
        <f t="array" aca="1" ref="F218" ca="1">_xlfn.IFS($B218="etf", _xll.YCI($E218, "security_name",TODAY()),$B218&lt;&gt;"etf",_xll.YCI( $E218, "security_name",TODAY()))</f>
        <v>Bloomberg US Government/Credit 1-3 Year</v>
      </c>
      <c r="G218" t="str" cm="1">
        <f t="array" aca="1" ref="G218" ca="1">_xlfn.IFS($B218="etf", _xll.YCI($A218, "prospectus_benchmark_index",TODAY()),$B218&lt;&gt;"etf",_xll.YCI("M:" &amp; $A218, "prospectus_benchmark_index",TODAY()))</f>
        <v>ICE U.S. Treasury 1-3 Year Bond TR USD</v>
      </c>
      <c r="H218" s="2" cm="1">
        <f t="array" aca="1" ref="H218" ca="1">_xlfn.IFS($B218="etf", _xll.YCP($A218,"quarterly_total_return",'Database Query'!$E$14),$B218&lt;&gt;"etf",_xll.YCP("M:"&amp; $A218,"quarterly_total_return",'Database Query'!$E$14))</f>
        <v>-7.8299999999999995E-4</v>
      </c>
      <c r="I218" s="2" cm="1">
        <f t="array" aca="1" ref="I218" ca="1">-_xll.YCP($E218,"quarterly_return",'Database Query'!$E$14)+H218</f>
        <v>-5.8099999999999992E-4</v>
      </c>
      <c r="J218" s="2" cm="1">
        <f t="array" aca="1" ref="J218" ca="1">_xlfn.IFS($B218="etf", _xll.YCP($A218,"ytd_total_return",'Database Query'!$E$14),$B218&lt;&gt;"etf",_xll.YCP("M:"&amp; $A218,"ytd_total_return",'Database Query'!$E$14))</f>
        <v>3.9157999999999998E-2</v>
      </c>
      <c r="K218" s="2" cm="1">
        <f t="array" aca="1" ref="K218" ca="1">-_xll.YCP($E218,"ytd_return",'Database Query'!$E$14)+J218</f>
        <v>-4.3990000000000001E-3</v>
      </c>
      <c r="L218" s="2" cm="1">
        <f t="array" aca="1" ref="L218" ca="1">_xlfn.IFS($B218="etf", _xll.YCP($A218,"one_year_total_return",'Database Query'!$E$14),$B218&lt;&gt;"etf",_xll.YCP("M:"&amp; $A218,"one_year_total_return",'Database Query'!$E$14))</f>
        <v>3.9157999999999998E-2</v>
      </c>
      <c r="M218" s="2" cm="1">
        <f t="array" aca="1" ref="M218" ca="1">-_xll.YCP($E218,"one_year_return",'Database Query'!$E$14)+L218</f>
        <v>-4.3990000000000001E-3</v>
      </c>
      <c r="N218" s="2" cm="1">
        <f t="array" aca="1" ref="N218" ca="1">_xlfn.IFS($B218="etf", _xll.YCP($A218,"three_year_total_return",'Database Query'!$E$14),$B218&lt;&gt;"etf",_xll.YCP("M:"&amp; $A218,"three_year_total_return",'Database Query'!$E$14))</f>
        <v>4.0431000000000002E-2</v>
      </c>
      <c r="O218" s="2" cm="1">
        <f t="array" aca="1" ref="O218" ca="1">-_xll.YCP($E218,"three_year_return",'Database Query'!$E$14)+N218</f>
        <v>-1.1008999999999998E-2</v>
      </c>
      <c r="P218" s="2" cm="1">
        <f t="array" aca="1" ref="P218" ca="1">_xlfn.IFS($B218="etf", _xll.YCP($A218,"five_year_total_return",'Database Query'!$E$14),$B218&lt;&gt;"etf",_xll.YCP("M:"&amp; $A218,"five_year_total_return",'Database Query'!$E$14))</f>
        <v>6.4339999999999994E-2</v>
      </c>
      <c r="Q218" s="2" cm="1">
        <f t="array" aca="1" ref="Q218" ca="1">-_xll.YCP($E218,"five_year_return",'Database Query'!$E$14)+P218</f>
        <v>-1.7013E-2</v>
      </c>
    </row>
    <row r="219" spans="1:17" x14ac:dyDescent="0.25">
      <c r="A219" t="str">
        <v>SJNK</v>
      </c>
      <c r="B219" t="str" cm="1">
        <f t="array" aca="1" ref="B219" ca="1">_xll.YCI(A219,"detailed_security_type",TODAY())</f>
        <v>etf</v>
      </c>
      <c r="C219" t="str" cm="1">
        <f t="array" aca="1" ref="C219" ca="1">_xlfn.IFS(B219="etf", _xll.YCI(A219, "security_name",TODAY()),B219&lt;&gt;"etf",_xll.YCI("M:" &amp; A219, "security_name",TODAY()))</f>
        <v>SPDR Bloomberg Short Term High Yield Bond ETF</v>
      </c>
      <c r="D219" t="str" cm="1">
        <f t="array" aca="1" ref="D219" ca="1">_xlfn.IFS($B219="etf", _xll.YCI($A219, "ycharts_benchmark_category",TODAY()),$B219&lt;&gt;"etf",_xll.YCI("M:" &amp; $A219, "ycharts_benchmark_category",TODAY()))</f>
        <v>US High Yield Bond</v>
      </c>
      <c r="E219" t="str" cm="1">
        <f t="array" aca="1" ref="E219" ca="1">_xlfn.IFS($B219="etf", _xll.YCI($A219, "ycharts_benchmark_index_symbol",TODAY()),$B219&lt;&gt;"etf",_xll.YCI("M:" &amp; $A219, "ycharts_benchmark_index_symbol",TODAY()))</f>
        <v>^BBUSCOHYTR</v>
      </c>
      <c r="F219" t="str" cm="1">
        <f t="array" aca="1" ref="F219" ca="1">_xlfn.IFS($B219="etf", _xll.YCI($E219, "security_name",TODAY()),$B219&lt;&gt;"etf",_xll.YCI( $E219, "security_name",TODAY()))</f>
        <v>Bloomberg US Corporate High Yield</v>
      </c>
      <c r="G219" t="str" cm="1">
        <f t="array" aca="1" ref="G219" ca="1">_xlfn.IFS($B219="etf", _xll.YCI($A219, "prospectus_benchmark_index",TODAY()),$B219&lt;&gt;"etf",_xll.YCI("M:" &amp; $A219, "prospectus_benchmark_index",TODAY()))</f>
        <v>Bloomberg US HY 350mn CP 0-5Y 2% TR USD</v>
      </c>
      <c r="H219" s="2" cm="1">
        <f t="array" aca="1" ref="H219" ca="1">_xlfn.IFS($B219="etf", _xll.YCP($A219,"quarterly_total_return",'Database Query'!$E$14),$B219&lt;&gt;"etf",_xll.YCP("M:"&amp; $A219,"quarterly_total_return",'Database Query'!$E$14))</f>
        <v>5.0949999999999997E-3</v>
      </c>
      <c r="I219" s="2" cm="1">
        <f t="array" aca="1" ref="I219" ca="1">-_xll.YCP($E219,"quarterly_return",'Database Query'!$E$14)+H219</f>
        <v>3.3469999999999997E-3</v>
      </c>
      <c r="J219" s="2" cm="1">
        <f t="array" aca="1" ref="J219" ca="1">_xlfn.IFS($B219="etf", _xll.YCP($A219,"ytd_total_return",'Database Query'!$E$14),$B219&lt;&gt;"etf",_xll.YCP("M:"&amp; $A219,"ytd_total_return",'Database Query'!$E$14))</f>
        <v>8.2403000000000004E-2</v>
      </c>
      <c r="K219" s="2" cm="1">
        <f t="array" aca="1" ref="K219" ca="1">-_xll.YCP($E219,"ytd_return",'Database Query'!$E$14)+J219</f>
        <v>4.6800000000001007E-4</v>
      </c>
      <c r="L219" s="2" cm="1">
        <f t="array" aca="1" ref="L219" ca="1">_xlfn.IFS($B219="etf", _xll.YCP($A219,"one_year_total_return",'Database Query'!$E$14),$B219&lt;&gt;"etf",_xll.YCP("M:"&amp; $A219,"one_year_total_return",'Database Query'!$E$14))</f>
        <v>8.2403000000000004E-2</v>
      </c>
      <c r="M219" s="2" cm="1">
        <f t="array" aca="1" ref="M219" ca="1">-_xll.YCP($E219,"one_year_return",'Database Query'!$E$14)+L219</f>
        <v>4.6800000000001007E-4</v>
      </c>
      <c r="N219" s="2" cm="1">
        <f t="array" aca="1" ref="N219" ca="1">_xlfn.IFS($B219="etf", _xll.YCP($A219,"three_year_total_return",'Database Query'!$E$14),$B219&lt;&gt;"etf",_xll.YCP("M:"&amp; $A219,"three_year_total_return",'Database Query'!$E$14))</f>
        <v>0.14169499999999999</v>
      </c>
      <c r="O219" s="2" cm="1">
        <f t="array" aca="1" ref="O219" ca="1">-_xll.YCP($E219,"three_year_return",'Database Query'!$E$14)+N219</f>
        <v>5.1621999999999987E-2</v>
      </c>
      <c r="P219" s="2" cm="1">
        <f t="array" aca="1" ref="P219" ca="1">_xlfn.IFS($B219="etf", _xll.YCP($A219,"five_year_total_return",'Database Query'!$E$14),$B219&lt;&gt;"etf",_xll.YCP("M:"&amp; $A219,"five_year_total_return",'Database Query'!$E$14))</f>
        <v>0.26926499999999998</v>
      </c>
      <c r="Q219" s="2" cm="1">
        <f t="array" aca="1" ref="Q219" ca="1">-_xll.YCP($E219,"five_year_return",'Database Query'!$E$14)+P219</f>
        <v>4.002799999999998E-2</v>
      </c>
    </row>
    <row r="220" spans="1:17" x14ac:dyDescent="0.25">
      <c r="A220" t="str">
        <v>SMCFX</v>
      </c>
      <c r="B220" t="e" cm="1">
        <f t="array" aca="1" ref="B220" ca="1">_xll.YCI(A220,"detailed_security_type",TODAY())</f>
        <v>#VALUE!</v>
      </c>
      <c r="C220" t="e" cm="1">
        <f t="array" aca="1" ref="C220" ca="1">_xlfn.IFS(B220="etf", _xll.YCI(A220, "security_name",TODAY()),B220&lt;&gt;"etf",_xll.YCI("M:" &amp; A220, "security_name",TODAY()))</f>
        <v>#VALUE!</v>
      </c>
      <c r="D220" t="e" cm="1">
        <f t="array" aca="1" ref="D220" ca="1">_xlfn.IFS($B220="etf", _xll.YCI($A220, "ycharts_benchmark_category",TODAY()),$B220&lt;&gt;"etf",_xll.YCI("M:" &amp; $A220, "ycharts_benchmark_category",TODAY()))</f>
        <v>#VALUE!</v>
      </c>
      <c r="E220" t="e" cm="1">
        <f t="array" aca="1" ref="E220" ca="1">_xlfn.IFS($B220="etf", _xll.YCI($A220, "ycharts_benchmark_index_symbol",TODAY()),$B220&lt;&gt;"etf",_xll.YCI("M:" &amp; $A220, "ycharts_benchmark_index_symbol",TODAY()))</f>
        <v>#VALUE!</v>
      </c>
      <c r="F220" t="e" cm="1">
        <f t="array" aca="1" ref="F220" ca="1">_xlfn.IFS($B220="etf", _xll.YCI($E220, "security_name",TODAY()),$B220&lt;&gt;"etf",_xll.YCI( $E220, "security_name",TODAY()))</f>
        <v>#VALUE!</v>
      </c>
      <c r="G220" t="e" cm="1">
        <f t="array" aca="1" ref="G220" ca="1">_xlfn.IFS($B220="etf", _xll.YCI($A220, "prospectus_benchmark_index",TODAY()),$B220&lt;&gt;"etf",_xll.YCI("M:" &amp; $A220, "prospectus_benchmark_index",TODAY()))</f>
        <v>#VALUE!</v>
      </c>
      <c r="H220" s="2" t="e" cm="1">
        <f t="array" aca="1" ref="H220" ca="1">_xlfn.IFS($B220="etf", _xll.YCP($A220,"quarterly_total_return",'Database Query'!$E$14),$B220&lt;&gt;"etf",_xll.YCP("M:"&amp; $A220,"quarterly_total_return",'Database Query'!$E$14))</f>
        <v>#VALUE!</v>
      </c>
      <c r="I220" s="2" t="e" cm="1">
        <f t="array" aca="1" ref="I220" ca="1">-_xll.YCP($E220,"quarterly_return",'Database Query'!$E$14)+H220</f>
        <v>#VALUE!</v>
      </c>
      <c r="J220" s="2" t="e" cm="1">
        <f t="array" aca="1" ref="J220" ca="1">_xlfn.IFS($B220="etf", _xll.YCP($A220,"ytd_total_return",'Database Query'!$E$14),$B220&lt;&gt;"etf",_xll.YCP("M:"&amp; $A220,"ytd_total_return",'Database Query'!$E$14))</f>
        <v>#VALUE!</v>
      </c>
      <c r="K220" s="2" t="e" cm="1">
        <f t="array" aca="1" ref="K220" ca="1">-_xll.YCP($E220,"ytd_return",'Database Query'!$E$14)+J220</f>
        <v>#VALUE!</v>
      </c>
      <c r="L220" s="2" t="e" cm="1">
        <f t="array" aca="1" ref="L220" ca="1">_xlfn.IFS($B220="etf", _xll.YCP($A220,"one_year_total_return",'Database Query'!$E$14),$B220&lt;&gt;"etf",_xll.YCP("M:"&amp; $A220,"one_year_total_return",'Database Query'!$E$14))</f>
        <v>#VALUE!</v>
      </c>
      <c r="M220" s="2" t="e" cm="1">
        <f t="array" aca="1" ref="M220" ca="1">-_xll.YCP($E220,"one_year_return",'Database Query'!$E$14)+L220</f>
        <v>#VALUE!</v>
      </c>
      <c r="N220" s="2" t="e" cm="1">
        <f t="array" aca="1" ref="N220" ca="1">_xlfn.IFS($B220="etf", _xll.YCP($A220,"three_year_total_return",'Database Query'!$E$14),$B220&lt;&gt;"etf",_xll.YCP("M:"&amp; $A220,"three_year_total_return",'Database Query'!$E$14))</f>
        <v>#VALUE!</v>
      </c>
      <c r="O220" s="2" t="e" cm="1">
        <f t="array" aca="1" ref="O220" ca="1">-_xll.YCP($E220,"three_year_return",'Database Query'!$E$14)+N220</f>
        <v>#VALUE!</v>
      </c>
      <c r="P220" s="2" t="e" cm="1">
        <f t="array" aca="1" ref="P220" ca="1">_xlfn.IFS($B220="etf", _xll.YCP($A220,"five_year_total_return",'Database Query'!$E$14),$B220&lt;&gt;"etf",_xll.YCP("M:"&amp; $A220,"five_year_total_return",'Database Query'!$E$14))</f>
        <v>#VALUE!</v>
      </c>
      <c r="Q220" s="2" t="e" cm="1">
        <f t="array" aca="1" ref="Q220" ca="1">-_xll.YCP($E220,"five_year_return",'Database Query'!$E$14)+P220</f>
        <v>#VALUE!</v>
      </c>
    </row>
    <row r="221" spans="1:17" x14ac:dyDescent="0.25">
      <c r="A221" t="str">
        <v>SPHIX</v>
      </c>
      <c r="B221" t="e" cm="1">
        <f t="array" aca="1" ref="B221" ca="1">_xll.YCI(A221,"detailed_security_type",TODAY())</f>
        <v>#VALUE!</v>
      </c>
      <c r="C221" t="e" cm="1">
        <f t="array" aca="1" ref="C221" ca="1">_xlfn.IFS(B221="etf", _xll.YCI(A221, "security_name",TODAY()),B221&lt;&gt;"etf",_xll.YCI("M:" &amp; A221, "security_name",TODAY()))</f>
        <v>#VALUE!</v>
      </c>
      <c r="D221" t="e" cm="1">
        <f t="array" aca="1" ref="D221" ca="1">_xlfn.IFS($B221="etf", _xll.YCI($A221, "ycharts_benchmark_category",TODAY()),$B221&lt;&gt;"etf",_xll.YCI("M:" &amp; $A221, "ycharts_benchmark_category",TODAY()))</f>
        <v>#VALUE!</v>
      </c>
      <c r="E221" t="e" cm="1">
        <f t="array" aca="1" ref="E221" ca="1">_xlfn.IFS($B221="etf", _xll.YCI($A221, "ycharts_benchmark_index_symbol",TODAY()),$B221&lt;&gt;"etf",_xll.YCI("M:" &amp; $A221, "ycharts_benchmark_index_symbol",TODAY()))</f>
        <v>#VALUE!</v>
      </c>
      <c r="F221" t="e" cm="1">
        <f t="array" aca="1" ref="F221" ca="1">_xlfn.IFS($B221="etf", _xll.YCI($E221, "security_name",TODAY()),$B221&lt;&gt;"etf",_xll.YCI( $E221, "security_name",TODAY()))</f>
        <v>#VALUE!</v>
      </c>
      <c r="G221" t="e" cm="1">
        <f t="array" aca="1" ref="G221" ca="1">_xlfn.IFS($B221="etf", _xll.YCI($A221, "prospectus_benchmark_index",TODAY()),$B221&lt;&gt;"etf",_xll.YCI("M:" &amp; $A221, "prospectus_benchmark_index",TODAY()))</f>
        <v>#VALUE!</v>
      </c>
      <c r="H221" s="2" t="e" cm="1">
        <f t="array" aca="1" ref="H221" ca="1">_xlfn.IFS($B221="etf", _xll.YCP($A221,"quarterly_total_return",'Database Query'!$E$14),$B221&lt;&gt;"etf",_xll.YCP("M:"&amp; $A221,"quarterly_total_return",'Database Query'!$E$14))</f>
        <v>#VALUE!</v>
      </c>
      <c r="I221" s="2" t="e" cm="1">
        <f t="array" aca="1" ref="I221" ca="1">-_xll.YCP($E221,"quarterly_return",'Database Query'!$E$14)+H221</f>
        <v>#VALUE!</v>
      </c>
      <c r="J221" s="2" t="e" cm="1">
        <f t="array" aca="1" ref="J221" ca="1">_xlfn.IFS($B221="etf", _xll.YCP($A221,"ytd_total_return",'Database Query'!$E$14),$B221&lt;&gt;"etf",_xll.YCP("M:"&amp; $A221,"ytd_total_return",'Database Query'!$E$14))</f>
        <v>#VALUE!</v>
      </c>
      <c r="K221" s="2" t="e" cm="1">
        <f t="array" aca="1" ref="K221" ca="1">-_xll.YCP($E221,"ytd_return",'Database Query'!$E$14)+J221</f>
        <v>#VALUE!</v>
      </c>
      <c r="L221" s="2" t="e" cm="1">
        <f t="array" aca="1" ref="L221" ca="1">_xlfn.IFS($B221="etf", _xll.YCP($A221,"one_year_total_return",'Database Query'!$E$14),$B221&lt;&gt;"etf",_xll.YCP("M:"&amp; $A221,"one_year_total_return",'Database Query'!$E$14))</f>
        <v>#VALUE!</v>
      </c>
      <c r="M221" s="2" t="e" cm="1">
        <f t="array" aca="1" ref="M221" ca="1">-_xll.YCP($E221,"one_year_return",'Database Query'!$E$14)+L221</f>
        <v>#VALUE!</v>
      </c>
      <c r="N221" s="2" t="e" cm="1">
        <f t="array" aca="1" ref="N221" ca="1">_xlfn.IFS($B221="etf", _xll.YCP($A221,"three_year_total_return",'Database Query'!$E$14),$B221&lt;&gt;"etf",_xll.YCP("M:"&amp; $A221,"three_year_total_return",'Database Query'!$E$14))</f>
        <v>#VALUE!</v>
      </c>
      <c r="O221" s="2" t="e" cm="1">
        <f t="array" aca="1" ref="O221" ca="1">-_xll.YCP($E221,"three_year_return",'Database Query'!$E$14)+N221</f>
        <v>#VALUE!</v>
      </c>
      <c r="P221" s="2" t="e" cm="1">
        <f t="array" aca="1" ref="P221" ca="1">_xlfn.IFS($B221="etf", _xll.YCP($A221,"five_year_total_return",'Database Query'!$E$14),$B221&lt;&gt;"etf",_xll.YCP("M:"&amp; $A221,"five_year_total_return",'Database Query'!$E$14))</f>
        <v>#VALUE!</v>
      </c>
      <c r="Q221" s="2" t="e" cm="1">
        <f t="array" aca="1" ref="Q221" ca="1">-_xll.YCP($E221,"five_year_return",'Database Query'!$E$14)+P221</f>
        <v>#VALUE!</v>
      </c>
    </row>
    <row r="222" spans="1:17" x14ac:dyDescent="0.25">
      <c r="A222" t="str">
        <v>SPY</v>
      </c>
      <c r="B222" t="str" cm="1">
        <f t="array" aca="1" ref="B222" ca="1">_xll.YCI(A222,"detailed_security_type",TODAY())</f>
        <v>etf</v>
      </c>
      <c r="C222" t="str" cm="1">
        <f t="array" aca="1" ref="C222" ca="1">_xlfn.IFS(B222="etf", _xll.YCI(A222, "security_name",TODAY()),B222&lt;&gt;"etf",_xll.YCI("M:" &amp; A222, "security_name",TODAY()))</f>
        <v>SPDR S&amp;P 500 ETF Trust</v>
      </c>
      <c r="D222" t="str" cm="1">
        <f t="array" aca="1" ref="D222" ca="1">_xlfn.IFS($B222="etf", _xll.YCI($A222, "ycharts_benchmark_category",TODAY()),$B222&lt;&gt;"etf",_xll.YCI("M:" &amp; $A222, "ycharts_benchmark_category",TODAY()))</f>
        <v>Equity US</v>
      </c>
      <c r="E222" t="str" cm="1">
        <f t="array" aca="1" ref="E222" ca="1">_xlfn.IFS($B222="etf", _xll.YCI($A222, "ycharts_benchmark_index_symbol",TODAY()),$B222&lt;&gt;"etf",_xll.YCI("M:" &amp; $A222, "ycharts_benchmark_index_symbol",TODAY()))</f>
        <v>^SPXTR</v>
      </c>
      <c r="F222" t="str" cm="1">
        <f t="array" aca="1" ref="F222" ca="1">_xlfn.IFS($B222="etf", _xll.YCI($E222, "security_name",TODAY()),$B222&lt;&gt;"etf",_xll.YCI( $E222, "security_name",TODAY()))</f>
        <v>S&amp;P 500 Total Return</v>
      </c>
      <c r="G222" t="str" cm="1">
        <f t="array" aca="1" ref="G222" ca="1">_xlfn.IFS($B222="etf", _xll.YCI($A222, "prospectus_benchmark_index",TODAY()),$B222&lt;&gt;"etf",_xll.YCI("M:" &amp; $A222, "prospectus_benchmark_index",TODAY()))</f>
        <v>S&amp;P 500 TR USD</v>
      </c>
      <c r="H222" s="2" cm="1">
        <f t="array" aca="1" ref="H222" ca="1">_xlfn.IFS($B222="etf", _xll.YCP($A222,"quarterly_total_return",'Database Query'!$E$14),$B222&lt;&gt;"etf",_xll.YCP("M:"&amp; $A222,"quarterly_total_return",'Database Query'!$E$14))</f>
        <v>2.4868999999999999E-2</v>
      </c>
      <c r="I222" s="2" cm="1">
        <f t="array" aca="1" ref="I222" ca="1">-_xll.YCP($E222,"quarterly_return",'Database Query'!$E$14)+H222</f>
        <v>7.7699999999999991E-4</v>
      </c>
      <c r="J222" s="2" cm="1">
        <f t="array" aca="1" ref="J222" ca="1">_xlfn.IFS($B222="etf", _xll.YCP($A222,"ytd_total_return",'Database Query'!$E$14),$B222&lt;&gt;"etf",_xll.YCP("M:"&amp; $A222,"ytd_total_return",'Database Query'!$E$14))</f>
        <v>0.24885099999999999</v>
      </c>
      <c r="K222" s="2" cm="1">
        <f t="array" aca="1" ref="K222" ca="1">-_xll.YCP($E222,"ytd_return",'Database Query'!$E$14)+J222</f>
        <v>-1.3460000000000139E-3</v>
      </c>
      <c r="L222" s="2" cm="1">
        <f t="array" aca="1" ref="L222" ca="1">_xlfn.IFS($B222="etf", _xll.YCP($A222,"one_year_total_return",'Database Query'!$E$14),$B222&lt;&gt;"etf",_xll.YCP("M:"&amp; $A222,"one_year_total_return",'Database Query'!$E$14))</f>
        <v>0.24885099999999999</v>
      </c>
      <c r="M222" s="2" cm="1">
        <f t="array" aca="1" ref="M222" ca="1">-_xll.YCP($E222,"one_year_return",'Database Query'!$E$14)+L222</f>
        <v>-1.3460000000000139E-3</v>
      </c>
      <c r="N222" s="2" cm="1">
        <f t="array" aca="1" ref="N222" ca="1">_xlfn.IFS($B222="etf", _xll.YCP($A222,"three_year_total_return",'Database Query'!$E$14),$B222&lt;&gt;"etf",_xll.YCP("M:"&amp; $A222,"three_year_total_return",'Database Query'!$E$14))</f>
        <v>0.289549</v>
      </c>
      <c r="O222" s="2" cm="1">
        <f t="array" aca="1" ref="O222" ca="1">-_xll.YCP($E222,"three_year_return",'Database Query'!$E$14)+N222</f>
        <v>-3.3529999999999949E-3</v>
      </c>
      <c r="P222" s="2" cm="1">
        <f t="array" aca="1" ref="P222" ca="1">_xlfn.IFS($B222="etf", _xll.YCP($A222,"five_year_total_return",'Database Query'!$E$14),$B222&lt;&gt;"etf",_xll.YCP("M:"&amp; $A222,"five_year_total_return",'Database Query'!$E$14))</f>
        <v>0.96526800000000001</v>
      </c>
      <c r="Q222" s="2" cm="1">
        <f t="array" aca="1" ref="Q222" ca="1">-_xll.YCP($E222,"five_year_return",'Database Query'!$E$14)+P222</f>
        <v>-4.9289999999999612E-3</v>
      </c>
    </row>
    <row r="223" spans="1:17" x14ac:dyDescent="0.25">
      <c r="A223" t="str">
        <v>SRLN</v>
      </c>
      <c r="B223" t="str" cm="1">
        <f t="array" aca="1" ref="B223" ca="1">_xll.YCI(A223,"detailed_security_type",TODAY())</f>
        <v>etf</v>
      </c>
      <c r="C223" t="str" cm="1">
        <f t="array" aca="1" ref="C223" ca="1">_xlfn.IFS(B223="etf", _xll.YCI(A223, "security_name",TODAY()),B223&lt;&gt;"etf",_xll.YCI("M:" &amp; A223, "security_name",TODAY()))</f>
        <v>SPDR Blackstone Senior Loan ETF</v>
      </c>
      <c r="D223" t="str" cm="1">
        <f t="array" aca="1" ref="D223" ca="1">_xlfn.IFS($B223="etf", _xll.YCI($A223, "ycharts_benchmark_category",TODAY()),$B223&lt;&gt;"etf",_xll.YCI("M:" &amp; $A223, "ycharts_benchmark_category",TODAY()))</f>
        <v>Alts</v>
      </c>
      <c r="E223" t="str" cm="1">
        <f t="array" aca="1" ref="E223" ca="1">_xlfn.IFS($B223="etf", _xll.YCI($A223, "ycharts_benchmark_index_symbol",TODAY()),$B223&lt;&gt;"etf",_xll.YCI("M:" &amp; $A223, "ycharts_benchmark_index_symbol",TODAY()))</f>
        <v>^PEATR</v>
      </c>
      <c r="F223" t="str" cm="1">
        <f t="array" aca="1" ref="F223" ca="1">_xlfn.IFS($B223="etf", _xll.YCI($E223, "security_name",TODAY()),$B223&lt;&gt;"etf",_xll.YCI( $E223, "security_name",TODAY()))</f>
        <v>Private Equity Index Total Return</v>
      </c>
      <c r="G223" t="str" cm="1">
        <f t="array" aca="1" ref="G223" ca="1">_xlfn.IFS($B223="etf", _xll.YCI($A223, "prospectus_benchmark_index",TODAY()),$B223&lt;&gt;"etf",_xll.YCI("M:" &amp; $A223, "prospectus_benchmark_index",TODAY()))</f>
        <v>Markit iBoxx USD Liquid Levged Loan TR</v>
      </c>
      <c r="H223" s="2" cm="1">
        <f t="array" aca="1" ref="H223" ca="1">_xlfn.IFS($B223="etf", _xll.YCP($A223,"quarterly_total_return",'Database Query'!$E$14),$B223&lt;&gt;"etf",_xll.YCP("M:"&amp; $A223,"quarterly_total_return",'Database Query'!$E$14))</f>
        <v>2.6610999999999999E-2</v>
      </c>
      <c r="I223" s="2" cm="1">
        <f t="array" aca="1" ref="I223" ca="1">-_xll.YCP($E223,"quarterly_return",'Database Query'!$E$14)+H223</f>
        <v>5.1087E-2</v>
      </c>
      <c r="J223" s="2" cm="1">
        <f t="array" aca="1" ref="J223" ca="1">_xlfn.IFS($B223="etf", _xll.YCP($A223,"ytd_total_return",'Database Query'!$E$14),$B223&lt;&gt;"etf",_xll.YCP("M:"&amp; $A223,"ytd_total_return",'Database Query'!$E$14))</f>
        <v>8.4283999999999998E-2</v>
      </c>
      <c r="K223" s="2" cm="1">
        <f t="array" aca="1" ref="K223" ca="1">-_xll.YCP($E223,"ytd_return",'Database Query'!$E$14)+J223</f>
        <v>-0.20427599999999999</v>
      </c>
      <c r="L223" s="2" cm="1">
        <f t="array" aca="1" ref="L223" ca="1">_xlfn.IFS($B223="etf", _xll.YCP($A223,"one_year_total_return",'Database Query'!$E$14),$B223&lt;&gt;"etf",_xll.YCP("M:"&amp; $A223,"one_year_total_return",'Database Query'!$E$14))</f>
        <v>8.4283999999999998E-2</v>
      </c>
      <c r="M223" s="2" cm="1">
        <f t="array" aca="1" ref="M223" ca="1">-_xll.YCP($E223,"one_year_return",'Database Query'!$E$14)+L223</f>
        <v>-0.20427599999999999</v>
      </c>
      <c r="N223" s="2" cm="1">
        <f t="array" aca="1" ref="N223" ca="1">_xlfn.IFS($B223="etf", _xll.YCP($A223,"three_year_total_return",'Database Query'!$E$14),$B223&lt;&gt;"etf",_xll.YCP("M:"&amp; $A223,"three_year_total_return",'Database Query'!$E$14))</f>
        <v>0.14602499999999999</v>
      </c>
      <c r="O223" s="2" cm="1">
        <f t="array" aca="1" ref="O223" ca="1">-_xll.YCP($E223,"three_year_return",'Database Query'!$E$14)+N223</f>
        <v>-0.11316499999999999</v>
      </c>
      <c r="P223" s="2" cm="1">
        <f t="array" aca="1" ref="P223" ca="1">_xlfn.IFS($B223="etf", _xll.YCP($A223,"five_year_total_return",'Database Query'!$E$14),$B223&lt;&gt;"etf",_xll.YCP("M:"&amp; $A223,"five_year_total_return",'Database Query'!$E$14))</f>
        <v>0.234956</v>
      </c>
      <c r="Q223" s="2" cm="1">
        <f t="array" aca="1" ref="Q223" ca="1">-_xll.YCP($E223,"five_year_return",'Database Query'!$E$14)+P223</f>
        <v>-0.83463900000000013</v>
      </c>
    </row>
    <row r="224" spans="1:17" x14ac:dyDescent="0.25">
      <c r="A224" t="str">
        <v>SRUIX</v>
      </c>
      <c r="B224" t="e" cm="1">
        <f t="array" aca="1" ref="B224" ca="1">_xll.YCI(A224,"detailed_security_type",TODAY())</f>
        <v>#VALUE!</v>
      </c>
      <c r="C224" t="e" cm="1">
        <f t="array" aca="1" ref="C224" ca="1">_xlfn.IFS(B224="etf", _xll.YCI(A224, "security_name",TODAY()),B224&lt;&gt;"etf",_xll.YCI("M:" &amp; A224, "security_name",TODAY()))</f>
        <v>#VALUE!</v>
      </c>
      <c r="D224" t="e" cm="1">
        <f t="array" aca="1" ref="D224" ca="1">_xlfn.IFS($B224="etf", _xll.YCI($A224, "ycharts_benchmark_category",TODAY()),$B224&lt;&gt;"etf",_xll.YCI("M:" &amp; $A224, "ycharts_benchmark_category",TODAY()))</f>
        <v>#VALUE!</v>
      </c>
      <c r="E224" t="e" cm="1">
        <f t="array" aca="1" ref="E224" ca="1">_xlfn.IFS($B224="etf", _xll.YCI($A224, "ycharts_benchmark_index_symbol",TODAY()),$B224&lt;&gt;"etf",_xll.YCI("M:" &amp; $A224, "ycharts_benchmark_index_symbol",TODAY()))</f>
        <v>#VALUE!</v>
      </c>
      <c r="F224" t="e" cm="1">
        <f t="array" aca="1" ref="F224" ca="1">_xlfn.IFS($B224="etf", _xll.YCI($E224, "security_name",TODAY()),$B224&lt;&gt;"etf",_xll.YCI( $E224, "security_name",TODAY()))</f>
        <v>#VALUE!</v>
      </c>
      <c r="G224" t="e" cm="1">
        <f t="array" aca="1" ref="G224" ca="1">_xlfn.IFS($B224="etf", _xll.YCI($A224, "prospectus_benchmark_index",TODAY()),$B224&lt;&gt;"etf",_xll.YCI("M:" &amp; $A224, "prospectus_benchmark_index",TODAY()))</f>
        <v>#VALUE!</v>
      </c>
      <c r="H224" s="2" t="e" cm="1">
        <f t="array" aca="1" ref="H224" ca="1">_xlfn.IFS($B224="etf", _xll.YCP($A224,"quarterly_total_return",'Database Query'!$E$14),$B224&lt;&gt;"etf",_xll.YCP("M:"&amp; $A224,"quarterly_total_return",'Database Query'!$E$14))</f>
        <v>#VALUE!</v>
      </c>
      <c r="I224" s="2" t="e" cm="1">
        <f t="array" aca="1" ref="I224" ca="1">-_xll.YCP($E224,"quarterly_return",'Database Query'!$E$14)+H224</f>
        <v>#VALUE!</v>
      </c>
      <c r="J224" s="2" t="e" cm="1">
        <f t="array" aca="1" ref="J224" ca="1">_xlfn.IFS($B224="etf", _xll.YCP($A224,"ytd_total_return",'Database Query'!$E$14),$B224&lt;&gt;"etf",_xll.YCP("M:"&amp; $A224,"ytd_total_return",'Database Query'!$E$14))</f>
        <v>#VALUE!</v>
      </c>
      <c r="K224" s="2" t="e" cm="1">
        <f t="array" aca="1" ref="K224" ca="1">-_xll.YCP($E224,"ytd_return",'Database Query'!$E$14)+J224</f>
        <v>#VALUE!</v>
      </c>
      <c r="L224" s="2" t="e" cm="1">
        <f t="array" aca="1" ref="L224" ca="1">_xlfn.IFS($B224="etf", _xll.YCP($A224,"one_year_total_return",'Database Query'!$E$14),$B224&lt;&gt;"etf",_xll.YCP("M:"&amp; $A224,"one_year_total_return",'Database Query'!$E$14))</f>
        <v>#VALUE!</v>
      </c>
      <c r="M224" s="2" t="e" cm="1">
        <f t="array" aca="1" ref="M224" ca="1">-_xll.YCP($E224,"one_year_return",'Database Query'!$E$14)+L224</f>
        <v>#VALUE!</v>
      </c>
      <c r="N224" s="2" t="e" cm="1">
        <f t="array" aca="1" ref="N224" ca="1">_xlfn.IFS($B224="etf", _xll.YCP($A224,"three_year_total_return",'Database Query'!$E$14),$B224&lt;&gt;"etf",_xll.YCP("M:"&amp; $A224,"three_year_total_return",'Database Query'!$E$14))</f>
        <v>#VALUE!</v>
      </c>
      <c r="O224" s="2" t="e" cm="1">
        <f t="array" aca="1" ref="O224" ca="1">-_xll.YCP($E224,"three_year_return",'Database Query'!$E$14)+N224</f>
        <v>#VALUE!</v>
      </c>
      <c r="P224" s="2" t="e" cm="1">
        <f t="array" aca="1" ref="P224" ca="1">_xlfn.IFS($B224="etf", _xll.YCP($A224,"five_year_total_return",'Database Query'!$E$14),$B224&lt;&gt;"etf",_xll.YCP("M:"&amp; $A224,"five_year_total_return",'Database Query'!$E$14))</f>
        <v>#VALUE!</v>
      </c>
      <c r="Q224" s="2" t="e" cm="1">
        <f t="array" aca="1" ref="Q224" ca="1">-_xll.YCP($E224,"five_year_return",'Database Query'!$E$14)+P224</f>
        <v>#VALUE!</v>
      </c>
    </row>
    <row r="225" spans="1:17" x14ac:dyDescent="0.25">
      <c r="A225" t="str">
        <v>SSIIX</v>
      </c>
      <c r="B225" t="e" cm="1">
        <f t="array" aca="1" ref="B225" ca="1">_xll.YCI(A225,"detailed_security_type",TODAY())</f>
        <v>#VALUE!</v>
      </c>
      <c r="C225" t="e" cm="1">
        <f t="array" aca="1" ref="C225" ca="1">_xlfn.IFS(B225="etf", _xll.YCI(A225, "security_name",TODAY()),B225&lt;&gt;"etf",_xll.YCI("M:" &amp; A225, "security_name",TODAY()))</f>
        <v>#VALUE!</v>
      </c>
      <c r="D225" t="e" cm="1">
        <f t="array" aca="1" ref="D225" ca="1">_xlfn.IFS($B225="etf", _xll.YCI($A225, "ycharts_benchmark_category",TODAY()),$B225&lt;&gt;"etf",_xll.YCI("M:" &amp; $A225, "ycharts_benchmark_category",TODAY()))</f>
        <v>#VALUE!</v>
      </c>
      <c r="E225" t="e" cm="1">
        <f t="array" aca="1" ref="E225" ca="1">_xlfn.IFS($B225="etf", _xll.YCI($A225, "ycharts_benchmark_index_symbol",TODAY()),$B225&lt;&gt;"etf",_xll.YCI("M:" &amp; $A225, "ycharts_benchmark_index_symbol",TODAY()))</f>
        <v>#VALUE!</v>
      </c>
      <c r="F225" t="e" cm="1">
        <f t="array" aca="1" ref="F225" ca="1">_xlfn.IFS($B225="etf", _xll.YCI($E225, "security_name",TODAY()),$B225&lt;&gt;"etf",_xll.YCI( $E225, "security_name",TODAY()))</f>
        <v>#VALUE!</v>
      </c>
      <c r="G225" t="e" cm="1">
        <f t="array" aca="1" ref="G225" ca="1">_xlfn.IFS($B225="etf", _xll.YCI($A225, "prospectus_benchmark_index",TODAY()),$B225&lt;&gt;"etf",_xll.YCI("M:" &amp; $A225, "prospectus_benchmark_index",TODAY()))</f>
        <v>#VALUE!</v>
      </c>
      <c r="H225" s="2" t="e" cm="1">
        <f t="array" aca="1" ref="H225" ca="1">_xlfn.IFS($B225="etf", _xll.YCP($A225,"quarterly_total_return",'Database Query'!$E$14),$B225&lt;&gt;"etf",_xll.YCP("M:"&amp; $A225,"quarterly_total_return",'Database Query'!$E$14))</f>
        <v>#VALUE!</v>
      </c>
      <c r="I225" s="2" t="e" cm="1">
        <f t="array" aca="1" ref="I225" ca="1">-_xll.YCP($E225,"quarterly_return",'Database Query'!$E$14)+H225</f>
        <v>#VALUE!</v>
      </c>
      <c r="J225" s="2" t="e" cm="1">
        <f t="array" aca="1" ref="J225" ca="1">_xlfn.IFS($B225="etf", _xll.YCP($A225,"ytd_total_return",'Database Query'!$E$14),$B225&lt;&gt;"etf",_xll.YCP("M:"&amp; $A225,"ytd_total_return",'Database Query'!$E$14))</f>
        <v>#VALUE!</v>
      </c>
      <c r="K225" s="2" t="e" cm="1">
        <f t="array" aca="1" ref="K225" ca="1">-_xll.YCP($E225,"ytd_return",'Database Query'!$E$14)+J225</f>
        <v>#VALUE!</v>
      </c>
      <c r="L225" s="2" t="e" cm="1">
        <f t="array" aca="1" ref="L225" ca="1">_xlfn.IFS($B225="etf", _xll.YCP($A225,"one_year_total_return",'Database Query'!$E$14),$B225&lt;&gt;"etf",_xll.YCP("M:"&amp; $A225,"one_year_total_return",'Database Query'!$E$14))</f>
        <v>#VALUE!</v>
      </c>
      <c r="M225" s="2" t="e" cm="1">
        <f t="array" aca="1" ref="M225" ca="1">-_xll.YCP($E225,"one_year_return",'Database Query'!$E$14)+L225</f>
        <v>#VALUE!</v>
      </c>
      <c r="N225" s="2" t="e" cm="1">
        <f t="array" aca="1" ref="N225" ca="1">_xlfn.IFS($B225="etf", _xll.YCP($A225,"three_year_total_return",'Database Query'!$E$14),$B225&lt;&gt;"etf",_xll.YCP("M:"&amp; $A225,"three_year_total_return",'Database Query'!$E$14))</f>
        <v>#VALUE!</v>
      </c>
      <c r="O225" s="2" t="e" cm="1">
        <f t="array" aca="1" ref="O225" ca="1">-_xll.YCP($E225,"three_year_return",'Database Query'!$E$14)+N225</f>
        <v>#VALUE!</v>
      </c>
      <c r="P225" s="2" t="e" cm="1">
        <f t="array" aca="1" ref="P225" ca="1">_xlfn.IFS($B225="etf", _xll.YCP($A225,"five_year_total_return",'Database Query'!$E$14),$B225&lt;&gt;"etf",_xll.YCP("M:"&amp; $A225,"five_year_total_return",'Database Query'!$E$14))</f>
        <v>#VALUE!</v>
      </c>
      <c r="Q225" s="2" t="e" cm="1">
        <f t="array" aca="1" ref="Q225" ca="1">-_xll.YCP($E225,"five_year_return",'Database Query'!$E$14)+P225</f>
        <v>#VALUE!</v>
      </c>
    </row>
    <row r="226" spans="1:17" x14ac:dyDescent="0.25">
      <c r="A226" t="str">
        <v>STBJX</v>
      </c>
      <c r="B226" t="e" cm="1">
        <f t="array" aca="1" ref="B226" ca="1">_xll.YCI(A226,"detailed_security_type",TODAY())</f>
        <v>#VALUE!</v>
      </c>
      <c r="C226" t="e" cm="1">
        <f t="array" aca="1" ref="C226" ca="1">_xlfn.IFS(B226="etf", _xll.YCI(A226, "security_name",TODAY()),B226&lt;&gt;"etf",_xll.YCI("M:" &amp; A226, "security_name",TODAY()))</f>
        <v>#VALUE!</v>
      </c>
      <c r="D226" t="e" cm="1">
        <f t="array" aca="1" ref="D226" ca="1">_xlfn.IFS($B226="etf", _xll.YCI($A226, "ycharts_benchmark_category",TODAY()),$B226&lt;&gt;"etf",_xll.YCI("M:" &amp; $A226, "ycharts_benchmark_category",TODAY()))</f>
        <v>#VALUE!</v>
      </c>
      <c r="E226" t="e" cm="1">
        <f t="array" aca="1" ref="E226" ca="1">_xlfn.IFS($B226="etf", _xll.YCI($A226, "ycharts_benchmark_index_symbol",TODAY()),$B226&lt;&gt;"etf",_xll.YCI("M:" &amp; $A226, "ycharts_benchmark_index_symbol",TODAY()))</f>
        <v>#VALUE!</v>
      </c>
      <c r="F226" t="e" cm="1">
        <f t="array" aca="1" ref="F226" ca="1">_xlfn.IFS($B226="etf", _xll.YCI($E226, "security_name",TODAY()),$B226&lt;&gt;"etf",_xll.YCI( $E226, "security_name",TODAY()))</f>
        <v>#VALUE!</v>
      </c>
      <c r="G226" t="e" cm="1">
        <f t="array" aca="1" ref="G226" ca="1">_xlfn.IFS($B226="etf", _xll.YCI($A226, "prospectus_benchmark_index",TODAY()),$B226&lt;&gt;"etf",_xll.YCI("M:" &amp; $A226, "prospectus_benchmark_index",TODAY()))</f>
        <v>#VALUE!</v>
      </c>
      <c r="H226" s="2" t="e" cm="1">
        <f t="array" aca="1" ref="H226" ca="1">_xlfn.IFS($B226="etf", _xll.YCP($A226,"quarterly_total_return",'Database Query'!$E$14),$B226&lt;&gt;"etf",_xll.YCP("M:"&amp; $A226,"quarterly_total_return",'Database Query'!$E$14))</f>
        <v>#VALUE!</v>
      </c>
      <c r="I226" s="2" t="e" cm="1">
        <f t="array" aca="1" ref="I226" ca="1">-_xll.YCP($E226,"quarterly_return",'Database Query'!$E$14)+H226</f>
        <v>#VALUE!</v>
      </c>
      <c r="J226" s="2" t="e" cm="1">
        <f t="array" aca="1" ref="J226" ca="1">_xlfn.IFS($B226="etf", _xll.YCP($A226,"ytd_total_return",'Database Query'!$E$14),$B226&lt;&gt;"etf",_xll.YCP("M:"&amp; $A226,"ytd_total_return",'Database Query'!$E$14))</f>
        <v>#VALUE!</v>
      </c>
      <c r="K226" s="2" t="e" cm="1">
        <f t="array" aca="1" ref="K226" ca="1">-_xll.YCP($E226,"ytd_return",'Database Query'!$E$14)+J226</f>
        <v>#VALUE!</v>
      </c>
      <c r="L226" s="2" t="e" cm="1">
        <f t="array" aca="1" ref="L226" ca="1">_xlfn.IFS($B226="etf", _xll.YCP($A226,"one_year_total_return",'Database Query'!$E$14),$B226&lt;&gt;"etf",_xll.YCP("M:"&amp; $A226,"one_year_total_return",'Database Query'!$E$14))</f>
        <v>#VALUE!</v>
      </c>
      <c r="M226" s="2" t="e" cm="1">
        <f t="array" aca="1" ref="M226" ca="1">-_xll.YCP($E226,"one_year_return",'Database Query'!$E$14)+L226</f>
        <v>#VALUE!</v>
      </c>
      <c r="N226" s="2" t="e" cm="1">
        <f t="array" aca="1" ref="N226" ca="1">_xlfn.IFS($B226="etf", _xll.YCP($A226,"three_year_total_return",'Database Query'!$E$14),$B226&lt;&gt;"etf",_xll.YCP("M:"&amp; $A226,"three_year_total_return",'Database Query'!$E$14))</f>
        <v>#VALUE!</v>
      </c>
      <c r="O226" s="2" t="e" cm="1">
        <f t="array" aca="1" ref="O226" ca="1">-_xll.YCP($E226,"three_year_return",'Database Query'!$E$14)+N226</f>
        <v>#VALUE!</v>
      </c>
      <c r="P226" s="2" t="e" cm="1">
        <f t="array" aca="1" ref="P226" ca="1">_xlfn.IFS($B226="etf", _xll.YCP($A226,"five_year_total_return",'Database Query'!$E$14),$B226&lt;&gt;"etf",_xll.YCP("M:"&amp; $A226,"five_year_total_return",'Database Query'!$E$14))</f>
        <v>#VALUE!</v>
      </c>
      <c r="Q226" s="2" t="e" cm="1">
        <f t="array" aca="1" ref="Q226" ca="1">-_xll.YCP($E226,"five_year_return",'Database Query'!$E$14)+P226</f>
        <v>#VALUE!</v>
      </c>
    </row>
    <row r="227" spans="1:17" x14ac:dyDescent="0.25">
      <c r="A227" t="str">
        <v>SUB</v>
      </c>
      <c r="B227" t="str" cm="1">
        <f t="array" aca="1" ref="B227" ca="1">_xll.YCI(A227,"detailed_security_type",TODAY())</f>
        <v>etf</v>
      </c>
      <c r="C227" t="str" cm="1">
        <f t="array" aca="1" ref="C227" ca="1">_xlfn.IFS(B227="etf", _xll.YCI(A227, "security_name",TODAY()),B227&lt;&gt;"etf",_xll.YCI("M:" &amp; A227, "security_name",TODAY()))</f>
        <v>iShares Short-Term National Muni Bond ETF</v>
      </c>
      <c r="D227" t="str" cm="1">
        <f t="array" aca="1" ref="D227" ca="1">_xlfn.IFS($B227="etf", _xll.YCI($A227, "ycharts_benchmark_category",TODAY()),$B227&lt;&gt;"etf",_xll.YCI("M:" &amp; $A227, "ycharts_benchmark_category",TODAY()))</f>
        <v>US Aggregate Municipal Bond</v>
      </c>
      <c r="E227" t="str" cm="1">
        <f t="array" aca="1" ref="E227" ca="1">_xlfn.IFS($B227="etf", _xll.YCI($A227, "ycharts_benchmark_index_symbol",TODAY()),$B227&lt;&gt;"etf",_xll.YCI("M:" &amp; $A227, "ycharts_benchmark_index_symbol",TODAY()))</f>
        <v>^BBMBTR</v>
      </c>
      <c r="F227" t="str" cm="1">
        <f t="array" aca="1" ref="F227" ca="1">_xlfn.IFS($B227="etf", _xll.YCI($E227, "security_name",TODAY()),$B227&lt;&gt;"etf",_xll.YCI( $E227, "security_name",TODAY()))</f>
        <v>Bloomberg Municipal Bond</v>
      </c>
      <c r="G227" t="str" cm="1">
        <f t="array" aca="1" ref="G227" ca="1">_xlfn.IFS($B227="etf", _xll.YCI($A227, "prospectus_benchmark_index",TODAY()),$B227&lt;&gt;"etf",_xll.YCI("M:" &amp; $A227, "prospectus_benchmark_index",TODAY()))</f>
        <v>ICE Shrt Mat AMT-Free US Ntl Muni TR USD</v>
      </c>
      <c r="H227" s="2" cm="1">
        <f t="array" aca="1" ref="H227" ca="1">_xlfn.IFS($B227="etf", _xll.YCP($A227,"quarterly_total_return",'Database Query'!$E$14),$B227&lt;&gt;"etf",_xll.YCP("M:"&amp; $A227,"quarterly_total_return",'Database Query'!$E$14))</f>
        <v>6.5200000000000002E-4</v>
      </c>
      <c r="I227" s="2" cm="1">
        <f t="array" aca="1" ref="I227" ca="1">-_xll.YCP($E227,"quarterly_return",'Database Query'!$E$14)+H227</f>
        <v>1.2805E-2</v>
      </c>
      <c r="J227" s="2" cm="1">
        <f t="array" aca="1" ref="J227" ca="1">_xlfn.IFS($B227="etf", _xll.YCP($A227,"ytd_total_return",'Database Query'!$E$14),$B227&lt;&gt;"etf",_xll.YCP("M:"&amp; $A227,"ytd_total_return",'Database Query'!$E$14))</f>
        <v>2.1742000000000001E-2</v>
      </c>
      <c r="K227" s="2" cm="1">
        <f t="array" aca="1" ref="K227" ca="1">-_xll.YCP($E227,"ytd_return",'Database Query'!$E$14)+J227</f>
        <v>1.1207000000000002E-2</v>
      </c>
      <c r="L227" s="2" cm="1">
        <f t="array" aca="1" ref="L227" ca="1">_xlfn.IFS($B227="etf", _xll.YCP($A227,"one_year_total_return",'Database Query'!$E$14),$B227&lt;&gt;"etf",_xll.YCP("M:"&amp; $A227,"one_year_total_return",'Database Query'!$E$14))</f>
        <v>2.1742000000000001E-2</v>
      </c>
      <c r="M227" s="2" cm="1">
        <f t="array" aca="1" ref="M227" ca="1">-_xll.YCP($E227,"one_year_return",'Database Query'!$E$14)+L227</f>
        <v>1.1207000000000002E-2</v>
      </c>
      <c r="N227" s="2" cm="1">
        <f t="array" aca="1" ref="N227" ca="1">_xlfn.IFS($B227="etf", _xll.YCP($A227,"three_year_total_return",'Database Query'!$E$14),$B227&lt;&gt;"etf",_xll.YCP("M:"&amp; $A227,"three_year_total_return",'Database Query'!$E$14))</f>
        <v>2.9914E-2</v>
      </c>
      <c r="O227" s="2" cm="1">
        <f t="array" aca="1" ref="O227" ca="1">-_xll.YCP($E227,"three_year_return",'Database Query'!$E$14)+N227</f>
        <v>4.6362E-2</v>
      </c>
      <c r="P227" s="2" cm="1">
        <f t="array" aca="1" ref="P227" ca="1">_xlfn.IFS($B227="etf", _xll.YCP($A227,"five_year_total_return",'Database Query'!$E$14),$B227&lt;&gt;"etf",_xll.YCP("M:"&amp; $A227,"five_year_total_return",'Database Query'!$E$14))</f>
        <v>5.6047E-2</v>
      </c>
      <c r="Q227" s="2" cm="1">
        <f t="array" aca="1" ref="Q227" ca="1">-_xll.YCP($E227,"five_year_return",'Database Query'!$E$14)+P227</f>
        <v>5.5279999999999982E-3</v>
      </c>
    </row>
    <row r="228" spans="1:17" x14ac:dyDescent="0.25">
      <c r="A228" t="str">
        <v>SUSA</v>
      </c>
      <c r="B228" t="str" cm="1">
        <f t="array" aca="1" ref="B228" ca="1">_xll.YCI(A228,"detailed_security_type",TODAY())</f>
        <v>etf</v>
      </c>
      <c r="C228" t="str" cm="1">
        <f t="array" aca="1" ref="C228" ca="1">_xlfn.IFS(B228="etf", _xll.YCI(A228, "security_name",TODAY()),B228&lt;&gt;"etf",_xll.YCI("M:" &amp; A228, "security_name",TODAY()))</f>
        <v>iShares MSCI USA ESG Select ETF</v>
      </c>
      <c r="D228" t="str" cm="1">
        <f t="array" aca="1" ref="D228" ca="1">_xlfn.IFS($B228="etf", _xll.YCI($A228, "ycharts_benchmark_category",TODAY()),$B228&lt;&gt;"etf",_xll.YCI("M:" &amp; $A228, "ycharts_benchmark_category",TODAY()))</f>
        <v>US Multi-Cap Core</v>
      </c>
      <c r="E228" t="str" cm="1">
        <f t="array" aca="1" ref="E228" ca="1">_xlfn.IFS($B228="etf", _xll.YCI($A228, "ycharts_benchmark_index_symbol",TODAY()),$B228&lt;&gt;"etf",_xll.YCI("M:" &amp; $A228, "ycharts_benchmark_index_symbol",TODAY()))</f>
        <v>^SPXTR</v>
      </c>
      <c r="F228" t="str" cm="1">
        <f t="array" aca="1" ref="F228" ca="1">_xlfn.IFS($B228="etf", _xll.YCI($E228, "security_name",TODAY()),$B228&lt;&gt;"etf",_xll.YCI( $E228, "security_name",TODAY()))</f>
        <v>S&amp;P 500 Total Return</v>
      </c>
      <c r="G228" t="str" cm="1">
        <f t="array" aca="1" ref="G228" ca="1">_xlfn.IFS($B228="etf", _xll.YCI($A228, "prospectus_benchmark_index",TODAY()),$B228&lt;&gt;"etf",_xll.YCI("M:" &amp; $A228, "prospectus_benchmark_index",TODAY()))</f>
        <v>MSCI USA EXTENDED ESG SELECT GR USD</v>
      </c>
      <c r="H228" s="2" cm="1">
        <f t="array" aca="1" ref="H228" ca="1">_xlfn.IFS($B228="etf", _xll.YCP($A228,"quarterly_total_return",'Database Query'!$E$14),$B228&lt;&gt;"etf",_xll.YCP("M:"&amp; $A228,"quarterly_total_return",'Database Query'!$E$14))</f>
        <v>1.3117E-2</v>
      </c>
      <c r="I228" s="2" cm="1">
        <f t="array" aca="1" ref="I228" ca="1">-_xll.YCP($E228,"quarterly_return",'Database Query'!$E$14)+H228</f>
        <v>-1.0974999999999999E-2</v>
      </c>
      <c r="J228" s="2" cm="1">
        <f t="array" aca="1" ref="J228" ca="1">_xlfn.IFS($B228="etf", _xll.YCP($A228,"ytd_total_return",'Database Query'!$E$14),$B228&lt;&gt;"etf",_xll.YCP("M:"&amp; $A228,"ytd_total_return",'Database Query'!$E$14))</f>
        <v>0.22431200000000001</v>
      </c>
      <c r="K228" s="2" cm="1">
        <f t="array" aca="1" ref="K228" ca="1">-_xll.YCP($E228,"ytd_return",'Database Query'!$E$14)+J228</f>
        <v>-2.5884999999999991E-2</v>
      </c>
      <c r="L228" s="2" cm="1">
        <f t="array" aca="1" ref="L228" ca="1">_xlfn.IFS($B228="etf", _xll.YCP($A228,"one_year_total_return",'Database Query'!$E$14),$B228&lt;&gt;"etf",_xll.YCP("M:"&amp; $A228,"one_year_total_return",'Database Query'!$E$14))</f>
        <v>0.22431200000000001</v>
      </c>
      <c r="M228" s="2" cm="1">
        <f t="array" aca="1" ref="M228" ca="1">-_xll.YCP($E228,"one_year_return",'Database Query'!$E$14)+L228</f>
        <v>-2.5884999999999991E-2</v>
      </c>
      <c r="N228" s="2" cm="1">
        <f t="array" aca="1" ref="N228" ca="1">_xlfn.IFS($B228="etf", _xll.YCP($A228,"three_year_total_return",'Database Query'!$E$14),$B228&lt;&gt;"etf",_xll.YCP("M:"&amp; $A228,"three_year_total_return",'Database Query'!$E$14))</f>
        <v>0.192579</v>
      </c>
      <c r="O228" s="2" cm="1">
        <f t="array" aca="1" ref="O228" ca="1">-_xll.YCP($E228,"three_year_return",'Database Query'!$E$14)+N228</f>
        <v>-0.100323</v>
      </c>
      <c r="P228" s="2" cm="1">
        <f t="array" aca="1" ref="P228" ca="1">_xlfn.IFS($B228="etf", _xll.YCP($A228,"five_year_total_return",'Database Query'!$E$14),$B228&lt;&gt;"etf",_xll.YCP("M:"&amp; $A228,"five_year_total_return",'Database Query'!$E$14))</f>
        <v>0.939473</v>
      </c>
      <c r="Q228" s="2" cm="1">
        <f t="array" aca="1" ref="Q228" ca="1">-_xll.YCP($E228,"five_year_return",'Database Query'!$E$14)+P228</f>
        <v>-3.0723999999999974E-2</v>
      </c>
    </row>
    <row r="229" spans="1:17" x14ac:dyDescent="0.25">
      <c r="A229" t="str">
        <v>SUSB</v>
      </c>
      <c r="B229" t="str" cm="1">
        <f t="array" aca="1" ref="B229" ca="1">_xll.YCI(A229,"detailed_security_type",TODAY())</f>
        <v>etf</v>
      </c>
      <c r="C229" t="str" cm="1">
        <f t="array" aca="1" ref="C229" ca="1">_xlfn.IFS(B229="etf", _xll.YCI(A229, "security_name",TODAY()),B229&lt;&gt;"etf",_xll.YCI("M:" &amp; A229, "security_name",TODAY()))</f>
        <v>iShares ESG Aware 1-5 Year USD Corporate Bond ETF</v>
      </c>
      <c r="D229" t="str" cm="1">
        <f t="array" aca="1" ref="D229" ca="1">_xlfn.IFS($B229="etf", _xll.YCI($A229, "ycharts_benchmark_category",TODAY()),$B229&lt;&gt;"etf",_xll.YCI("M:" &amp; $A229, "ycharts_benchmark_category",TODAY()))</f>
        <v>US Aggregate Bond</v>
      </c>
      <c r="E229" t="str" cm="1">
        <f t="array" aca="1" ref="E229" ca="1">_xlfn.IFS($B229="etf", _xll.YCI($A229, "ycharts_benchmark_index_symbol",TODAY()),$B229&lt;&gt;"etf",_xll.YCI("M:" &amp; $A229, "ycharts_benchmark_index_symbol",TODAY()))</f>
        <v>^BBUSATR</v>
      </c>
      <c r="F229" t="str" cm="1">
        <f t="array" aca="1" ref="F229" ca="1">_xlfn.IFS($B229="etf", _xll.YCI($E229, "security_name",TODAY()),$B229&lt;&gt;"etf",_xll.YCI( $E229, "security_name",TODAY()))</f>
        <v>Bloomberg US Aggregate</v>
      </c>
      <c r="G229" t="str" cm="1">
        <f t="array" aca="1" ref="G229" ca="1">_xlfn.IFS($B229="etf", _xll.YCI($A229, "prospectus_benchmark_index",TODAY()),$B229&lt;&gt;"etf",_xll.YCI("M:" &amp; $A229, "prospectus_benchmark_index",TODAY()))</f>
        <v>Bloomberg MSCI US Corp 1-5 Yr ESG TR USD</v>
      </c>
      <c r="H229" s="2" cm="1">
        <f t="array" aca="1" ref="H229" ca="1">_xlfn.IFS($B229="etf", _xll.YCP($A229,"quarterly_total_return",'Database Query'!$E$14),$B229&lt;&gt;"etf",_xll.YCP("M:"&amp; $A229,"quarterly_total_return",'Database Query'!$E$14))</f>
        <v>-4.731E-3</v>
      </c>
      <c r="I229" s="2" cm="1">
        <f t="array" aca="1" ref="I229" ca="1">-_xll.YCP($E229,"quarterly_return",'Database Query'!$E$14)+H229</f>
        <v>2.5885999999999999E-2</v>
      </c>
      <c r="J229" s="2" cm="1">
        <f t="array" aca="1" ref="J229" ca="1">_xlfn.IFS($B229="etf", _xll.YCP($A229,"ytd_total_return",'Database Query'!$E$14),$B229&lt;&gt;"etf",_xll.YCP("M:"&amp; $A229,"ytd_total_return",'Database Query'!$E$14))</f>
        <v>4.8265000000000002E-2</v>
      </c>
      <c r="K229" s="2" cm="1">
        <f t="array" aca="1" ref="K229" ca="1">-_xll.YCP($E229,"ytd_return",'Database Query'!$E$14)+J229</f>
        <v>3.5763000000000003E-2</v>
      </c>
      <c r="L229" s="2" cm="1">
        <f t="array" aca="1" ref="L229" ca="1">_xlfn.IFS($B229="etf", _xll.YCP($A229,"one_year_total_return",'Database Query'!$E$14),$B229&lt;&gt;"etf",_xll.YCP("M:"&amp; $A229,"one_year_total_return",'Database Query'!$E$14))</f>
        <v>4.8265000000000002E-2</v>
      </c>
      <c r="M229" s="2" cm="1">
        <f t="array" aca="1" ref="M229" ca="1">-_xll.YCP($E229,"one_year_return",'Database Query'!$E$14)+L229</f>
        <v>3.5763000000000003E-2</v>
      </c>
      <c r="N229" s="2" cm="1">
        <f t="array" aca="1" ref="N229" ca="1">_xlfn.IFS($B229="etf", _xll.YCP($A229,"three_year_total_return",'Database Query'!$E$14),$B229&lt;&gt;"etf",_xll.YCP("M:"&amp; $A229,"three_year_total_return",'Database Query'!$E$14))</f>
        <v>4.7307000000000002E-2</v>
      </c>
      <c r="O229" s="2" cm="1">
        <f t="array" aca="1" ref="O229" ca="1">-_xll.YCP($E229,"three_year_return",'Database Query'!$E$14)+N229</f>
        <v>0.117836</v>
      </c>
      <c r="P229" s="2" cm="1">
        <f t="array" aca="1" ref="P229" ca="1">_xlfn.IFS($B229="etf", _xll.YCP($A229,"five_year_total_return",'Database Query'!$E$14),$B229&lt;&gt;"etf",_xll.YCP("M:"&amp; $A229,"five_year_total_return",'Database Query'!$E$14))</f>
        <v>9.0952000000000005E-2</v>
      </c>
      <c r="Q229" s="2" cm="1">
        <f t="array" aca="1" ref="Q229" ca="1">-_xll.YCP($E229,"five_year_return",'Database Query'!$E$14)+P229</f>
        <v>0.107118</v>
      </c>
    </row>
    <row r="230" spans="1:17" x14ac:dyDescent="0.25">
      <c r="A230" t="str">
        <v>SUSC</v>
      </c>
      <c r="B230" t="str" cm="1">
        <f t="array" aca="1" ref="B230" ca="1">_xll.YCI(A230,"detailed_security_type",TODAY())</f>
        <v>etf</v>
      </c>
      <c r="C230" t="str" cm="1">
        <f t="array" aca="1" ref="C230" ca="1">_xlfn.IFS(B230="etf", _xll.YCI(A230, "security_name",TODAY()),B230&lt;&gt;"etf",_xll.YCI("M:" &amp; A230, "security_name",TODAY()))</f>
        <v>iShares ESG Aware USD Corporate Bond ETF</v>
      </c>
      <c r="D230" t="str" cm="1">
        <f t="array" aca="1" ref="D230" ca="1">_xlfn.IFS($B230="etf", _xll.YCI($A230, "ycharts_benchmark_category",TODAY()),$B230&lt;&gt;"etf",_xll.YCI("M:" &amp; $A230, "ycharts_benchmark_category",TODAY()))</f>
        <v>US Aggregate Bond</v>
      </c>
      <c r="E230" t="str" cm="1">
        <f t="array" aca="1" ref="E230" ca="1">_xlfn.IFS($B230="etf", _xll.YCI($A230, "ycharts_benchmark_index_symbol",TODAY()),$B230&lt;&gt;"etf",_xll.YCI("M:" &amp; $A230, "ycharts_benchmark_index_symbol",TODAY()))</f>
        <v>^BBUSATR</v>
      </c>
      <c r="F230" t="str" cm="1">
        <f t="array" aca="1" ref="F230" ca="1">_xlfn.IFS($B230="etf", _xll.YCI($E230, "security_name",TODAY()),$B230&lt;&gt;"etf",_xll.YCI( $E230, "security_name",TODAY()))</f>
        <v>Bloomberg US Aggregate</v>
      </c>
      <c r="G230" t="str" cm="1">
        <f t="array" aca="1" ref="G230" ca="1">_xlfn.IFS($B230="etf", _xll.YCI($A230, "prospectus_benchmark_index",TODAY()),$B230&lt;&gt;"etf",_xll.YCI("M:" &amp; $A230, "prospectus_benchmark_index",TODAY()))</f>
        <v>Bloomberg MSCI US Corp ESG Focus TR USD</v>
      </c>
      <c r="H230" s="2" cm="1">
        <f t="array" aca="1" ref="H230" ca="1">_xlfn.IFS($B230="etf", _xll.YCP($A230,"quarterly_total_return",'Database Query'!$E$14),$B230&lt;&gt;"etf",_xll.YCP("M:"&amp; $A230,"quarterly_total_return",'Database Query'!$E$14))</f>
        <v>-3.1005000000000001E-2</v>
      </c>
      <c r="I230" s="2" cm="1">
        <f t="array" aca="1" ref="I230" ca="1">-_xll.YCP($E230,"quarterly_return",'Database Query'!$E$14)+H230</f>
        <v>-3.8800000000000293E-4</v>
      </c>
      <c r="J230" s="2" cm="1">
        <f t="array" aca="1" ref="J230" ca="1">_xlfn.IFS($B230="etf", _xll.YCP($A230,"ytd_total_return",'Database Query'!$E$14),$B230&lt;&gt;"etf",_xll.YCP("M:"&amp; $A230,"ytd_total_return",'Database Query'!$E$14))</f>
        <v>1.9112000000000001E-2</v>
      </c>
      <c r="K230" s="2" cm="1">
        <f t="array" aca="1" ref="K230" ca="1">-_xll.YCP($E230,"ytd_return",'Database Query'!$E$14)+J230</f>
        <v>6.6100000000000013E-3</v>
      </c>
      <c r="L230" s="2" cm="1">
        <f t="array" aca="1" ref="L230" ca="1">_xlfn.IFS($B230="etf", _xll.YCP($A230,"one_year_total_return",'Database Query'!$E$14),$B230&lt;&gt;"etf",_xll.YCP("M:"&amp; $A230,"one_year_total_return",'Database Query'!$E$14))</f>
        <v>1.9112000000000001E-2</v>
      </c>
      <c r="M230" s="2" cm="1">
        <f t="array" aca="1" ref="M230" ca="1">-_xll.YCP($E230,"one_year_return",'Database Query'!$E$14)+L230</f>
        <v>6.6100000000000013E-3</v>
      </c>
      <c r="N230" s="2" cm="1">
        <f t="array" aca="1" ref="N230" ca="1">_xlfn.IFS($B230="etf", _xll.YCP($A230,"three_year_total_return",'Database Query'!$E$14),$B230&lt;&gt;"etf",_xll.YCP("M:"&amp; $A230,"three_year_total_return",'Database Query'!$E$14))</f>
        <v>-7.0092000000000002E-2</v>
      </c>
      <c r="O230" s="2" cm="1">
        <f t="array" aca="1" ref="O230" ca="1">-_xll.YCP($E230,"three_year_return",'Database Query'!$E$14)+N230</f>
        <v>4.3699999999999295E-4</v>
      </c>
      <c r="P230" s="2" cm="1">
        <f t="array" aca="1" ref="P230" ca="1">_xlfn.IFS($B230="etf", _xll.YCP($A230,"five_year_total_return",'Database Query'!$E$14),$B230&lt;&gt;"etf",_xll.YCP("M:"&amp; $A230,"five_year_total_return",'Database Query'!$E$14))</f>
        <v>2.9020000000000001E-3</v>
      </c>
      <c r="Q230" s="2" cm="1">
        <f t="array" aca="1" ref="Q230" ca="1">-_xll.YCP($E230,"five_year_return",'Database Query'!$E$14)+P230</f>
        <v>1.9068000000000002E-2</v>
      </c>
    </row>
    <row r="231" spans="1:17" x14ac:dyDescent="0.25">
      <c r="A231" t="str">
        <v>SWGXX</v>
      </c>
      <c r="B231" t="e" cm="1">
        <f t="array" aca="1" ref="B231" ca="1">_xll.YCI(A231,"detailed_security_type",TODAY())</f>
        <v>#VALUE!</v>
      </c>
      <c r="C231" t="e" cm="1">
        <f t="array" aca="1" ref="C231" ca="1">_xlfn.IFS(B231="etf", _xll.YCI(A231, "security_name",TODAY()),B231&lt;&gt;"etf",_xll.YCI("M:" &amp; A231, "security_name",TODAY()))</f>
        <v>#VALUE!</v>
      </c>
      <c r="D231" t="e" cm="1">
        <f t="array" aca="1" ref="D231" ca="1">_xlfn.IFS($B231="etf", _xll.YCI($A231, "ycharts_benchmark_category",TODAY()),$B231&lt;&gt;"etf",_xll.YCI("M:" &amp; $A231, "ycharts_benchmark_category",TODAY()))</f>
        <v>#VALUE!</v>
      </c>
      <c r="E231" t="e" cm="1">
        <f t="array" aca="1" ref="E231" ca="1">_xlfn.IFS($B231="etf", _xll.YCI($A231, "ycharts_benchmark_index_symbol",TODAY()),$B231&lt;&gt;"etf",_xll.YCI("M:" &amp; $A231, "ycharts_benchmark_index_symbol",TODAY()))</f>
        <v>#VALUE!</v>
      </c>
      <c r="F231" t="e" cm="1">
        <f t="array" aca="1" ref="F231" ca="1">_xlfn.IFS($B231="etf", _xll.YCI($E231, "security_name",TODAY()),$B231&lt;&gt;"etf",_xll.YCI( $E231, "security_name",TODAY()))</f>
        <v>#VALUE!</v>
      </c>
      <c r="G231" t="e" cm="1">
        <f t="array" aca="1" ref="G231" ca="1">_xlfn.IFS($B231="etf", _xll.YCI($A231, "prospectus_benchmark_index",TODAY()),$B231&lt;&gt;"etf",_xll.YCI("M:" &amp; $A231, "prospectus_benchmark_index",TODAY()))</f>
        <v>#VALUE!</v>
      </c>
      <c r="H231" s="2" t="e" cm="1">
        <f t="array" aca="1" ref="H231" ca="1">_xlfn.IFS($B231="etf", _xll.YCP($A231,"quarterly_total_return",'Database Query'!$E$14),$B231&lt;&gt;"etf",_xll.YCP("M:"&amp; $A231,"quarterly_total_return",'Database Query'!$E$14))</f>
        <v>#VALUE!</v>
      </c>
      <c r="I231" s="2" t="e" cm="1">
        <f t="array" aca="1" ref="I231" ca="1">-_xll.YCP($E231,"quarterly_return",'Database Query'!$E$14)+H231</f>
        <v>#VALUE!</v>
      </c>
      <c r="J231" s="2" t="e" cm="1">
        <f t="array" aca="1" ref="J231" ca="1">_xlfn.IFS($B231="etf", _xll.YCP($A231,"ytd_total_return",'Database Query'!$E$14),$B231&lt;&gt;"etf",_xll.YCP("M:"&amp; $A231,"ytd_total_return",'Database Query'!$E$14))</f>
        <v>#VALUE!</v>
      </c>
      <c r="K231" s="2" t="e" cm="1">
        <f t="array" aca="1" ref="K231" ca="1">-_xll.YCP($E231,"ytd_return",'Database Query'!$E$14)+J231</f>
        <v>#VALUE!</v>
      </c>
      <c r="L231" s="2" t="e" cm="1">
        <f t="array" aca="1" ref="L231" ca="1">_xlfn.IFS($B231="etf", _xll.YCP($A231,"one_year_total_return",'Database Query'!$E$14),$B231&lt;&gt;"etf",_xll.YCP("M:"&amp; $A231,"one_year_total_return",'Database Query'!$E$14))</f>
        <v>#VALUE!</v>
      </c>
      <c r="M231" s="2" t="e" cm="1">
        <f t="array" aca="1" ref="M231" ca="1">-_xll.YCP($E231,"one_year_return",'Database Query'!$E$14)+L231</f>
        <v>#VALUE!</v>
      </c>
      <c r="N231" s="2" t="e" cm="1">
        <f t="array" aca="1" ref="N231" ca="1">_xlfn.IFS($B231="etf", _xll.YCP($A231,"three_year_total_return",'Database Query'!$E$14),$B231&lt;&gt;"etf",_xll.YCP("M:"&amp; $A231,"three_year_total_return",'Database Query'!$E$14))</f>
        <v>#VALUE!</v>
      </c>
      <c r="O231" s="2" t="e" cm="1">
        <f t="array" aca="1" ref="O231" ca="1">-_xll.YCP($E231,"three_year_return",'Database Query'!$E$14)+N231</f>
        <v>#VALUE!</v>
      </c>
      <c r="P231" s="2" t="e" cm="1">
        <f t="array" aca="1" ref="P231" ca="1">_xlfn.IFS($B231="etf", _xll.YCP($A231,"five_year_total_return",'Database Query'!$E$14),$B231&lt;&gt;"etf",_xll.YCP("M:"&amp; $A231,"five_year_total_return",'Database Query'!$E$14))</f>
        <v>#VALUE!</v>
      </c>
      <c r="Q231" s="2" t="e" cm="1">
        <f t="array" aca="1" ref="Q231" ca="1">-_xll.YCP($E231,"five_year_return",'Database Query'!$E$14)+P231</f>
        <v>#VALUE!</v>
      </c>
    </row>
    <row r="232" spans="1:17" x14ac:dyDescent="0.25">
      <c r="A232" t="str">
        <v>TBCIX</v>
      </c>
      <c r="B232" t="e" cm="1">
        <f t="array" aca="1" ref="B232" ca="1">_xll.YCI(A232,"detailed_security_type",TODAY())</f>
        <v>#VALUE!</v>
      </c>
      <c r="C232" t="e" cm="1">
        <f t="array" aca="1" ref="C232" ca="1">_xlfn.IFS(B232="etf", _xll.YCI(A232, "security_name",TODAY()),B232&lt;&gt;"etf",_xll.YCI("M:" &amp; A232, "security_name",TODAY()))</f>
        <v>#VALUE!</v>
      </c>
      <c r="D232" t="e" cm="1">
        <f t="array" aca="1" ref="D232" ca="1">_xlfn.IFS($B232="etf", _xll.YCI($A232, "ycharts_benchmark_category",TODAY()),$B232&lt;&gt;"etf",_xll.YCI("M:" &amp; $A232, "ycharts_benchmark_category",TODAY()))</f>
        <v>#VALUE!</v>
      </c>
      <c r="E232" t="e" cm="1">
        <f t="array" aca="1" ref="E232" ca="1">_xlfn.IFS($B232="etf", _xll.YCI($A232, "ycharts_benchmark_index_symbol",TODAY()),$B232&lt;&gt;"etf",_xll.YCI("M:" &amp; $A232, "ycharts_benchmark_index_symbol",TODAY()))</f>
        <v>#VALUE!</v>
      </c>
      <c r="F232" t="e" cm="1">
        <f t="array" aca="1" ref="F232" ca="1">_xlfn.IFS($B232="etf", _xll.YCI($E232, "security_name",TODAY()),$B232&lt;&gt;"etf",_xll.YCI( $E232, "security_name",TODAY()))</f>
        <v>#VALUE!</v>
      </c>
      <c r="G232" t="e" cm="1">
        <f t="array" aca="1" ref="G232" ca="1">_xlfn.IFS($B232="etf", _xll.YCI($A232, "prospectus_benchmark_index",TODAY()),$B232&lt;&gt;"etf",_xll.YCI("M:" &amp; $A232, "prospectus_benchmark_index",TODAY()))</f>
        <v>#VALUE!</v>
      </c>
      <c r="H232" s="2" t="e" cm="1">
        <f t="array" aca="1" ref="H232" ca="1">_xlfn.IFS($B232="etf", _xll.YCP($A232,"quarterly_total_return",'Database Query'!$E$14),$B232&lt;&gt;"etf",_xll.YCP("M:"&amp; $A232,"quarterly_total_return",'Database Query'!$E$14))</f>
        <v>#VALUE!</v>
      </c>
      <c r="I232" s="2" t="e" cm="1">
        <f t="array" aca="1" ref="I232" ca="1">-_xll.YCP($E232,"quarterly_return",'Database Query'!$E$14)+H232</f>
        <v>#VALUE!</v>
      </c>
      <c r="J232" s="2" t="e" cm="1">
        <f t="array" aca="1" ref="J232" ca="1">_xlfn.IFS($B232="etf", _xll.YCP($A232,"ytd_total_return",'Database Query'!$E$14),$B232&lt;&gt;"etf",_xll.YCP("M:"&amp; $A232,"ytd_total_return",'Database Query'!$E$14))</f>
        <v>#VALUE!</v>
      </c>
      <c r="K232" s="2" t="e" cm="1">
        <f t="array" aca="1" ref="K232" ca="1">-_xll.YCP($E232,"ytd_return",'Database Query'!$E$14)+J232</f>
        <v>#VALUE!</v>
      </c>
      <c r="L232" s="2" t="e" cm="1">
        <f t="array" aca="1" ref="L232" ca="1">_xlfn.IFS($B232="etf", _xll.YCP($A232,"one_year_total_return",'Database Query'!$E$14),$B232&lt;&gt;"etf",_xll.YCP("M:"&amp; $A232,"one_year_total_return",'Database Query'!$E$14))</f>
        <v>#VALUE!</v>
      </c>
      <c r="M232" s="2" t="e" cm="1">
        <f t="array" aca="1" ref="M232" ca="1">-_xll.YCP($E232,"one_year_return",'Database Query'!$E$14)+L232</f>
        <v>#VALUE!</v>
      </c>
      <c r="N232" s="2" t="e" cm="1">
        <f t="array" aca="1" ref="N232" ca="1">_xlfn.IFS($B232="etf", _xll.YCP($A232,"three_year_total_return",'Database Query'!$E$14),$B232&lt;&gt;"etf",_xll.YCP("M:"&amp; $A232,"three_year_total_return",'Database Query'!$E$14))</f>
        <v>#VALUE!</v>
      </c>
      <c r="O232" s="2" t="e" cm="1">
        <f t="array" aca="1" ref="O232" ca="1">-_xll.YCP($E232,"three_year_return",'Database Query'!$E$14)+N232</f>
        <v>#VALUE!</v>
      </c>
      <c r="P232" s="2" t="e" cm="1">
        <f t="array" aca="1" ref="P232" ca="1">_xlfn.IFS($B232="etf", _xll.YCP($A232,"five_year_total_return",'Database Query'!$E$14),$B232&lt;&gt;"etf",_xll.YCP("M:"&amp; $A232,"five_year_total_return",'Database Query'!$E$14))</f>
        <v>#VALUE!</v>
      </c>
      <c r="Q232" s="2" t="e" cm="1">
        <f t="array" aca="1" ref="Q232" ca="1">-_xll.YCP($E232,"five_year_return",'Database Query'!$E$14)+P232</f>
        <v>#VALUE!</v>
      </c>
    </row>
    <row r="233" spans="1:17" x14ac:dyDescent="0.25">
      <c r="A233" t="str">
        <v>TFHVX</v>
      </c>
      <c r="B233" t="e" cm="1">
        <f t="array" aca="1" ref="B233" ca="1">_xll.YCI(A233,"detailed_security_type",TODAY())</f>
        <v>#VALUE!</v>
      </c>
      <c r="C233" t="e" cm="1">
        <f t="array" aca="1" ref="C233" ca="1">_xlfn.IFS(B233="etf", _xll.YCI(A233, "security_name",TODAY()),B233&lt;&gt;"etf",_xll.YCI("M:" &amp; A233, "security_name",TODAY()))</f>
        <v>#VALUE!</v>
      </c>
      <c r="D233" t="e" cm="1">
        <f t="array" aca="1" ref="D233" ca="1">_xlfn.IFS($B233="etf", _xll.YCI($A233, "ycharts_benchmark_category",TODAY()),$B233&lt;&gt;"etf",_xll.YCI("M:" &amp; $A233, "ycharts_benchmark_category",TODAY()))</f>
        <v>#VALUE!</v>
      </c>
      <c r="E233" t="e" cm="1">
        <f t="array" aca="1" ref="E233" ca="1">_xlfn.IFS($B233="etf", _xll.YCI($A233, "ycharts_benchmark_index_symbol",TODAY()),$B233&lt;&gt;"etf",_xll.YCI("M:" &amp; $A233, "ycharts_benchmark_index_symbol",TODAY()))</f>
        <v>#VALUE!</v>
      </c>
      <c r="F233" t="e" cm="1">
        <f t="array" aca="1" ref="F233" ca="1">_xlfn.IFS($B233="etf", _xll.YCI($E233, "security_name",TODAY()),$B233&lt;&gt;"etf",_xll.YCI( $E233, "security_name",TODAY()))</f>
        <v>#VALUE!</v>
      </c>
      <c r="G233" t="e" cm="1">
        <f t="array" aca="1" ref="G233" ca="1">_xlfn.IFS($B233="etf", _xll.YCI($A233, "prospectus_benchmark_index",TODAY()),$B233&lt;&gt;"etf",_xll.YCI("M:" &amp; $A233, "prospectus_benchmark_index",TODAY()))</f>
        <v>#VALUE!</v>
      </c>
      <c r="H233" s="2" t="e" cm="1">
        <f t="array" aca="1" ref="H233" ca="1">_xlfn.IFS($B233="etf", _xll.YCP($A233,"quarterly_total_return",'Database Query'!$E$14),$B233&lt;&gt;"etf",_xll.YCP("M:"&amp; $A233,"quarterly_total_return",'Database Query'!$E$14))</f>
        <v>#VALUE!</v>
      </c>
      <c r="I233" s="2" t="e" cm="1">
        <f t="array" aca="1" ref="I233" ca="1">-_xll.YCP($E233,"quarterly_return",'Database Query'!$E$14)+H233</f>
        <v>#VALUE!</v>
      </c>
      <c r="J233" s="2" t="e" cm="1">
        <f t="array" aca="1" ref="J233" ca="1">_xlfn.IFS($B233="etf", _xll.YCP($A233,"ytd_total_return",'Database Query'!$E$14),$B233&lt;&gt;"etf",_xll.YCP("M:"&amp; $A233,"ytd_total_return",'Database Query'!$E$14))</f>
        <v>#VALUE!</v>
      </c>
      <c r="K233" s="2" t="e" cm="1">
        <f t="array" aca="1" ref="K233" ca="1">-_xll.YCP($E233,"ytd_return",'Database Query'!$E$14)+J233</f>
        <v>#VALUE!</v>
      </c>
      <c r="L233" s="2" t="e" cm="1">
        <f t="array" aca="1" ref="L233" ca="1">_xlfn.IFS($B233="etf", _xll.YCP($A233,"one_year_total_return",'Database Query'!$E$14),$B233&lt;&gt;"etf",_xll.YCP("M:"&amp; $A233,"one_year_total_return",'Database Query'!$E$14))</f>
        <v>#VALUE!</v>
      </c>
      <c r="M233" s="2" t="e" cm="1">
        <f t="array" aca="1" ref="M233" ca="1">-_xll.YCP($E233,"one_year_return",'Database Query'!$E$14)+L233</f>
        <v>#VALUE!</v>
      </c>
      <c r="N233" s="2" t="e" cm="1">
        <f t="array" aca="1" ref="N233" ca="1">_xlfn.IFS($B233="etf", _xll.YCP($A233,"three_year_total_return",'Database Query'!$E$14),$B233&lt;&gt;"etf",_xll.YCP("M:"&amp; $A233,"three_year_total_return",'Database Query'!$E$14))</f>
        <v>#VALUE!</v>
      </c>
      <c r="O233" s="2" t="e" cm="1">
        <f t="array" aca="1" ref="O233" ca="1">-_xll.YCP($E233,"three_year_return",'Database Query'!$E$14)+N233</f>
        <v>#VALUE!</v>
      </c>
      <c r="P233" s="2" t="e" cm="1">
        <f t="array" aca="1" ref="P233" ca="1">_xlfn.IFS($B233="etf", _xll.YCP($A233,"five_year_total_return",'Database Query'!$E$14),$B233&lt;&gt;"etf",_xll.YCP("M:"&amp; $A233,"five_year_total_return",'Database Query'!$E$14))</f>
        <v>#VALUE!</v>
      </c>
      <c r="Q233" s="2" t="e" cm="1">
        <f t="array" aca="1" ref="Q233" ca="1">-_xll.YCP($E233,"five_year_return",'Database Query'!$E$14)+P233</f>
        <v>#VALUE!</v>
      </c>
    </row>
    <row r="234" spans="1:17" x14ac:dyDescent="0.25">
      <c r="A234" t="str">
        <v>TFI</v>
      </c>
      <c r="B234" t="str" cm="1">
        <f t="array" aca="1" ref="B234" ca="1">_xll.YCI(A234,"detailed_security_type",TODAY())</f>
        <v>etf</v>
      </c>
      <c r="C234" t="str" cm="1">
        <f t="array" aca="1" ref="C234" ca="1">_xlfn.IFS(B234="etf", _xll.YCI(A234, "security_name",TODAY()),B234&lt;&gt;"etf",_xll.YCI("M:" &amp; A234, "security_name",TODAY()))</f>
        <v>SPDR Nuveen Bloomberg Municipal Bond ETF</v>
      </c>
      <c r="D234" t="str" cm="1">
        <f t="array" aca="1" ref="D234" ca="1">_xlfn.IFS($B234="etf", _xll.YCI($A234, "ycharts_benchmark_category",TODAY()),$B234&lt;&gt;"etf",_xll.YCI("M:" &amp; $A234, "ycharts_benchmark_category",TODAY()))</f>
        <v>US Aggregate Municipal Bond</v>
      </c>
      <c r="E234" t="str" cm="1">
        <f t="array" aca="1" ref="E234" ca="1">_xlfn.IFS($B234="etf", _xll.YCI($A234, "ycharts_benchmark_index_symbol",TODAY()),$B234&lt;&gt;"etf",_xll.YCI("M:" &amp; $A234, "ycharts_benchmark_index_symbol",TODAY()))</f>
        <v>^BBMBTR</v>
      </c>
      <c r="F234" t="str" cm="1">
        <f t="array" aca="1" ref="F234" ca="1">_xlfn.IFS($B234="etf", _xll.YCI($E234, "security_name",TODAY()),$B234&lt;&gt;"etf",_xll.YCI( $E234, "security_name",TODAY()))</f>
        <v>Bloomberg Municipal Bond</v>
      </c>
      <c r="G234" t="str" cm="1">
        <f t="array" aca="1" ref="G234" ca="1">_xlfn.IFS($B234="etf", _xll.YCI($A234, "prospectus_benchmark_index",TODAY()),$B234&lt;&gt;"etf",_xll.YCI("M:" &amp; $A234, "prospectus_benchmark_index",TODAY()))</f>
        <v>Bloomberg US Muni Mng Mny 1-25Y TR USD</v>
      </c>
      <c r="H234" s="2" cm="1">
        <f t="array" aca="1" ref="H234" ca="1">_xlfn.IFS($B234="etf", _xll.YCP($A234,"quarterly_total_return",'Database Query'!$E$14),$B234&lt;&gt;"etf",_xll.YCP("M:"&amp; $A234,"quarterly_total_return",'Database Query'!$E$14))</f>
        <v>-1.5866000000000002E-2</v>
      </c>
      <c r="I234" s="2" cm="1">
        <f t="array" aca="1" ref="I234" ca="1">-_xll.YCP($E234,"quarterly_return",'Database Query'!$E$14)+H234</f>
        <v>-3.713000000000001E-3</v>
      </c>
      <c r="J234" s="2" cm="1">
        <f t="array" aca="1" ref="J234" ca="1">_xlfn.IFS($B234="etf", _xll.YCP($A234,"ytd_total_return",'Database Query'!$E$14),$B234&lt;&gt;"etf",_xll.YCP("M:"&amp; $A234,"ytd_total_return",'Database Query'!$E$14))</f>
        <v>-8.7000000000000001E-5</v>
      </c>
      <c r="K234" s="2" cm="1">
        <f t="array" aca="1" ref="K234" ca="1">-_xll.YCP($E234,"ytd_return",'Database Query'!$E$14)+J234</f>
        <v>-1.0621999999999999E-2</v>
      </c>
      <c r="L234" s="2" cm="1">
        <f t="array" aca="1" ref="L234" ca="1">_xlfn.IFS($B234="etf", _xll.YCP($A234,"one_year_total_return",'Database Query'!$E$14),$B234&lt;&gt;"etf",_xll.YCP("M:"&amp; $A234,"one_year_total_return",'Database Query'!$E$14))</f>
        <v>-8.7000000000000001E-5</v>
      </c>
      <c r="M234" s="2" cm="1">
        <f t="array" aca="1" ref="M234" ca="1">-_xll.YCP($E234,"one_year_return",'Database Query'!$E$14)+L234</f>
        <v>-1.0621999999999999E-2</v>
      </c>
      <c r="N234" s="2" cm="1">
        <f t="array" aca="1" ref="N234" ca="1">_xlfn.IFS($B234="etf", _xll.YCP($A234,"three_year_total_return",'Database Query'!$E$14),$B234&lt;&gt;"etf",_xll.YCP("M:"&amp; $A234,"three_year_total_return",'Database Query'!$E$14))</f>
        <v>-5.1388999999999997E-2</v>
      </c>
      <c r="O234" s="2" cm="1">
        <f t="array" aca="1" ref="O234" ca="1">-_xll.YCP($E234,"three_year_return",'Database Query'!$E$14)+N234</f>
        <v>-3.4941E-2</v>
      </c>
      <c r="P234" s="2" cm="1">
        <f t="array" aca="1" ref="P234" ca="1">_xlfn.IFS($B234="etf", _xll.YCP($A234,"five_year_total_return",'Database Query'!$E$14),$B234&lt;&gt;"etf",_xll.YCP("M:"&amp; $A234,"five_year_total_return",'Database Query'!$E$14))</f>
        <v>7.6499999999999997E-3</v>
      </c>
      <c r="Q234" s="2" cm="1">
        <f t="array" aca="1" ref="Q234" ca="1">-_xll.YCP($E234,"five_year_return",'Database Query'!$E$14)+P234</f>
        <v>-4.2869000000000004E-2</v>
      </c>
    </row>
    <row r="235" spans="1:17" x14ac:dyDescent="0.25">
      <c r="A235" t="str">
        <v>TGEIX</v>
      </c>
      <c r="B235" t="e" cm="1">
        <f t="array" aca="1" ref="B235" ca="1">_xll.YCI(A235,"detailed_security_type",TODAY())</f>
        <v>#VALUE!</v>
      </c>
      <c r="C235" t="e" cm="1">
        <f t="array" aca="1" ref="C235" ca="1">_xlfn.IFS(B235="etf", _xll.YCI(A235, "security_name",TODAY()),B235&lt;&gt;"etf",_xll.YCI("M:" &amp; A235, "security_name",TODAY()))</f>
        <v>#VALUE!</v>
      </c>
      <c r="D235" t="e" cm="1">
        <f t="array" aca="1" ref="D235" ca="1">_xlfn.IFS($B235="etf", _xll.YCI($A235, "ycharts_benchmark_category",TODAY()),$B235&lt;&gt;"etf",_xll.YCI("M:" &amp; $A235, "ycharts_benchmark_category",TODAY()))</f>
        <v>#VALUE!</v>
      </c>
      <c r="E235" t="e" cm="1">
        <f t="array" aca="1" ref="E235" ca="1">_xlfn.IFS($B235="etf", _xll.YCI($A235, "ycharts_benchmark_index_symbol",TODAY()),$B235&lt;&gt;"etf",_xll.YCI("M:" &amp; $A235, "ycharts_benchmark_index_symbol",TODAY()))</f>
        <v>#VALUE!</v>
      </c>
      <c r="F235" t="e" cm="1">
        <f t="array" aca="1" ref="F235" ca="1">_xlfn.IFS($B235="etf", _xll.YCI($E235, "security_name",TODAY()),$B235&lt;&gt;"etf",_xll.YCI( $E235, "security_name",TODAY()))</f>
        <v>#VALUE!</v>
      </c>
      <c r="G235" t="e" cm="1">
        <f t="array" aca="1" ref="G235" ca="1">_xlfn.IFS($B235="etf", _xll.YCI($A235, "prospectus_benchmark_index",TODAY()),$B235&lt;&gt;"etf",_xll.YCI("M:" &amp; $A235, "prospectus_benchmark_index",TODAY()))</f>
        <v>#VALUE!</v>
      </c>
      <c r="H235" s="2" t="e" cm="1">
        <f t="array" aca="1" ref="H235" ca="1">_xlfn.IFS($B235="etf", _xll.YCP($A235,"quarterly_total_return",'Database Query'!$E$14),$B235&lt;&gt;"etf",_xll.YCP("M:"&amp; $A235,"quarterly_total_return",'Database Query'!$E$14))</f>
        <v>#VALUE!</v>
      </c>
      <c r="I235" s="2" t="e" cm="1">
        <f t="array" aca="1" ref="I235" ca="1">-_xll.YCP($E235,"quarterly_return",'Database Query'!$E$14)+H235</f>
        <v>#VALUE!</v>
      </c>
      <c r="J235" s="2" t="e" cm="1">
        <f t="array" aca="1" ref="J235" ca="1">_xlfn.IFS($B235="etf", _xll.YCP($A235,"ytd_total_return",'Database Query'!$E$14),$B235&lt;&gt;"etf",_xll.YCP("M:"&amp; $A235,"ytd_total_return",'Database Query'!$E$14))</f>
        <v>#VALUE!</v>
      </c>
      <c r="K235" s="2" t="e" cm="1">
        <f t="array" aca="1" ref="K235" ca="1">-_xll.YCP($E235,"ytd_return",'Database Query'!$E$14)+J235</f>
        <v>#VALUE!</v>
      </c>
      <c r="L235" s="2" t="e" cm="1">
        <f t="array" aca="1" ref="L235" ca="1">_xlfn.IFS($B235="etf", _xll.YCP($A235,"one_year_total_return",'Database Query'!$E$14),$B235&lt;&gt;"etf",_xll.YCP("M:"&amp; $A235,"one_year_total_return",'Database Query'!$E$14))</f>
        <v>#VALUE!</v>
      </c>
      <c r="M235" s="2" t="e" cm="1">
        <f t="array" aca="1" ref="M235" ca="1">-_xll.YCP($E235,"one_year_return",'Database Query'!$E$14)+L235</f>
        <v>#VALUE!</v>
      </c>
      <c r="N235" s="2" t="e" cm="1">
        <f t="array" aca="1" ref="N235" ca="1">_xlfn.IFS($B235="etf", _xll.YCP($A235,"three_year_total_return",'Database Query'!$E$14),$B235&lt;&gt;"etf",_xll.YCP("M:"&amp; $A235,"three_year_total_return",'Database Query'!$E$14))</f>
        <v>#VALUE!</v>
      </c>
      <c r="O235" s="2" t="e" cm="1">
        <f t="array" aca="1" ref="O235" ca="1">-_xll.YCP($E235,"three_year_return",'Database Query'!$E$14)+N235</f>
        <v>#VALUE!</v>
      </c>
      <c r="P235" s="2" t="e" cm="1">
        <f t="array" aca="1" ref="P235" ca="1">_xlfn.IFS($B235="etf", _xll.YCP($A235,"five_year_total_return",'Database Query'!$E$14),$B235&lt;&gt;"etf",_xll.YCP("M:"&amp; $A235,"five_year_total_return",'Database Query'!$E$14))</f>
        <v>#VALUE!</v>
      </c>
      <c r="Q235" s="2" t="e" cm="1">
        <f t="array" aca="1" ref="Q235" ca="1">-_xll.YCP($E235,"five_year_return",'Database Query'!$E$14)+P235</f>
        <v>#VALUE!</v>
      </c>
    </row>
    <row r="236" spans="1:17" x14ac:dyDescent="0.25">
      <c r="A236" t="str">
        <v>TLT</v>
      </c>
      <c r="B236" t="str" cm="1">
        <f t="array" aca="1" ref="B236" ca="1">_xll.YCI(A236,"detailed_security_type",TODAY())</f>
        <v>etf</v>
      </c>
      <c r="C236" t="str" cm="1">
        <f t="array" aca="1" ref="C236" ca="1">_xlfn.IFS(B236="etf", _xll.YCI(A236, "security_name",TODAY()),B236&lt;&gt;"etf",_xll.YCI("M:" &amp; A236, "security_name",TODAY()))</f>
        <v>iShares 20+ Year Treasury Bond ETF</v>
      </c>
      <c r="D236" t="str" cm="1">
        <f t="array" aca="1" ref="D236" ca="1">_xlfn.IFS($B236="etf", _xll.YCI($A236, "ycharts_benchmark_category",TODAY()),$B236&lt;&gt;"etf",_xll.YCI("M:" &amp; $A236, "ycharts_benchmark_category",TODAY()))</f>
        <v>US Government Bond</v>
      </c>
      <c r="E236" t="str" cm="1">
        <f t="array" aca="1" ref="E236" ca="1">_xlfn.IFS($B236="etf", _xll.YCI($A236, "ycharts_benchmark_index_symbol",TODAY()),$B236&lt;&gt;"etf",_xll.YCI("M:" &amp; $A236, "ycharts_benchmark_index_symbol",TODAY()))</f>
        <v>^BBUSTTR</v>
      </c>
      <c r="F236" t="str" cm="1">
        <f t="array" aca="1" ref="F236" ca="1">_xlfn.IFS($B236="etf", _xll.YCI($E236, "security_name",TODAY()),$B236&lt;&gt;"etf",_xll.YCI( $E236, "security_name",TODAY()))</f>
        <v>Bloomberg US Treasury</v>
      </c>
      <c r="G236" t="str" cm="1">
        <f t="array" aca="1" ref="G236" ca="1">_xlfn.IFS($B236="etf", _xll.YCI($A236, "prospectus_benchmark_index",TODAY()),$B236&lt;&gt;"etf",_xll.YCI("M:" &amp; $A236, "prospectus_benchmark_index",TODAY()))</f>
        <v>ICE U.S. Treasury 20+ Year Bond TR USD</v>
      </c>
      <c r="H236" s="2" cm="1">
        <f t="array" aca="1" ref="H236" ca="1">_xlfn.IFS($B236="etf", _xll.YCP($A236,"quarterly_total_return",'Database Query'!$E$14),$B236&lt;&gt;"etf",_xll.YCP("M:"&amp; $A236,"quarterly_total_return",'Database Query'!$E$14))</f>
        <v>-9.7236000000000003E-2</v>
      </c>
      <c r="I236" s="2" cm="1">
        <f t="array" aca="1" ref="I236" ca="1">-_xll.YCP($E236,"quarterly_return",'Database Query'!$E$14)+H236</f>
        <v>-6.5854999999999997E-2</v>
      </c>
      <c r="J236" s="2" cm="1">
        <f t="array" aca="1" ref="J236" ca="1">_xlfn.IFS($B236="etf", _xll.YCP($A236,"ytd_total_return",'Database Query'!$E$14),$B236&lt;&gt;"etf",_xll.YCP("M:"&amp; $A236,"ytd_total_return",'Database Query'!$E$14))</f>
        <v>-8.0585000000000004E-2</v>
      </c>
      <c r="K236" s="2" cm="1">
        <f t="array" aca="1" ref="K236" ca="1">-_xll.YCP($E236,"ytd_return",'Database Query'!$E$14)+J236</f>
        <v>-8.6362000000000008E-2</v>
      </c>
      <c r="L236" s="2" cm="1">
        <f t="array" aca="1" ref="L236" ca="1">_xlfn.IFS($B236="etf", _xll.YCP($A236,"one_year_total_return",'Database Query'!$E$14),$B236&lt;&gt;"etf",_xll.YCP("M:"&amp; $A236,"one_year_total_return",'Database Query'!$E$14))</f>
        <v>-8.0585000000000004E-2</v>
      </c>
      <c r="M236" s="2" cm="1">
        <f t="array" aca="1" ref="M236" ca="1">-_xll.YCP($E236,"one_year_return",'Database Query'!$E$14)+L236</f>
        <v>-8.6362000000000008E-2</v>
      </c>
      <c r="N236" s="2" cm="1">
        <f t="array" aca="1" ref="N236" ca="1">_xlfn.IFS($B236="etf", _xll.YCP($A236,"three_year_total_return",'Database Query'!$E$14),$B236&lt;&gt;"etf",_xll.YCP("M:"&amp; $A236,"three_year_total_return",'Database Query'!$E$14))</f>
        <v>-0.35036</v>
      </c>
      <c r="O236" s="2" cm="1">
        <f t="array" aca="1" ref="O236" ca="1">-_xll.YCP($E236,"three_year_return",'Database Query'!$E$14)+N236</f>
        <v>-0.26647599999999999</v>
      </c>
      <c r="P236" s="2" cm="1">
        <f t="array" aca="1" ref="P236" ca="1">_xlfn.IFS($B236="etf", _xll.YCP($A236,"five_year_total_return",'Database Query'!$E$14),$B236&lt;&gt;"etf",_xll.YCP("M:"&amp; $A236,"five_year_total_return",'Database Query'!$E$14))</f>
        <v>-0.26776299999999997</v>
      </c>
      <c r="Q236" s="2" cm="1">
        <f t="array" aca="1" ref="Q236" ca="1">-_xll.YCP($E236,"five_year_return",'Database Query'!$E$14)+P236</f>
        <v>-0.23419899999999999</v>
      </c>
    </row>
    <row r="237" spans="1:17" x14ac:dyDescent="0.25">
      <c r="A237" t="str">
        <v>TSCXX</v>
      </c>
      <c r="B237" t="e" cm="1">
        <f t="array" aca="1" ref="B237" ca="1">_xll.YCI(A237,"detailed_security_type",TODAY())</f>
        <v>#VALUE!</v>
      </c>
      <c r="C237" t="e" cm="1">
        <f t="array" aca="1" ref="C237" ca="1">_xlfn.IFS(B237="etf", _xll.YCI(A237, "security_name",TODAY()),B237&lt;&gt;"etf",_xll.YCI("M:" &amp; A237, "security_name",TODAY()))</f>
        <v>#VALUE!</v>
      </c>
      <c r="D237" t="e" cm="1">
        <f t="array" aca="1" ref="D237" ca="1">_xlfn.IFS($B237="etf", _xll.YCI($A237, "ycharts_benchmark_category",TODAY()),$B237&lt;&gt;"etf",_xll.YCI("M:" &amp; $A237, "ycharts_benchmark_category",TODAY()))</f>
        <v>#VALUE!</v>
      </c>
      <c r="E237" t="e" cm="1">
        <f t="array" aca="1" ref="E237" ca="1">_xlfn.IFS($B237="etf", _xll.YCI($A237, "ycharts_benchmark_index_symbol",TODAY()),$B237&lt;&gt;"etf",_xll.YCI("M:" &amp; $A237, "ycharts_benchmark_index_symbol",TODAY()))</f>
        <v>#VALUE!</v>
      </c>
      <c r="F237" t="e" cm="1">
        <f t="array" aca="1" ref="F237" ca="1">_xlfn.IFS($B237="etf", _xll.YCI($E237, "security_name",TODAY()),$B237&lt;&gt;"etf",_xll.YCI( $E237, "security_name",TODAY()))</f>
        <v>#VALUE!</v>
      </c>
      <c r="G237" t="e" cm="1">
        <f t="array" aca="1" ref="G237" ca="1">_xlfn.IFS($B237="etf", _xll.YCI($A237, "prospectus_benchmark_index",TODAY()),$B237&lt;&gt;"etf",_xll.YCI("M:" &amp; $A237, "prospectus_benchmark_index",TODAY()))</f>
        <v>#VALUE!</v>
      </c>
      <c r="H237" s="2" t="e" cm="1">
        <f t="array" aca="1" ref="H237" ca="1">_xlfn.IFS($B237="etf", _xll.YCP($A237,"quarterly_total_return",'Database Query'!$E$14),$B237&lt;&gt;"etf",_xll.YCP("M:"&amp; $A237,"quarterly_total_return",'Database Query'!$E$14))</f>
        <v>#VALUE!</v>
      </c>
      <c r="I237" s="2" t="e" cm="1">
        <f t="array" aca="1" ref="I237" ca="1">-_xll.YCP($E237,"quarterly_return",'Database Query'!$E$14)+H237</f>
        <v>#VALUE!</v>
      </c>
      <c r="J237" s="2" t="e" cm="1">
        <f t="array" aca="1" ref="J237" ca="1">_xlfn.IFS($B237="etf", _xll.YCP($A237,"ytd_total_return",'Database Query'!$E$14),$B237&lt;&gt;"etf",_xll.YCP("M:"&amp; $A237,"ytd_total_return",'Database Query'!$E$14))</f>
        <v>#VALUE!</v>
      </c>
      <c r="K237" s="2" t="e" cm="1">
        <f t="array" aca="1" ref="K237" ca="1">-_xll.YCP($E237,"ytd_return",'Database Query'!$E$14)+J237</f>
        <v>#VALUE!</v>
      </c>
      <c r="L237" s="2" t="e" cm="1">
        <f t="array" aca="1" ref="L237" ca="1">_xlfn.IFS($B237="etf", _xll.YCP($A237,"one_year_total_return",'Database Query'!$E$14),$B237&lt;&gt;"etf",_xll.YCP("M:"&amp; $A237,"one_year_total_return",'Database Query'!$E$14))</f>
        <v>#VALUE!</v>
      </c>
      <c r="M237" s="2" t="e" cm="1">
        <f t="array" aca="1" ref="M237" ca="1">-_xll.YCP($E237,"one_year_return",'Database Query'!$E$14)+L237</f>
        <v>#VALUE!</v>
      </c>
      <c r="N237" s="2" t="e" cm="1">
        <f t="array" aca="1" ref="N237" ca="1">_xlfn.IFS($B237="etf", _xll.YCP($A237,"three_year_total_return",'Database Query'!$E$14),$B237&lt;&gt;"etf",_xll.YCP("M:"&amp; $A237,"three_year_total_return",'Database Query'!$E$14))</f>
        <v>#VALUE!</v>
      </c>
      <c r="O237" s="2" t="e" cm="1">
        <f t="array" aca="1" ref="O237" ca="1">-_xll.YCP($E237,"three_year_return",'Database Query'!$E$14)+N237</f>
        <v>#VALUE!</v>
      </c>
      <c r="P237" s="2" t="e" cm="1">
        <f t="array" aca="1" ref="P237" ca="1">_xlfn.IFS($B237="etf", _xll.YCP($A237,"five_year_total_return",'Database Query'!$E$14),$B237&lt;&gt;"etf",_xll.YCP("M:"&amp; $A237,"five_year_total_return",'Database Query'!$E$14))</f>
        <v>#VALUE!</v>
      </c>
      <c r="Q237" s="2" t="e" cm="1">
        <f t="array" aca="1" ref="Q237" ca="1">-_xll.YCP($E237,"five_year_return",'Database Query'!$E$14)+P237</f>
        <v>#VALUE!</v>
      </c>
    </row>
    <row r="238" spans="1:17" x14ac:dyDescent="0.25">
      <c r="A238" t="str">
        <v>TSONX</v>
      </c>
      <c r="B238" t="e" cm="1">
        <f t="array" aca="1" ref="B238" ca="1">_xll.YCI(A238,"detailed_security_type",TODAY())</f>
        <v>#VALUE!</v>
      </c>
      <c r="C238" t="e" cm="1">
        <f t="array" aca="1" ref="C238" ca="1">_xlfn.IFS(B238="etf", _xll.YCI(A238, "security_name",TODAY()),B238&lt;&gt;"etf",_xll.YCI("M:" &amp; A238, "security_name",TODAY()))</f>
        <v>#VALUE!</v>
      </c>
      <c r="D238" t="e" cm="1">
        <f t="array" aca="1" ref="D238" ca="1">_xlfn.IFS($B238="etf", _xll.YCI($A238, "ycharts_benchmark_category",TODAY()),$B238&lt;&gt;"etf",_xll.YCI("M:" &amp; $A238, "ycharts_benchmark_category",TODAY()))</f>
        <v>#VALUE!</v>
      </c>
      <c r="E238" t="e" cm="1">
        <f t="array" aca="1" ref="E238" ca="1">_xlfn.IFS($B238="etf", _xll.YCI($A238, "ycharts_benchmark_index_symbol",TODAY()),$B238&lt;&gt;"etf",_xll.YCI("M:" &amp; $A238, "ycharts_benchmark_index_symbol",TODAY()))</f>
        <v>#VALUE!</v>
      </c>
      <c r="F238" t="e" cm="1">
        <f t="array" aca="1" ref="F238" ca="1">_xlfn.IFS($B238="etf", _xll.YCI($E238, "security_name",TODAY()),$B238&lt;&gt;"etf",_xll.YCI( $E238, "security_name",TODAY()))</f>
        <v>#VALUE!</v>
      </c>
      <c r="G238" t="e" cm="1">
        <f t="array" aca="1" ref="G238" ca="1">_xlfn.IFS($B238="etf", _xll.YCI($A238, "prospectus_benchmark_index",TODAY()),$B238&lt;&gt;"etf",_xll.YCI("M:" &amp; $A238, "prospectus_benchmark_index",TODAY()))</f>
        <v>#VALUE!</v>
      </c>
      <c r="H238" s="2" t="e" cm="1">
        <f t="array" aca="1" ref="H238" ca="1">_xlfn.IFS($B238="etf", _xll.YCP($A238,"quarterly_total_return",'Database Query'!$E$14),$B238&lt;&gt;"etf",_xll.YCP("M:"&amp; $A238,"quarterly_total_return",'Database Query'!$E$14))</f>
        <v>#VALUE!</v>
      </c>
      <c r="I238" s="2" t="e" cm="1">
        <f t="array" aca="1" ref="I238" ca="1">-_xll.YCP($E238,"quarterly_return",'Database Query'!$E$14)+H238</f>
        <v>#VALUE!</v>
      </c>
      <c r="J238" s="2" t="e" cm="1">
        <f t="array" aca="1" ref="J238" ca="1">_xlfn.IFS($B238="etf", _xll.YCP($A238,"ytd_total_return",'Database Query'!$E$14),$B238&lt;&gt;"etf",_xll.YCP("M:"&amp; $A238,"ytd_total_return",'Database Query'!$E$14))</f>
        <v>#VALUE!</v>
      </c>
      <c r="K238" s="2" t="e" cm="1">
        <f t="array" aca="1" ref="K238" ca="1">-_xll.YCP($E238,"ytd_return",'Database Query'!$E$14)+J238</f>
        <v>#VALUE!</v>
      </c>
      <c r="L238" s="2" t="e" cm="1">
        <f t="array" aca="1" ref="L238" ca="1">_xlfn.IFS($B238="etf", _xll.YCP($A238,"one_year_total_return",'Database Query'!$E$14),$B238&lt;&gt;"etf",_xll.YCP("M:"&amp; $A238,"one_year_total_return",'Database Query'!$E$14))</f>
        <v>#VALUE!</v>
      </c>
      <c r="M238" s="2" t="e" cm="1">
        <f t="array" aca="1" ref="M238" ca="1">-_xll.YCP($E238,"one_year_return",'Database Query'!$E$14)+L238</f>
        <v>#VALUE!</v>
      </c>
      <c r="N238" s="2" t="e" cm="1">
        <f t="array" aca="1" ref="N238" ca="1">_xlfn.IFS($B238="etf", _xll.YCP($A238,"three_year_total_return",'Database Query'!$E$14),$B238&lt;&gt;"etf",_xll.YCP("M:"&amp; $A238,"three_year_total_return",'Database Query'!$E$14))</f>
        <v>#VALUE!</v>
      </c>
      <c r="O238" s="2" t="e" cm="1">
        <f t="array" aca="1" ref="O238" ca="1">-_xll.YCP($E238,"three_year_return",'Database Query'!$E$14)+N238</f>
        <v>#VALUE!</v>
      </c>
      <c r="P238" s="2" t="e" cm="1">
        <f t="array" aca="1" ref="P238" ca="1">_xlfn.IFS($B238="etf", _xll.YCP($A238,"five_year_total_return",'Database Query'!$E$14),$B238&lt;&gt;"etf",_xll.YCP("M:"&amp; $A238,"five_year_total_return",'Database Query'!$E$14))</f>
        <v>#VALUE!</v>
      </c>
      <c r="Q238" s="2" t="e" cm="1">
        <f t="array" aca="1" ref="Q238" ca="1">-_xll.YCP($E238,"five_year_return",'Database Query'!$E$14)+P238</f>
        <v>#VALUE!</v>
      </c>
    </row>
    <row r="239" spans="1:17" x14ac:dyDescent="0.25">
      <c r="A239" t="str">
        <v>USD</v>
      </c>
      <c r="B239" t="str" cm="1">
        <f t="array" aca="1" ref="B239" ca="1">_xll.YCI(A239,"detailed_security_type",TODAY())</f>
        <v>etf</v>
      </c>
      <c r="C239" t="str" cm="1">
        <f t="array" aca="1" ref="C239" ca="1">_xlfn.IFS(B239="etf", _xll.YCI(A239, "security_name",TODAY()),B239&lt;&gt;"etf",_xll.YCI("M:" &amp; A239, "security_name",TODAY()))</f>
        <v>ProShares Ultra Semiconductors</v>
      </c>
      <c r="D239" t="str" cm="1">
        <f t="array" aca="1" ref="D239" ca="1">_xlfn.IFS($B239="etf", _xll.YCI($A239, "ycharts_benchmark_category",TODAY()),$B239&lt;&gt;"etf",_xll.YCI("M:" &amp; $A239, "ycharts_benchmark_category",TODAY()))</f>
        <v>Alts</v>
      </c>
      <c r="E239" t="str" cm="1">
        <f t="array" aca="1" ref="E239" ca="1">_xlfn.IFS($B239="etf", _xll.YCI($A239, "ycharts_benchmark_index_symbol",TODAY()),$B239&lt;&gt;"etf",_xll.YCI("M:" &amp; $A239, "ycharts_benchmark_index_symbol",TODAY()))</f>
        <v>^PEATR</v>
      </c>
      <c r="F239" t="str" cm="1">
        <f t="array" aca="1" ref="F239" ca="1">_xlfn.IFS($B239="etf", _xll.YCI($E239, "security_name",TODAY()),$B239&lt;&gt;"etf",_xll.YCI( $E239, "security_name",TODAY()))</f>
        <v>Private Equity Index Total Return</v>
      </c>
      <c r="G239" t="str" cm="1">
        <f t="array" aca="1" ref="G239" ca="1">_xlfn.IFS($B239="etf", _xll.YCI($A239, "prospectus_benchmark_index",TODAY()),$B239&lt;&gt;"etf",_xll.YCI("M:" &amp; $A239, "prospectus_benchmark_index",TODAY()))</f>
        <v>DJ US Semiconductors TR USD</v>
      </c>
      <c r="H239" s="2" cm="1">
        <f t="array" aca="1" ref="H239" ca="1">_xlfn.IFS($B239="etf", _xll.YCP($A239,"quarterly_total_return",'Database Query'!$E$14),$B239&lt;&gt;"etf",_xll.YCP("M:"&amp; $A239,"quarterly_total_return",'Database Query'!$E$14))</f>
        <v>8.7514999999999996E-2</v>
      </c>
      <c r="I239" s="2" cm="1">
        <f t="array" aca="1" ref="I239" ca="1">-_xll.YCP($E239,"quarterly_return",'Database Query'!$E$14)+H239</f>
        <v>0.11199099999999999</v>
      </c>
      <c r="J239" s="2" cm="1">
        <f t="array" aca="1" ref="J239" ca="1">_xlfn.IFS($B239="etf", _xll.YCP($A239,"ytd_total_return",'Database Query'!$E$14),$B239&lt;&gt;"etf",_xll.YCP("M:"&amp; $A239,"ytd_total_return",'Database Query'!$E$14))</f>
        <v>1.39625</v>
      </c>
      <c r="K239" s="2" cm="1">
        <f t="array" aca="1" ref="K239" ca="1">-_xll.YCP($E239,"ytd_return",'Database Query'!$E$14)+J239</f>
        <v>1.1076900000000001</v>
      </c>
      <c r="L239" s="2" cm="1">
        <f t="array" aca="1" ref="L239" ca="1">_xlfn.IFS($B239="etf", _xll.YCP($A239,"one_year_total_return",'Database Query'!$E$14),$B239&lt;&gt;"etf",_xll.YCP("M:"&amp; $A239,"one_year_total_return",'Database Query'!$E$14))</f>
        <v>1.39625</v>
      </c>
      <c r="M239" s="2" cm="1">
        <f t="array" aca="1" ref="M239" ca="1">-_xll.YCP($E239,"one_year_return",'Database Query'!$E$14)+L239</f>
        <v>1.1076900000000001</v>
      </c>
      <c r="N239" s="2" cm="1">
        <f t="array" aca="1" ref="N239" ca="1">_xlfn.IFS($B239="etf", _xll.YCP($A239,"three_year_total_return",'Database Query'!$E$14),$B239&lt;&gt;"etf",_xll.YCP("M:"&amp; $A239,"three_year_total_return",'Database Query'!$E$14))</f>
        <v>1.477336</v>
      </c>
      <c r="O239" s="2" cm="1">
        <f t="array" aca="1" ref="O239" ca="1">-_xll.YCP($E239,"three_year_return",'Database Query'!$E$14)+N239</f>
        <v>1.218146</v>
      </c>
      <c r="P239" s="2" cm="1">
        <f t="array" aca="1" ref="P239" ca="1">_xlfn.IFS($B239="etf", _xll.YCP($A239,"five_year_total_return",'Database Query'!$E$14),$B239&lt;&gt;"etf",_xll.YCP("M:"&amp; $A239,"five_year_total_return",'Database Query'!$E$14))</f>
        <v>7.5108370000000004</v>
      </c>
      <c r="Q239" s="2" cm="1">
        <f t="array" aca="1" ref="Q239" ca="1">-_xll.YCP($E239,"five_year_return",'Database Query'!$E$14)+P239</f>
        <v>6.4412420000000008</v>
      </c>
    </row>
    <row r="240" spans="1:17" x14ac:dyDescent="0.25">
      <c r="A240" t="str">
        <v>VARBX</v>
      </c>
      <c r="B240" t="e" cm="1">
        <f t="array" aca="1" ref="B240" ca="1">_xll.YCI(A240,"detailed_security_type",TODAY())</f>
        <v>#VALUE!</v>
      </c>
      <c r="C240" t="e" cm="1">
        <f t="array" aca="1" ref="C240" ca="1">_xlfn.IFS(B240="etf", _xll.YCI(A240, "security_name",TODAY()),B240&lt;&gt;"etf",_xll.YCI("M:" &amp; A240, "security_name",TODAY()))</f>
        <v>#VALUE!</v>
      </c>
      <c r="D240" t="e" cm="1">
        <f t="array" aca="1" ref="D240" ca="1">_xlfn.IFS($B240="etf", _xll.YCI($A240, "ycharts_benchmark_category",TODAY()),$B240&lt;&gt;"etf",_xll.YCI("M:" &amp; $A240, "ycharts_benchmark_category",TODAY()))</f>
        <v>#VALUE!</v>
      </c>
      <c r="E240" t="e" cm="1">
        <f t="array" aca="1" ref="E240" ca="1">_xlfn.IFS($B240="etf", _xll.YCI($A240, "ycharts_benchmark_index_symbol",TODAY()),$B240&lt;&gt;"etf",_xll.YCI("M:" &amp; $A240, "ycharts_benchmark_index_symbol",TODAY()))</f>
        <v>#VALUE!</v>
      </c>
      <c r="F240" t="e" cm="1">
        <f t="array" aca="1" ref="F240" ca="1">_xlfn.IFS($B240="etf", _xll.YCI($E240, "security_name",TODAY()),$B240&lt;&gt;"etf",_xll.YCI( $E240, "security_name",TODAY()))</f>
        <v>#VALUE!</v>
      </c>
      <c r="G240" t="e" cm="1">
        <f t="array" aca="1" ref="G240" ca="1">_xlfn.IFS($B240="etf", _xll.YCI($A240, "prospectus_benchmark_index",TODAY()),$B240&lt;&gt;"etf",_xll.YCI("M:" &amp; $A240, "prospectus_benchmark_index",TODAY()))</f>
        <v>#VALUE!</v>
      </c>
      <c r="H240" s="2" t="e" cm="1">
        <f t="array" aca="1" ref="H240" ca="1">_xlfn.IFS($B240="etf", _xll.YCP($A240,"quarterly_total_return",'Database Query'!$E$14),$B240&lt;&gt;"etf",_xll.YCP("M:"&amp; $A240,"quarterly_total_return",'Database Query'!$E$14))</f>
        <v>#VALUE!</v>
      </c>
      <c r="I240" s="2" t="e" cm="1">
        <f t="array" aca="1" ref="I240" ca="1">-_xll.YCP($E240,"quarterly_return",'Database Query'!$E$14)+H240</f>
        <v>#VALUE!</v>
      </c>
      <c r="J240" s="2" t="e" cm="1">
        <f t="array" aca="1" ref="J240" ca="1">_xlfn.IFS($B240="etf", _xll.YCP($A240,"ytd_total_return",'Database Query'!$E$14),$B240&lt;&gt;"etf",_xll.YCP("M:"&amp; $A240,"ytd_total_return",'Database Query'!$E$14))</f>
        <v>#VALUE!</v>
      </c>
      <c r="K240" s="2" t="e" cm="1">
        <f t="array" aca="1" ref="K240" ca="1">-_xll.YCP($E240,"ytd_return",'Database Query'!$E$14)+J240</f>
        <v>#VALUE!</v>
      </c>
      <c r="L240" s="2" t="e" cm="1">
        <f t="array" aca="1" ref="L240" ca="1">_xlfn.IFS($B240="etf", _xll.YCP($A240,"one_year_total_return",'Database Query'!$E$14),$B240&lt;&gt;"etf",_xll.YCP("M:"&amp; $A240,"one_year_total_return",'Database Query'!$E$14))</f>
        <v>#VALUE!</v>
      </c>
      <c r="M240" s="2" t="e" cm="1">
        <f t="array" aca="1" ref="M240" ca="1">-_xll.YCP($E240,"one_year_return",'Database Query'!$E$14)+L240</f>
        <v>#VALUE!</v>
      </c>
      <c r="N240" s="2" t="e" cm="1">
        <f t="array" aca="1" ref="N240" ca="1">_xlfn.IFS($B240="etf", _xll.YCP($A240,"three_year_total_return",'Database Query'!$E$14),$B240&lt;&gt;"etf",_xll.YCP("M:"&amp; $A240,"three_year_total_return",'Database Query'!$E$14))</f>
        <v>#VALUE!</v>
      </c>
      <c r="O240" s="2" t="e" cm="1">
        <f t="array" aca="1" ref="O240" ca="1">-_xll.YCP($E240,"three_year_return",'Database Query'!$E$14)+N240</f>
        <v>#VALUE!</v>
      </c>
      <c r="P240" s="2" t="e" cm="1">
        <f t="array" aca="1" ref="P240" ca="1">_xlfn.IFS($B240="etf", _xll.YCP($A240,"five_year_total_return",'Database Query'!$E$14),$B240&lt;&gt;"etf",_xll.YCP("M:"&amp; $A240,"five_year_total_return",'Database Query'!$E$14))</f>
        <v>#VALUE!</v>
      </c>
      <c r="Q240" s="2" t="e" cm="1">
        <f t="array" aca="1" ref="Q240" ca="1">-_xll.YCP($E240,"five_year_return",'Database Query'!$E$14)+P240</f>
        <v>#VALUE!</v>
      </c>
    </row>
    <row r="241" spans="1:17" x14ac:dyDescent="0.25">
      <c r="A241" t="str">
        <v>VASVX</v>
      </c>
      <c r="B241" t="e" cm="1">
        <f t="array" aca="1" ref="B241" ca="1">_xll.YCI(A241,"detailed_security_type",TODAY())</f>
        <v>#VALUE!</v>
      </c>
      <c r="C241" t="e" cm="1">
        <f t="array" aca="1" ref="C241" ca="1">_xlfn.IFS(B241="etf", _xll.YCI(A241, "security_name",TODAY()),B241&lt;&gt;"etf",_xll.YCI("M:" &amp; A241, "security_name",TODAY()))</f>
        <v>#VALUE!</v>
      </c>
      <c r="D241" t="e" cm="1">
        <f t="array" aca="1" ref="D241" ca="1">_xlfn.IFS($B241="etf", _xll.YCI($A241, "ycharts_benchmark_category",TODAY()),$B241&lt;&gt;"etf",_xll.YCI("M:" &amp; $A241, "ycharts_benchmark_category",TODAY()))</f>
        <v>#VALUE!</v>
      </c>
      <c r="E241" t="e" cm="1">
        <f t="array" aca="1" ref="E241" ca="1">_xlfn.IFS($B241="etf", _xll.YCI($A241, "ycharts_benchmark_index_symbol",TODAY()),$B241&lt;&gt;"etf",_xll.YCI("M:" &amp; $A241, "ycharts_benchmark_index_symbol",TODAY()))</f>
        <v>#VALUE!</v>
      </c>
      <c r="F241" t="e" cm="1">
        <f t="array" aca="1" ref="F241" ca="1">_xlfn.IFS($B241="etf", _xll.YCI($E241, "security_name",TODAY()),$B241&lt;&gt;"etf",_xll.YCI( $E241, "security_name",TODAY()))</f>
        <v>#VALUE!</v>
      </c>
      <c r="G241" t="e" cm="1">
        <f t="array" aca="1" ref="G241" ca="1">_xlfn.IFS($B241="etf", _xll.YCI($A241, "prospectus_benchmark_index",TODAY()),$B241&lt;&gt;"etf",_xll.YCI("M:" &amp; $A241, "prospectus_benchmark_index",TODAY()))</f>
        <v>#VALUE!</v>
      </c>
      <c r="H241" s="2" t="e" cm="1">
        <f t="array" aca="1" ref="H241" ca="1">_xlfn.IFS($B241="etf", _xll.YCP($A241,"quarterly_total_return",'Database Query'!$E$14),$B241&lt;&gt;"etf",_xll.YCP("M:"&amp; $A241,"quarterly_total_return",'Database Query'!$E$14))</f>
        <v>#VALUE!</v>
      </c>
      <c r="I241" s="2" t="e" cm="1">
        <f t="array" aca="1" ref="I241" ca="1">-_xll.YCP($E241,"quarterly_return",'Database Query'!$E$14)+H241</f>
        <v>#VALUE!</v>
      </c>
      <c r="J241" s="2" t="e" cm="1">
        <f t="array" aca="1" ref="J241" ca="1">_xlfn.IFS($B241="etf", _xll.YCP($A241,"ytd_total_return",'Database Query'!$E$14),$B241&lt;&gt;"etf",_xll.YCP("M:"&amp; $A241,"ytd_total_return",'Database Query'!$E$14))</f>
        <v>#VALUE!</v>
      </c>
      <c r="K241" s="2" t="e" cm="1">
        <f t="array" aca="1" ref="K241" ca="1">-_xll.YCP($E241,"ytd_return",'Database Query'!$E$14)+J241</f>
        <v>#VALUE!</v>
      </c>
      <c r="L241" s="2" t="e" cm="1">
        <f t="array" aca="1" ref="L241" ca="1">_xlfn.IFS($B241="etf", _xll.YCP($A241,"one_year_total_return",'Database Query'!$E$14),$B241&lt;&gt;"etf",_xll.YCP("M:"&amp; $A241,"one_year_total_return",'Database Query'!$E$14))</f>
        <v>#VALUE!</v>
      </c>
      <c r="M241" s="2" t="e" cm="1">
        <f t="array" aca="1" ref="M241" ca="1">-_xll.YCP($E241,"one_year_return",'Database Query'!$E$14)+L241</f>
        <v>#VALUE!</v>
      </c>
      <c r="N241" s="2" t="e" cm="1">
        <f t="array" aca="1" ref="N241" ca="1">_xlfn.IFS($B241="etf", _xll.YCP($A241,"three_year_total_return",'Database Query'!$E$14),$B241&lt;&gt;"etf",_xll.YCP("M:"&amp; $A241,"three_year_total_return",'Database Query'!$E$14))</f>
        <v>#VALUE!</v>
      </c>
      <c r="O241" s="2" t="e" cm="1">
        <f t="array" aca="1" ref="O241" ca="1">-_xll.YCP($E241,"three_year_return",'Database Query'!$E$14)+N241</f>
        <v>#VALUE!</v>
      </c>
      <c r="P241" s="2" t="e" cm="1">
        <f t="array" aca="1" ref="P241" ca="1">_xlfn.IFS($B241="etf", _xll.YCP($A241,"five_year_total_return",'Database Query'!$E$14),$B241&lt;&gt;"etf",_xll.YCP("M:"&amp; $A241,"five_year_total_return",'Database Query'!$E$14))</f>
        <v>#VALUE!</v>
      </c>
      <c r="Q241" s="2" t="e" cm="1">
        <f t="array" aca="1" ref="Q241" ca="1">-_xll.YCP($E241,"five_year_return",'Database Query'!$E$14)+P241</f>
        <v>#VALUE!</v>
      </c>
    </row>
    <row r="242" spans="1:17" x14ac:dyDescent="0.25">
      <c r="A242" t="str">
        <v>VB</v>
      </c>
      <c r="B242" t="str" cm="1">
        <f t="array" aca="1" ref="B242" ca="1">_xll.YCI(A242,"detailed_security_type",TODAY())</f>
        <v>etf</v>
      </c>
      <c r="C242" t="str" cm="1">
        <f t="array" aca="1" ref="C242" ca="1">_xlfn.IFS(B242="etf", _xll.YCI(A242, "security_name",TODAY()),B242&lt;&gt;"etf",_xll.YCI("M:" &amp; A242, "security_name",TODAY()))</f>
        <v>Vanguard Small-Cap Index Fund ETF</v>
      </c>
      <c r="D242" t="str" cm="1">
        <f t="array" aca="1" ref="D242" ca="1">_xlfn.IFS($B242="etf", _xll.YCI($A242, "ycharts_benchmark_category",TODAY()),$B242&lt;&gt;"etf",_xll.YCI("M:" &amp; $A242, "ycharts_benchmark_category",TODAY()))</f>
        <v>US Small-Cap Core</v>
      </c>
      <c r="E242" t="str" cm="1">
        <f t="array" aca="1" ref="E242" ca="1">_xlfn.IFS($B242="etf", _xll.YCI($A242, "ycharts_benchmark_index_symbol",TODAY()),$B242&lt;&gt;"etf",_xll.YCI("M:" &amp; $A242, "ycharts_benchmark_index_symbol",TODAY()))</f>
        <v>^RUTTR</v>
      </c>
      <c r="F242" t="str" cm="1">
        <f t="array" aca="1" ref="F242" ca="1">_xlfn.IFS($B242="etf", _xll.YCI($E242, "security_name",TODAY()),$B242&lt;&gt;"etf",_xll.YCI( $E242, "security_name",TODAY()))</f>
        <v>Russell 2000 Total Return</v>
      </c>
      <c r="G242" t="str" cm="1">
        <f t="array" aca="1" ref="G242" ca="1">_xlfn.IFS($B242="etf", _xll.YCI($A242, "prospectus_benchmark_index",TODAY()),$B242&lt;&gt;"etf",_xll.YCI("M:" &amp; $A242, "prospectus_benchmark_index",TODAY()))</f>
        <v>CRSP US Small Cap TR USD</v>
      </c>
      <c r="H242" s="2" cm="1">
        <f t="array" aca="1" ref="H242" ca="1">_xlfn.IFS($B242="etf", _xll.YCP($A242,"quarterly_total_return",'Database Query'!$E$14),$B242&lt;&gt;"etf",_xll.YCP("M:"&amp; $A242,"quarterly_total_return",'Database Query'!$E$14))</f>
        <v>1.6726000000000001E-2</v>
      </c>
      <c r="I242" s="2" cm="1">
        <f t="array" aca="1" ref="I242" ca="1">-_xll.YCP($E242,"quarterly_return",'Database Query'!$E$14)+H242</f>
        <v>1.3381000000000001E-2</v>
      </c>
      <c r="J242" s="2" cm="1">
        <f t="array" aca="1" ref="J242" ca="1">_xlfn.IFS($B242="etf", _xll.YCP($A242,"ytd_total_return",'Database Query'!$E$14),$B242&lt;&gt;"etf",_xll.YCP("M:"&amp; $A242,"ytd_total_return",'Database Query'!$E$14))</f>
        <v>0.14174</v>
      </c>
      <c r="K242" s="2" cm="1">
        <f t="array" aca="1" ref="K242" ca="1">-_xll.YCP($E242,"ytd_return",'Database Query'!$E$14)+J242</f>
        <v>2.6361000000000009E-2</v>
      </c>
      <c r="L242" s="2" cm="1">
        <f t="array" aca="1" ref="L242" ca="1">_xlfn.IFS($B242="etf", _xll.YCP($A242,"one_year_total_return",'Database Query'!$E$14),$B242&lt;&gt;"etf",_xll.YCP("M:"&amp; $A242,"one_year_total_return",'Database Query'!$E$14))</f>
        <v>0.14174</v>
      </c>
      <c r="M242" s="2" cm="1">
        <f t="array" aca="1" ref="M242" ca="1">-_xll.YCP($E242,"one_year_return",'Database Query'!$E$14)+L242</f>
        <v>2.6361000000000009E-2</v>
      </c>
      <c r="N242" s="2" cm="1">
        <f t="array" aca="1" ref="N242" ca="1">_xlfn.IFS($B242="etf", _xll.YCP($A242,"three_year_total_return",'Database Query'!$E$14),$B242&lt;&gt;"etf",_xll.YCP("M:"&amp; $A242,"three_year_total_return",'Database Query'!$E$14))</f>
        <v>0.113164</v>
      </c>
      <c r="O242" s="2" cm="1">
        <f t="array" aca="1" ref="O242" ca="1">-_xll.YCP($E242,"three_year_return",'Database Query'!$E$14)+N242</f>
        <v>7.5496000000000008E-2</v>
      </c>
      <c r="P242" s="2" cm="1">
        <f t="array" aca="1" ref="P242" ca="1">_xlfn.IFS($B242="etf", _xll.YCP($A242,"five_year_total_return",'Database Query'!$E$14),$B242&lt;&gt;"etf",_xll.YCP("M:"&amp; $A242,"five_year_total_return",'Database Query'!$E$14))</f>
        <v>0.55940400000000001</v>
      </c>
      <c r="Q242" s="2" cm="1">
        <f t="array" aca="1" ref="Q242" ca="1">-_xll.YCP($E242,"five_year_return",'Database Query'!$E$14)+P242</f>
        <v>0.13014300000000001</v>
      </c>
    </row>
    <row r="243" spans="1:17" x14ac:dyDescent="0.25">
      <c r="A243" t="str">
        <v>VBILX</v>
      </c>
      <c r="B243" t="e" cm="1">
        <f t="array" aca="1" ref="B243" ca="1">_xll.YCI(A243,"detailed_security_type",TODAY())</f>
        <v>#VALUE!</v>
      </c>
      <c r="C243" t="e" cm="1">
        <f t="array" aca="1" ref="C243" ca="1">_xlfn.IFS(B243="etf", _xll.YCI(A243, "security_name",TODAY()),B243&lt;&gt;"etf",_xll.YCI("M:" &amp; A243, "security_name",TODAY()))</f>
        <v>#VALUE!</v>
      </c>
      <c r="D243" t="e" cm="1">
        <f t="array" aca="1" ref="D243" ca="1">_xlfn.IFS($B243="etf", _xll.YCI($A243, "ycharts_benchmark_category",TODAY()),$B243&lt;&gt;"etf",_xll.YCI("M:" &amp; $A243, "ycharts_benchmark_category",TODAY()))</f>
        <v>#VALUE!</v>
      </c>
      <c r="E243" t="e" cm="1">
        <f t="array" aca="1" ref="E243" ca="1">_xlfn.IFS($B243="etf", _xll.YCI($A243, "ycharts_benchmark_index_symbol",TODAY()),$B243&lt;&gt;"etf",_xll.YCI("M:" &amp; $A243, "ycharts_benchmark_index_symbol",TODAY()))</f>
        <v>#VALUE!</v>
      </c>
      <c r="F243" t="e" cm="1">
        <f t="array" aca="1" ref="F243" ca="1">_xlfn.IFS($B243="etf", _xll.YCI($E243, "security_name",TODAY()),$B243&lt;&gt;"etf",_xll.YCI( $E243, "security_name",TODAY()))</f>
        <v>#VALUE!</v>
      </c>
      <c r="G243" t="e" cm="1">
        <f t="array" aca="1" ref="G243" ca="1">_xlfn.IFS($B243="etf", _xll.YCI($A243, "prospectus_benchmark_index",TODAY()),$B243&lt;&gt;"etf",_xll.YCI("M:" &amp; $A243, "prospectus_benchmark_index",TODAY()))</f>
        <v>#VALUE!</v>
      </c>
      <c r="H243" s="2" t="e" cm="1">
        <f t="array" aca="1" ref="H243" ca="1">_xlfn.IFS($B243="etf", _xll.YCP($A243,"quarterly_total_return",'Database Query'!$E$14),$B243&lt;&gt;"etf",_xll.YCP("M:"&amp; $A243,"quarterly_total_return",'Database Query'!$E$14))</f>
        <v>#VALUE!</v>
      </c>
      <c r="I243" s="2" t="e" cm="1">
        <f t="array" aca="1" ref="I243" ca="1">-_xll.YCP($E243,"quarterly_return",'Database Query'!$E$14)+H243</f>
        <v>#VALUE!</v>
      </c>
      <c r="J243" s="2" t="e" cm="1">
        <f t="array" aca="1" ref="J243" ca="1">_xlfn.IFS($B243="etf", _xll.YCP($A243,"ytd_total_return",'Database Query'!$E$14),$B243&lt;&gt;"etf",_xll.YCP("M:"&amp; $A243,"ytd_total_return",'Database Query'!$E$14))</f>
        <v>#VALUE!</v>
      </c>
      <c r="K243" s="2" t="e" cm="1">
        <f t="array" aca="1" ref="K243" ca="1">-_xll.YCP($E243,"ytd_return",'Database Query'!$E$14)+J243</f>
        <v>#VALUE!</v>
      </c>
      <c r="L243" s="2" t="e" cm="1">
        <f t="array" aca="1" ref="L243" ca="1">_xlfn.IFS($B243="etf", _xll.YCP($A243,"one_year_total_return",'Database Query'!$E$14),$B243&lt;&gt;"etf",_xll.YCP("M:"&amp; $A243,"one_year_total_return",'Database Query'!$E$14))</f>
        <v>#VALUE!</v>
      </c>
      <c r="M243" s="2" t="e" cm="1">
        <f t="array" aca="1" ref="M243" ca="1">-_xll.YCP($E243,"one_year_return",'Database Query'!$E$14)+L243</f>
        <v>#VALUE!</v>
      </c>
      <c r="N243" s="2" t="e" cm="1">
        <f t="array" aca="1" ref="N243" ca="1">_xlfn.IFS($B243="etf", _xll.YCP($A243,"three_year_total_return",'Database Query'!$E$14),$B243&lt;&gt;"etf",_xll.YCP("M:"&amp; $A243,"three_year_total_return",'Database Query'!$E$14))</f>
        <v>#VALUE!</v>
      </c>
      <c r="O243" s="2" t="e" cm="1">
        <f t="array" aca="1" ref="O243" ca="1">-_xll.YCP($E243,"three_year_return",'Database Query'!$E$14)+N243</f>
        <v>#VALUE!</v>
      </c>
      <c r="P243" s="2" t="e" cm="1">
        <f t="array" aca="1" ref="P243" ca="1">_xlfn.IFS($B243="etf", _xll.YCP($A243,"five_year_total_return",'Database Query'!$E$14),$B243&lt;&gt;"etf",_xll.YCP("M:"&amp; $A243,"five_year_total_return",'Database Query'!$E$14))</f>
        <v>#VALUE!</v>
      </c>
      <c r="Q243" s="2" t="e" cm="1">
        <f t="array" aca="1" ref="Q243" ca="1">-_xll.YCP($E243,"five_year_return",'Database Query'!$E$14)+P243</f>
        <v>#VALUE!</v>
      </c>
    </row>
    <row r="244" spans="1:17" x14ac:dyDescent="0.25">
      <c r="A244" t="str">
        <v>VBK</v>
      </c>
      <c r="B244" t="str" cm="1">
        <f t="array" aca="1" ref="B244" ca="1">_xll.YCI(A244,"detailed_security_type",TODAY())</f>
        <v>etf</v>
      </c>
      <c r="C244" t="str" cm="1">
        <f t="array" aca="1" ref="C244" ca="1">_xlfn.IFS(B244="etf", _xll.YCI(A244, "security_name",TODAY()),B244&lt;&gt;"etf",_xll.YCI("M:" &amp; A244, "security_name",TODAY()))</f>
        <v>Vanguard Small-Cap Growth Index Fund ETF</v>
      </c>
      <c r="D244" t="str" cm="1">
        <f t="array" aca="1" ref="D244" ca="1">_xlfn.IFS($B244="etf", _xll.YCI($A244, "ycharts_benchmark_category",TODAY()),$B244&lt;&gt;"etf",_xll.YCI("M:" &amp; $A244, "ycharts_benchmark_category",TODAY()))</f>
        <v>US Small-Cap Growth</v>
      </c>
      <c r="E244" t="str" cm="1">
        <f t="array" aca="1" ref="E244" ca="1">_xlfn.IFS($B244="etf", _xll.YCI($A244, "ycharts_benchmark_index_symbol",TODAY()),$B244&lt;&gt;"etf",_xll.YCI("M:" &amp; $A244, "ycharts_benchmark_index_symbol",TODAY()))</f>
        <v>^RUOTR</v>
      </c>
      <c r="F244" t="str" cm="1">
        <f t="array" aca="1" ref="F244" ca="1">_xlfn.IFS($B244="etf", _xll.YCI($E244, "security_name",TODAY()),$B244&lt;&gt;"etf",_xll.YCI( $E244, "security_name",TODAY()))</f>
        <v>Russell 2000 Growth Total Return</v>
      </c>
      <c r="G244" t="str" cm="1">
        <f t="array" aca="1" ref="G244" ca="1">_xlfn.IFS($B244="etf", _xll.YCI($A244, "prospectus_benchmark_index",TODAY()),$B244&lt;&gt;"etf",_xll.YCI("M:" &amp; $A244, "prospectus_benchmark_index",TODAY()))</f>
        <v>CRSP US Small Cap Growth TR USD</v>
      </c>
      <c r="H244" s="2" cm="1">
        <f t="array" aca="1" ref="H244" ca="1">_xlfn.IFS($B244="etf", _xll.YCP($A244,"quarterly_total_return",'Database Query'!$E$14),$B244&lt;&gt;"etf",_xll.YCP("M:"&amp; $A244,"quarterly_total_return",'Database Query'!$E$14))</f>
        <v>4.8936E-2</v>
      </c>
      <c r="I244" s="2" cm="1">
        <f t="array" aca="1" ref="I244" ca="1">-_xll.YCP($E244,"quarterly_return",'Database Query'!$E$14)+H244</f>
        <v>3.1897000000000002E-2</v>
      </c>
      <c r="J244" s="2" cm="1">
        <f t="array" aca="1" ref="J244" ca="1">_xlfn.IFS($B244="etf", _xll.YCP($A244,"ytd_total_return",'Database Query'!$E$14),$B244&lt;&gt;"etf",_xll.YCP("M:"&amp; $A244,"ytd_total_return",'Database Query'!$E$14))</f>
        <v>0.16498699999999999</v>
      </c>
      <c r="K244" s="2" cm="1">
        <f t="array" aca="1" ref="K244" ca="1">-_xll.YCP($E244,"ytd_return",'Database Query'!$E$14)+J244</f>
        <v>1.3444999999999985E-2</v>
      </c>
      <c r="L244" s="2" cm="1">
        <f t="array" aca="1" ref="L244" ca="1">_xlfn.IFS($B244="etf", _xll.YCP($A244,"one_year_total_return",'Database Query'!$E$14),$B244&lt;&gt;"etf",_xll.YCP("M:"&amp; $A244,"one_year_total_return",'Database Query'!$E$14))</f>
        <v>0.16498699999999999</v>
      </c>
      <c r="M244" s="2" cm="1">
        <f t="array" aca="1" ref="M244" ca="1">-_xll.YCP($E244,"one_year_return",'Database Query'!$E$14)+L244</f>
        <v>1.3444999999999985E-2</v>
      </c>
      <c r="N244" s="2" cm="1">
        <f t="array" aca="1" ref="N244" ca="1">_xlfn.IFS($B244="etf", _xll.YCP($A244,"three_year_total_return",'Database Query'!$E$14),$B244&lt;&gt;"etf",_xll.YCP("M:"&amp; $A244,"three_year_total_return",'Database Query'!$E$14))</f>
        <v>1.248E-2</v>
      </c>
      <c r="O244" s="2" cm="1">
        <f t="array" aca="1" ref="O244" ca="1">-_xll.YCP($E244,"three_year_return",'Database Query'!$E$14)+N244</f>
        <v>6.2269999999999999E-3</v>
      </c>
      <c r="P244" s="2" cm="1">
        <f t="array" aca="1" ref="P244" ca="1">_xlfn.IFS($B244="etf", _xll.YCP($A244,"five_year_total_return",'Database Query'!$E$14),$B244&lt;&gt;"etf",_xll.YCP("M:"&amp; $A244,"five_year_total_return",'Database Query'!$E$14))</f>
        <v>0.44877099999999998</v>
      </c>
      <c r="Q244" s="2" cm="1">
        <f t="array" aca="1" ref="Q244" ca="1">-_xll.YCP($E244,"five_year_return",'Database Query'!$E$14)+P244</f>
        <v>5.562499999999998E-2</v>
      </c>
    </row>
    <row r="245" spans="1:17" x14ac:dyDescent="0.25">
      <c r="A245" t="str">
        <v>VBR</v>
      </c>
      <c r="B245" t="str" cm="1">
        <f t="array" aca="1" ref="B245" ca="1">_xll.YCI(A245,"detailed_security_type",TODAY())</f>
        <v>etf</v>
      </c>
      <c r="C245" t="str" cm="1">
        <f t="array" aca="1" ref="C245" ca="1">_xlfn.IFS(B245="etf", _xll.YCI(A245, "security_name",TODAY()),B245&lt;&gt;"etf",_xll.YCI("M:" &amp; A245, "security_name",TODAY()))</f>
        <v>Vanguard Small-Cap Value Index Fund ETF</v>
      </c>
      <c r="D245" t="str" cm="1">
        <f t="array" aca="1" ref="D245" ca="1">_xlfn.IFS($B245="etf", _xll.YCI($A245, "ycharts_benchmark_category",TODAY()),$B245&lt;&gt;"etf",_xll.YCI("M:" &amp; $A245, "ycharts_benchmark_category",TODAY()))</f>
        <v>US Small-Cap Core</v>
      </c>
      <c r="E245" t="str" cm="1">
        <f t="array" aca="1" ref="E245" ca="1">_xlfn.IFS($B245="etf", _xll.YCI($A245, "ycharts_benchmark_index_symbol",TODAY()),$B245&lt;&gt;"etf",_xll.YCI("M:" &amp; $A245, "ycharts_benchmark_index_symbol",TODAY()))</f>
        <v>^RUTTR</v>
      </c>
      <c r="F245" t="str" cm="1">
        <f t="array" aca="1" ref="F245" ca="1">_xlfn.IFS($B245="etf", _xll.YCI($E245, "security_name",TODAY()),$B245&lt;&gt;"etf",_xll.YCI( $E245, "security_name",TODAY()))</f>
        <v>Russell 2000 Total Return</v>
      </c>
      <c r="G245" t="str" cm="1">
        <f t="array" aca="1" ref="G245" ca="1">_xlfn.IFS($B245="etf", _xll.YCI($A245, "prospectus_benchmark_index",TODAY()),$B245&lt;&gt;"etf",_xll.YCI("M:" &amp; $A245, "prospectus_benchmark_index",TODAY()))</f>
        <v>CRSP US Small Cap Value TR USD</v>
      </c>
      <c r="H245" s="2" cm="1">
        <f t="array" aca="1" ref="H245" ca="1">_xlfn.IFS($B245="etf", _xll.YCP($A245,"quarterly_total_return",'Database Query'!$E$14),$B245&lt;&gt;"etf",_xll.YCP("M:"&amp; $A245,"quarterly_total_return",'Database Query'!$E$14))</f>
        <v>-7.5310000000000004E-3</v>
      </c>
      <c r="I245" s="2" cm="1">
        <f t="array" aca="1" ref="I245" ca="1">-_xll.YCP($E245,"quarterly_return",'Database Query'!$E$14)+H245</f>
        <v>-1.0876E-2</v>
      </c>
      <c r="J245" s="2" cm="1">
        <f t="array" aca="1" ref="J245" ca="1">_xlfn.IFS($B245="etf", _xll.YCP($A245,"ytd_total_return",'Database Query'!$E$14),$B245&lt;&gt;"etf",_xll.YCP("M:"&amp; $A245,"ytd_total_return",'Database Query'!$E$14))</f>
        <v>0.12385500000000001</v>
      </c>
      <c r="K245" s="2" cm="1">
        <f t="array" aca="1" ref="K245" ca="1">-_xll.YCP($E245,"ytd_return",'Database Query'!$E$14)+J245</f>
        <v>8.4760000000000113E-3</v>
      </c>
      <c r="L245" s="2" cm="1">
        <f t="array" aca="1" ref="L245" ca="1">_xlfn.IFS($B245="etf", _xll.YCP($A245,"one_year_total_return",'Database Query'!$E$14),$B245&lt;&gt;"etf",_xll.YCP("M:"&amp; $A245,"one_year_total_return",'Database Query'!$E$14))</f>
        <v>0.12385500000000001</v>
      </c>
      <c r="M245" s="2" cm="1">
        <f t="array" aca="1" ref="M245" ca="1">-_xll.YCP($E245,"one_year_return",'Database Query'!$E$14)+L245</f>
        <v>8.4760000000000113E-3</v>
      </c>
      <c r="N245" s="2" cm="1">
        <f t="array" aca="1" ref="N245" ca="1">_xlfn.IFS($B245="etf", _xll.YCP($A245,"three_year_total_return",'Database Query'!$E$14),$B245&lt;&gt;"etf",_xll.YCP("M:"&amp; $A245,"three_year_total_return",'Database Query'!$E$14))</f>
        <v>0.18184700000000001</v>
      </c>
      <c r="O245" s="2" cm="1">
        <f t="array" aca="1" ref="O245" ca="1">-_xll.YCP($E245,"three_year_return",'Database Query'!$E$14)+N245</f>
        <v>0.144179</v>
      </c>
      <c r="P245" s="2" cm="1">
        <f t="array" aca="1" ref="P245" ca="1">_xlfn.IFS($B245="etf", _xll.YCP($A245,"five_year_total_return",'Database Query'!$E$14),$B245&lt;&gt;"etf",_xll.YCP("M:"&amp; $A245,"five_year_total_return",'Database Query'!$E$14))</f>
        <v>0.60222399999999998</v>
      </c>
      <c r="Q245" s="2" cm="1">
        <f t="array" aca="1" ref="Q245" ca="1">-_xll.YCP($E245,"five_year_return",'Database Query'!$E$14)+P245</f>
        <v>0.17296299999999998</v>
      </c>
    </row>
    <row r="246" spans="1:17" x14ac:dyDescent="0.25">
      <c r="A246" t="str">
        <v>VBTLX</v>
      </c>
      <c r="B246" t="e" cm="1">
        <f t="array" aca="1" ref="B246" ca="1">_xll.YCI(A246,"detailed_security_type",TODAY())</f>
        <v>#VALUE!</v>
      </c>
      <c r="C246" t="e" cm="1">
        <f t="array" aca="1" ref="C246" ca="1">_xlfn.IFS(B246="etf", _xll.YCI(A246, "security_name",TODAY()),B246&lt;&gt;"etf",_xll.YCI("M:" &amp; A246, "security_name",TODAY()))</f>
        <v>#VALUE!</v>
      </c>
      <c r="D246" t="e" cm="1">
        <f t="array" aca="1" ref="D246" ca="1">_xlfn.IFS($B246="etf", _xll.YCI($A246, "ycharts_benchmark_category",TODAY()),$B246&lt;&gt;"etf",_xll.YCI("M:" &amp; $A246, "ycharts_benchmark_category",TODAY()))</f>
        <v>#VALUE!</v>
      </c>
      <c r="E246" t="e" cm="1">
        <f t="array" aca="1" ref="E246" ca="1">_xlfn.IFS($B246="etf", _xll.YCI($A246, "ycharts_benchmark_index_symbol",TODAY()),$B246&lt;&gt;"etf",_xll.YCI("M:" &amp; $A246, "ycharts_benchmark_index_symbol",TODAY()))</f>
        <v>#VALUE!</v>
      </c>
      <c r="F246" t="e" cm="1">
        <f t="array" aca="1" ref="F246" ca="1">_xlfn.IFS($B246="etf", _xll.YCI($E246, "security_name",TODAY()),$B246&lt;&gt;"etf",_xll.YCI( $E246, "security_name",TODAY()))</f>
        <v>#VALUE!</v>
      </c>
      <c r="G246" t="e" cm="1">
        <f t="array" aca="1" ref="G246" ca="1">_xlfn.IFS($B246="etf", _xll.YCI($A246, "prospectus_benchmark_index",TODAY()),$B246&lt;&gt;"etf",_xll.YCI("M:" &amp; $A246, "prospectus_benchmark_index",TODAY()))</f>
        <v>#VALUE!</v>
      </c>
      <c r="H246" s="2" t="e" cm="1">
        <f t="array" aca="1" ref="H246" ca="1">_xlfn.IFS($B246="etf", _xll.YCP($A246,"quarterly_total_return",'Database Query'!$E$14),$B246&lt;&gt;"etf",_xll.YCP("M:"&amp; $A246,"quarterly_total_return",'Database Query'!$E$14))</f>
        <v>#VALUE!</v>
      </c>
      <c r="I246" s="2" t="e" cm="1">
        <f t="array" aca="1" ref="I246" ca="1">-_xll.YCP($E246,"quarterly_return",'Database Query'!$E$14)+H246</f>
        <v>#VALUE!</v>
      </c>
      <c r="J246" s="2" t="e" cm="1">
        <f t="array" aca="1" ref="J246" ca="1">_xlfn.IFS($B246="etf", _xll.YCP($A246,"ytd_total_return",'Database Query'!$E$14),$B246&lt;&gt;"etf",_xll.YCP("M:"&amp; $A246,"ytd_total_return",'Database Query'!$E$14))</f>
        <v>#VALUE!</v>
      </c>
      <c r="K246" s="2" t="e" cm="1">
        <f t="array" aca="1" ref="K246" ca="1">-_xll.YCP($E246,"ytd_return",'Database Query'!$E$14)+J246</f>
        <v>#VALUE!</v>
      </c>
      <c r="L246" s="2" t="e" cm="1">
        <f t="array" aca="1" ref="L246" ca="1">_xlfn.IFS($B246="etf", _xll.YCP($A246,"one_year_total_return",'Database Query'!$E$14),$B246&lt;&gt;"etf",_xll.YCP("M:"&amp; $A246,"one_year_total_return",'Database Query'!$E$14))</f>
        <v>#VALUE!</v>
      </c>
      <c r="M246" s="2" t="e" cm="1">
        <f t="array" aca="1" ref="M246" ca="1">-_xll.YCP($E246,"one_year_return",'Database Query'!$E$14)+L246</f>
        <v>#VALUE!</v>
      </c>
      <c r="N246" s="2" t="e" cm="1">
        <f t="array" aca="1" ref="N246" ca="1">_xlfn.IFS($B246="etf", _xll.YCP($A246,"three_year_total_return",'Database Query'!$E$14),$B246&lt;&gt;"etf",_xll.YCP("M:"&amp; $A246,"three_year_total_return",'Database Query'!$E$14))</f>
        <v>#VALUE!</v>
      </c>
      <c r="O246" s="2" t="e" cm="1">
        <f t="array" aca="1" ref="O246" ca="1">-_xll.YCP($E246,"three_year_return",'Database Query'!$E$14)+N246</f>
        <v>#VALUE!</v>
      </c>
      <c r="P246" s="2" t="e" cm="1">
        <f t="array" aca="1" ref="P246" ca="1">_xlfn.IFS($B246="etf", _xll.YCP($A246,"five_year_total_return",'Database Query'!$E$14),$B246&lt;&gt;"etf",_xll.YCP("M:"&amp; $A246,"five_year_total_return",'Database Query'!$E$14))</f>
        <v>#VALUE!</v>
      </c>
      <c r="Q246" s="2" t="e" cm="1">
        <f t="array" aca="1" ref="Q246" ca="1">-_xll.YCP($E246,"five_year_return",'Database Query'!$E$14)+P246</f>
        <v>#VALUE!</v>
      </c>
    </row>
    <row r="247" spans="1:17" x14ac:dyDescent="0.25">
      <c r="A247" t="str">
        <v>VCIT</v>
      </c>
      <c r="B247" t="str" cm="1">
        <f t="array" aca="1" ref="B247" ca="1">_xll.YCI(A247,"detailed_security_type",TODAY())</f>
        <v>etf</v>
      </c>
      <c r="C247" t="str" cm="1">
        <f t="array" aca="1" ref="C247" ca="1">_xlfn.IFS(B247="etf", _xll.YCI(A247, "security_name",TODAY()),B247&lt;&gt;"etf",_xll.YCI("M:" &amp; A247, "security_name",TODAY()))</f>
        <v>Vanguard Intermediate-Term Corp Bond Idx Fund ETF</v>
      </c>
      <c r="D247" t="str" cm="1">
        <f t="array" aca="1" ref="D247" ca="1">_xlfn.IFS($B247="etf", _xll.YCI($A247, "ycharts_benchmark_category",TODAY()),$B247&lt;&gt;"etf",_xll.YCI("M:" &amp; $A247, "ycharts_benchmark_category",TODAY()))</f>
        <v>US Corporate Bond</v>
      </c>
      <c r="E247" t="str" cm="1">
        <f t="array" aca="1" ref="E247" ca="1">_xlfn.IFS($B247="etf", _xll.YCI($A247, "ycharts_benchmark_index_symbol",TODAY()),$B247&lt;&gt;"etf",_xll.YCI("M:" &amp; $A247, "ycharts_benchmark_index_symbol",TODAY()))</f>
        <v>^BBUSCOTR</v>
      </c>
      <c r="F247" t="str" cm="1">
        <f t="array" aca="1" ref="F247" ca="1">_xlfn.IFS($B247="etf", _xll.YCI($E247, "security_name",TODAY()),$B247&lt;&gt;"etf",_xll.YCI( $E247, "security_name",TODAY()))</f>
        <v>Bloomberg US Corporate</v>
      </c>
      <c r="G247" t="str" cm="1">
        <f t="array" aca="1" ref="G247" ca="1">_xlfn.IFS($B247="etf", _xll.YCI($A247, "prospectus_benchmark_index",TODAY()),$B247&lt;&gt;"etf",_xll.YCI("M:" &amp; $A247, "prospectus_benchmark_index",TODAY()))</f>
        <v>Bloomberg US Credit Corp 5-10 Yr TR USD</v>
      </c>
      <c r="H247" s="2" cm="1">
        <f t="array" aca="1" ref="H247" ca="1">_xlfn.IFS($B247="etf", _xll.YCP($A247,"quarterly_total_return",'Database Query'!$E$14),$B247&lt;&gt;"etf",_xll.YCP("M:"&amp; $A247,"quarterly_total_return",'Database Query'!$E$14))</f>
        <v>-2.7088999999999998E-2</v>
      </c>
      <c r="I247" s="2" cm="1">
        <f t="array" aca="1" ref="I247" ca="1">-_xll.YCP($E247,"quarterly_return",'Database Query'!$E$14)+H247</f>
        <v>3.2650000000000005E-3</v>
      </c>
      <c r="J247" s="2" cm="1">
        <f t="array" aca="1" ref="J247" ca="1">_xlfn.IFS($B247="etf", _xll.YCP($A247,"ytd_total_return",'Database Query'!$E$14),$B247&lt;&gt;"etf",_xll.YCP("M:"&amp; $A247,"ytd_total_return",'Database Query'!$E$14))</f>
        <v>3.1940000000000003E-2</v>
      </c>
      <c r="K247" s="2" cm="1">
        <f t="array" aca="1" ref="K247" ca="1">-_xll.YCP($E247,"ytd_return",'Database Query'!$E$14)+J247</f>
        <v>1.0689000000000004E-2</v>
      </c>
      <c r="L247" s="2" cm="1">
        <f t="array" aca="1" ref="L247" ca="1">_xlfn.IFS($B247="etf", _xll.YCP($A247,"one_year_total_return",'Database Query'!$E$14),$B247&lt;&gt;"etf",_xll.YCP("M:"&amp; $A247,"one_year_total_return",'Database Query'!$E$14))</f>
        <v>3.1940000000000003E-2</v>
      </c>
      <c r="M247" s="2" cm="1">
        <f t="array" aca="1" ref="M247" ca="1">-_xll.YCP($E247,"one_year_return",'Database Query'!$E$14)+L247</f>
        <v>1.0689000000000004E-2</v>
      </c>
      <c r="N247" s="2" cm="1">
        <f t="array" aca="1" ref="N247" ca="1">_xlfn.IFS($B247="etf", _xll.YCP($A247,"three_year_total_return",'Database Query'!$E$14),$B247&lt;&gt;"etf",_xll.YCP("M:"&amp; $A247,"three_year_total_return",'Database Query'!$E$14))</f>
        <v>-3.2679E-2</v>
      </c>
      <c r="O247" s="2" cm="1">
        <f t="array" aca="1" ref="O247" ca="1">-_xll.YCP($E247,"three_year_return",'Database Query'!$E$14)+N247</f>
        <v>3.3748E-2</v>
      </c>
      <c r="P247" s="2" cm="1">
        <f t="array" aca="1" ref="P247" ca="1">_xlfn.IFS($B247="etf", _xll.YCP($A247,"five_year_total_return",'Database Query'!$E$14),$B247&lt;&gt;"etf",_xll.YCP("M:"&amp; $A247,"five_year_total_return",'Database Query'!$E$14))</f>
        <v>4.0106000000000003E-2</v>
      </c>
      <c r="Q247" s="2" cm="1">
        <f t="array" aca="1" ref="Q247" ca="1">-_xll.YCP($E247,"five_year_return",'Database Query'!$E$14)+P247</f>
        <v>2.4922000000000003E-2</v>
      </c>
    </row>
    <row r="248" spans="1:17" x14ac:dyDescent="0.25">
      <c r="A248" t="str">
        <v>VEMAX</v>
      </c>
      <c r="B248" t="e" cm="1">
        <f t="array" aca="1" ref="B248" ca="1">_xll.YCI(A248,"detailed_security_type",TODAY())</f>
        <v>#VALUE!</v>
      </c>
      <c r="C248" t="e" cm="1">
        <f t="array" aca="1" ref="C248" ca="1">_xlfn.IFS(B248="etf", _xll.YCI(A248, "security_name",TODAY()),B248&lt;&gt;"etf",_xll.YCI("M:" &amp; A248, "security_name",TODAY()))</f>
        <v>#VALUE!</v>
      </c>
      <c r="D248" t="e" cm="1">
        <f t="array" aca="1" ref="D248" ca="1">_xlfn.IFS($B248="etf", _xll.YCI($A248, "ycharts_benchmark_category",TODAY()),$B248&lt;&gt;"etf",_xll.YCI("M:" &amp; $A248, "ycharts_benchmark_category",TODAY()))</f>
        <v>#VALUE!</v>
      </c>
      <c r="E248" t="e" cm="1">
        <f t="array" aca="1" ref="E248" ca="1">_xlfn.IFS($B248="etf", _xll.YCI($A248, "ycharts_benchmark_index_symbol",TODAY()),$B248&lt;&gt;"etf",_xll.YCI("M:" &amp; $A248, "ycharts_benchmark_index_symbol",TODAY()))</f>
        <v>#VALUE!</v>
      </c>
      <c r="F248" t="e" cm="1">
        <f t="array" aca="1" ref="F248" ca="1">_xlfn.IFS($B248="etf", _xll.YCI($E248, "security_name",TODAY()),$B248&lt;&gt;"etf",_xll.YCI( $E248, "security_name",TODAY()))</f>
        <v>#VALUE!</v>
      </c>
      <c r="G248" t="e" cm="1">
        <f t="array" aca="1" ref="G248" ca="1">_xlfn.IFS($B248="etf", _xll.YCI($A248, "prospectus_benchmark_index",TODAY()),$B248&lt;&gt;"etf",_xll.YCI("M:" &amp; $A248, "prospectus_benchmark_index",TODAY()))</f>
        <v>#VALUE!</v>
      </c>
      <c r="H248" s="2" t="e" cm="1">
        <f t="array" aca="1" ref="H248" ca="1">_xlfn.IFS($B248="etf", _xll.YCP($A248,"quarterly_total_return",'Database Query'!$E$14),$B248&lt;&gt;"etf",_xll.YCP("M:"&amp; $A248,"quarterly_total_return",'Database Query'!$E$14))</f>
        <v>#VALUE!</v>
      </c>
      <c r="I248" s="2" t="e" cm="1">
        <f t="array" aca="1" ref="I248" ca="1">-_xll.YCP($E248,"quarterly_return",'Database Query'!$E$14)+H248</f>
        <v>#VALUE!</v>
      </c>
      <c r="J248" s="2" t="e" cm="1">
        <f t="array" aca="1" ref="J248" ca="1">_xlfn.IFS($B248="etf", _xll.YCP($A248,"ytd_total_return",'Database Query'!$E$14),$B248&lt;&gt;"etf",_xll.YCP("M:"&amp; $A248,"ytd_total_return",'Database Query'!$E$14))</f>
        <v>#VALUE!</v>
      </c>
      <c r="K248" s="2" t="e" cm="1">
        <f t="array" aca="1" ref="K248" ca="1">-_xll.YCP($E248,"ytd_return",'Database Query'!$E$14)+J248</f>
        <v>#VALUE!</v>
      </c>
      <c r="L248" s="2" t="e" cm="1">
        <f t="array" aca="1" ref="L248" ca="1">_xlfn.IFS($B248="etf", _xll.YCP($A248,"one_year_total_return",'Database Query'!$E$14),$B248&lt;&gt;"etf",_xll.YCP("M:"&amp; $A248,"one_year_total_return",'Database Query'!$E$14))</f>
        <v>#VALUE!</v>
      </c>
      <c r="M248" s="2" t="e" cm="1">
        <f t="array" aca="1" ref="M248" ca="1">-_xll.YCP($E248,"one_year_return",'Database Query'!$E$14)+L248</f>
        <v>#VALUE!</v>
      </c>
      <c r="N248" s="2" t="e" cm="1">
        <f t="array" aca="1" ref="N248" ca="1">_xlfn.IFS($B248="etf", _xll.YCP($A248,"three_year_total_return",'Database Query'!$E$14),$B248&lt;&gt;"etf",_xll.YCP("M:"&amp; $A248,"three_year_total_return",'Database Query'!$E$14))</f>
        <v>#VALUE!</v>
      </c>
      <c r="O248" s="2" t="e" cm="1">
        <f t="array" aca="1" ref="O248" ca="1">-_xll.YCP($E248,"three_year_return",'Database Query'!$E$14)+N248</f>
        <v>#VALUE!</v>
      </c>
      <c r="P248" s="2" t="e" cm="1">
        <f t="array" aca="1" ref="P248" ca="1">_xlfn.IFS($B248="etf", _xll.YCP($A248,"five_year_total_return",'Database Query'!$E$14),$B248&lt;&gt;"etf",_xll.YCP("M:"&amp; $A248,"five_year_total_return",'Database Query'!$E$14))</f>
        <v>#VALUE!</v>
      </c>
      <c r="Q248" s="2" t="e" cm="1">
        <f t="array" aca="1" ref="Q248" ca="1">-_xll.YCP($E248,"five_year_return",'Database Query'!$E$14)+P248</f>
        <v>#VALUE!</v>
      </c>
    </row>
    <row r="249" spans="1:17" x14ac:dyDescent="0.25">
      <c r="A249" t="str">
        <v>VENAX</v>
      </c>
      <c r="B249" t="e" cm="1">
        <f t="array" aca="1" ref="B249" ca="1">_xll.YCI(A249,"detailed_security_type",TODAY())</f>
        <v>#VALUE!</v>
      </c>
      <c r="C249" t="e" cm="1">
        <f t="array" aca="1" ref="C249" ca="1">_xlfn.IFS(B249="etf", _xll.YCI(A249, "security_name",TODAY()),B249&lt;&gt;"etf",_xll.YCI("M:" &amp; A249, "security_name",TODAY()))</f>
        <v>#VALUE!</v>
      </c>
      <c r="D249" t="e" cm="1">
        <f t="array" aca="1" ref="D249" ca="1">_xlfn.IFS($B249="etf", _xll.YCI($A249, "ycharts_benchmark_category",TODAY()),$B249&lt;&gt;"etf",_xll.YCI("M:" &amp; $A249, "ycharts_benchmark_category",TODAY()))</f>
        <v>#VALUE!</v>
      </c>
      <c r="E249" t="e" cm="1">
        <f t="array" aca="1" ref="E249" ca="1">_xlfn.IFS($B249="etf", _xll.YCI($A249, "ycharts_benchmark_index_symbol",TODAY()),$B249&lt;&gt;"etf",_xll.YCI("M:" &amp; $A249, "ycharts_benchmark_index_symbol",TODAY()))</f>
        <v>#VALUE!</v>
      </c>
      <c r="F249" t="e" cm="1">
        <f t="array" aca="1" ref="F249" ca="1">_xlfn.IFS($B249="etf", _xll.YCI($E249, "security_name",TODAY()),$B249&lt;&gt;"etf",_xll.YCI( $E249, "security_name",TODAY()))</f>
        <v>#VALUE!</v>
      </c>
      <c r="G249" t="e" cm="1">
        <f t="array" aca="1" ref="G249" ca="1">_xlfn.IFS($B249="etf", _xll.YCI($A249, "prospectus_benchmark_index",TODAY()),$B249&lt;&gt;"etf",_xll.YCI("M:" &amp; $A249, "prospectus_benchmark_index",TODAY()))</f>
        <v>#VALUE!</v>
      </c>
      <c r="H249" s="2" t="e" cm="1">
        <f t="array" aca="1" ref="H249" ca="1">_xlfn.IFS($B249="etf", _xll.YCP($A249,"quarterly_total_return",'Database Query'!$E$14),$B249&lt;&gt;"etf",_xll.YCP("M:"&amp; $A249,"quarterly_total_return",'Database Query'!$E$14))</f>
        <v>#VALUE!</v>
      </c>
      <c r="I249" s="2" t="e" cm="1">
        <f t="array" aca="1" ref="I249" ca="1">-_xll.YCP($E249,"quarterly_return",'Database Query'!$E$14)+H249</f>
        <v>#VALUE!</v>
      </c>
      <c r="J249" s="2" t="e" cm="1">
        <f t="array" aca="1" ref="J249" ca="1">_xlfn.IFS($B249="etf", _xll.YCP($A249,"ytd_total_return",'Database Query'!$E$14),$B249&lt;&gt;"etf",_xll.YCP("M:"&amp; $A249,"ytd_total_return",'Database Query'!$E$14))</f>
        <v>#VALUE!</v>
      </c>
      <c r="K249" s="2" t="e" cm="1">
        <f t="array" aca="1" ref="K249" ca="1">-_xll.YCP($E249,"ytd_return",'Database Query'!$E$14)+J249</f>
        <v>#VALUE!</v>
      </c>
      <c r="L249" s="2" t="e" cm="1">
        <f t="array" aca="1" ref="L249" ca="1">_xlfn.IFS($B249="etf", _xll.YCP($A249,"one_year_total_return",'Database Query'!$E$14),$B249&lt;&gt;"etf",_xll.YCP("M:"&amp; $A249,"one_year_total_return",'Database Query'!$E$14))</f>
        <v>#VALUE!</v>
      </c>
      <c r="M249" s="2" t="e" cm="1">
        <f t="array" aca="1" ref="M249" ca="1">-_xll.YCP($E249,"one_year_return",'Database Query'!$E$14)+L249</f>
        <v>#VALUE!</v>
      </c>
      <c r="N249" s="2" t="e" cm="1">
        <f t="array" aca="1" ref="N249" ca="1">_xlfn.IFS($B249="etf", _xll.YCP($A249,"three_year_total_return",'Database Query'!$E$14),$B249&lt;&gt;"etf",_xll.YCP("M:"&amp; $A249,"three_year_total_return",'Database Query'!$E$14))</f>
        <v>#VALUE!</v>
      </c>
      <c r="O249" s="2" t="e" cm="1">
        <f t="array" aca="1" ref="O249" ca="1">-_xll.YCP($E249,"three_year_return",'Database Query'!$E$14)+N249</f>
        <v>#VALUE!</v>
      </c>
      <c r="P249" s="2" t="e" cm="1">
        <f t="array" aca="1" ref="P249" ca="1">_xlfn.IFS($B249="etf", _xll.YCP($A249,"five_year_total_return",'Database Query'!$E$14),$B249&lt;&gt;"etf",_xll.YCP("M:"&amp; $A249,"five_year_total_return",'Database Query'!$E$14))</f>
        <v>#VALUE!</v>
      </c>
      <c r="Q249" s="2" t="e" cm="1">
        <f t="array" aca="1" ref="Q249" ca="1">-_xll.YCP($E249,"five_year_return",'Database Query'!$E$14)+P249</f>
        <v>#VALUE!</v>
      </c>
    </row>
    <row r="250" spans="1:17" x14ac:dyDescent="0.25">
      <c r="A250" t="str">
        <v>VESGX</v>
      </c>
      <c r="B250" t="e" cm="1">
        <f t="array" aca="1" ref="B250" ca="1">_xll.YCI(A250,"detailed_security_type",TODAY())</f>
        <v>#VALUE!</v>
      </c>
      <c r="C250" t="e" cm="1">
        <f t="array" aca="1" ref="C250" ca="1">_xlfn.IFS(B250="etf", _xll.YCI(A250, "security_name",TODAY()),B250&lt;&gt;"etf",_xll.YCI("M:" &amp; A250, "security_name",TODAY()))</f>
        <v>#VALUE!</v>
      </c>
      <c r="D250" t="e" cm="1">
        <f t="array" aca="1" ref="D250" ca="1">_xlfn.IFS($B250="etf", _xll.YCI($A250, "ycharts_benchmark_category",TODAY()),$B250&lt;&gt;"etf",_xll.YCI("M:" &amp; $A250, "ycharts_benchmark_category",TODAY()))</f>
        <v>#VALUE!</v>
      </c>
      <c r="E250" t="e" cm="1">
        <f t="array" aca="1" ref="E250" ca="1">_xlfn.IFS($B250="etf", _xll.YCI($A250, "ycharts_benchmark_index_symbol",TODAY()),$B250&lt;&gt;"etf",_xll.YCI("M:" &amp; $A250, "ycharts_benchmark_index_symbol",TODAY()))</f>
        <v>#VALUE!</v>
      </c>
      <c r="F250" t="e" cm="1">
        <f t="array" aca="1" ref="F250" ca="1">_xlfn.IFS($B250="etf", _xll.YCI($E250, "security_name",TODAY()),$B250&lt;&gt;"etf",_xll.YCI( $E250, "security_name",TODAY()))</f>
        <v>#VALUE!</v>
      </c>
      <c r="G250" t="e" cm="1">
        <f t="array" aca="1" ref="G250" ca="1">_xlfn.IFS($B250="etf", _xll.YCI($A250, "prospectus_benchmark_index",TODAY()),$B250&lt;&gt;"etf",_xll.YCI("M:" &amp; $A250, "prospectus_benchmark_index",TODAY()))</f>
        <v>#VALUE!</v>
      </c>
      <c r="H250" s="2" t="e" cm="1">
        <f t="array" aca="1" ref="H250" ca="1">_xlfn.IFS($B250="etf", _xll.YCP($A250,"quarterly_total_return",'Database Query'!$E$14),$B250&lt;&gt;"etf",_xll.YCP("M:"&amp; $A250,"quarterly_total_return",'Database Query'!$E$14))</f>
        <v>#VALUE!</v>
      </c>
      <c r="I250" s="2" t="e" cm="1">
        <f t="array" aca="1" ref="I250" ca="1">-_xll.YCP($E250,"quarterly_return",'Database Query'!$E$14)+H250</f>
        <v>#VALUE!</v>
      </c>
      <c r="J250" s="2" t="e" cm="1">
        <f t="array" aca="1" ref="J250" ca="1">_xlfn.IFS($B250="etf", _xll.YCP($A250,"ytd_total_return",'Database Query'!$E$14),$B250&lt;&gt;"etf",_xll.YCP("M:"&amp; $A250,"ytd_total_return",'Database Query'!$E$14))</f>
        <v>#VALUE!</v>
      </c>
      <c r="K250" s="2" t="e" cm="1">
        <f t="array" aca="1" ref="K250" ca="1">-_xll.YCP($E250,"ytd_return",'Database Query'!$E$14)+J250</f>
        <v>#VALUE!</v>
      </c>
      <c r="L250" s="2" t="e" cm="1">
        <f t="array" aca="1" ref="L250" ca="1">_xlfn.IFS($B250="etf", _xll.YCP($A250,"one_year_total_return",'Database Query'!$E$14),$B250&lt;&gt;"etf",_xll.YCP("M:"&amp; $A250,"one_year_total_return",'Database Query'!$E$14))</f>
        <v>#VALUE!</v>
      </c>
      <c r="M250" s="2" t="e" cm="1">
        <f t="array" aca="1" ref="M250" ca="1">-_xll.YCP($E250,"one_year_return",'Database Query'!$E$14)+L250</f>
        <v>#VALUE!</v>
      </c>
      <c r="N250" s="2" t="e" cm="1">
        <f t="array" aca="1" ref="N250" ca="1">_xlfn.IFS($B250="etf", _xll.YCP($A250,"three_year_total_return",'Database Query'!$E$14),$B250&lt;&gt;"etf",_xll.YCP("M:"&amp; $A250,"three_year_total_return",'Database Query'!$E$14))</f>
        <v>#VALUE!</v>
      </c>
      <c r="O250" s="2" t="e" cm="1">
        <f t="array" aca="1" ref="O250" ca="1">-_xll.YCP($E250,"three_year_return",'Database Query'!$E$14)+N250</f>
        <v>#VALUE!</v>
      </c>
      <c r="P250" s="2" t="e" cm="1">
        <f t="array" aca="1" ref="P250" ca="1">_xlfn.IFS($B250="etf", _xll.YCP($A250,"five_year_total_return",'Database Query'!$E$14),$B250&lt;&gt;"etf",_xll.YCP("M:"&amp; $A250,"five_year_total_return",'Database Query'!$E$14))</f>
        <v>#VALUE!</v>
      </c>
      <c r="Q250" s="2" t="e" cm="1">
        <f t="array" aca="1" ref="Q250" ca="1">-_xll.YCP($E250,"five_year_return",'Database Query'!$E$14)+P250</f>
        <v>#VALUE!</v>
      </c>
    </row>
    <row r="251" spans="1:17" x14ac:dyDescent="0.25">
      <c r="A251" t="str">
        <v>VFIAX</v>
      </c>
      <c r="B251" t="e" cm="1">
        <f t="array" aca="1" ref="B251" ca="1">_xll.YCI(A251,"detailed_security_type",TODAY())</f>
        <v>#VALUE!</v>
      </c>
      <c r="C251" t="e" cm="1">
        <f t="array" aca="1" ref="C251" ca="1">_xlfn.IFS(B251="etf", _xll.YCI(A251, "security_name",TODAY()),B251&lt;&gt;"etf",_xll.YCI("M:" &amp; A251, "security_name",TODAY()))</f>
        <v>#VALUE!</v>
      </c>
      <c r="D251" t="e" cm="1">
        <f t="array" aca="1" ref="D251" ca="1">_xlfn.IFS($B251="etf", _xll.YCI($A251, "ycharts_benchmark_category",TODAY()),$B251&lt;&gt;"etf",_xll.YCI("M:" &amp; $A251, "ycharts_benchmark_category",TODAY()))</f>
        <v>#VALUE!</v>
      </c>
      <c r="E251" t="e" cm="1">
        <f t="array" aca="1" ref="E251" ca="1">_xlfn.IFS($B251="etf", _xll.YCI($A251, "ycharts_benchmark_index_symbol",TODAY()),$B251&lt;&gt;"etf",_xll.YCI("M:" &amp; $A251, "ycharts_benchmark_index_symbol",TODAY()))</f>
        <v>#VALUE!</v>
      </c>
      <c r="F251" t="e" cm="1">
        <f t="array" aca="1" ref="F251" ca="1">_xlfn.IFS($B251="etf", _xll.YCI($E251, "security_name",TODAY()),$B251&lt;&gt;"etf",_xll.YCI( $E251, "security_name",TODAY()))</f>
        <v>#VALUE!</v>
      </c>
      <c r="G251" t="e" cm="1">
        <f t="array" aca="1" ref="G251" ca="1">_xlfn.IFS($B251="etf", _xll.YCI($A251, "prospectus_benchmark_index",TODAY()),$B251&lt;&gt;"etf",_xll.YCI("M:" &amp; $A251, "prospectus_benchmark_index",TODAY()))</f>
        <v>#VALUE!</v>
      </c>
      <c r="H251" s="2" t="e" cm="1">
        <f t="array" aca="1" ref="H251" ca="1">_xlfn.IFS($B251="etf", _xll.YCP($A251,"quarterly_total_return",'Database Query'!$E$14),$B251&lt;&gt;"etf",_xll.YCP("M:"&amp; $A251,"quarterly_total_return",'Database Query'!$E$14))</f>
        <v>#VALUE!</v>
      </c>
      <c r="I251" s="2" t="e" cm="1">
        <f t="array" aca="1" ref="I251" ca="1">-_xll.YCP($E251,"quarterly_return",'Database Query'!$E$14)+H251</f>
        <v>#VALUE!</v>
      </c>
      <c r="J251" s="2" t="e" cm="1">
        <f t="array" aca="1" ref="J251" ca="1">_xlfn.IFS($B251="etf", _xll.YCP($A251,"ytd_total_return",'Database Query'!$E$14),$B251&lt;&gt;"etf",_xll.YCP("M:"&amp; $A251,"ytd_total_return",'Database Query'!$E$14))</f>
        <v>#VALUE!</v>
      </c>
      <c r="K251" s="2" t="e" cm="1">
        <f t="array" aca="1" ref="K251" ca="1">-_xll.YCP($E251,"ytd_return",'Database Query'!$E$14)+J251</f>
        <v>#VALUE!</v>
      </c>
      <c r="L251" s="2" t="e" cm="1">
        <f t="array" aca="1" ref="L251" ca="1">_xlfn.IFS($B251="etf", _xll.YCP($A251,"one_year_total_return",'Database Query'!$E$14),$B251&lt;&gt;"etf",_xll.YCP("M:"&amp; $A251,"one_year_total_return",'Database Query'!$E$14))</f>
        <v>#VALUE!</v>
      </c>
      <c r="M251" s="2" t="e" cm="1">
        <f t="array" aca="1" ref="M251" ca="1">-_xll.YCP($E251,"one_year_return",'Database Query'!$E$14)+L251</f>
        <v>#VALUE!</v>
      </c>
      <c r="N251" s="2" t="e" cm="1">
        <f t="array" aca="1" ref="N251" ca="1">_xlfn.IFS($B251="etf", _xll.YCP($A251,"three_year_total_return",'Database Query'!$E$14),$B251&lt;&gt;"etf",_xll.YCP("M:"&amp; $A251,"three_year_total_return",'Database Query'!$E$14))</f>
        <v>#VALUE!</v>
      </c>
      <c r="O251" s="2" t="e" cm="1">
        <f t="array" aca="1" ref="O251" ca="1">-_xll.YCP($E251,"three_year_return",'Database Query'!$E$14)+N251</f>
        <v>#VALUE!</v>
      </c>
      <c r="P251" s="2" t="e" cm="1">
        <f t="array" aca="1" ref="P251" ca="1">_xlfn.IFS($B251="etf", _xll.YCP($A251,"five_year_total_return",'Database Query'!$E$14),$B251&lt;&gt;"etf",_xll.YCP("M:"&amp; $A251,"five_year_total_return",'Database Query'!$E$14))</f>
        <v>#VALUE!</v>
      </c>
      <c r="Q251" s="2" t="e" cm="1">
        <f t="array" aca="1" ref="Q251" ca="1">-_xll.YCP($E251,"five_year_return",'Database Query'!$E$14)+P251</f>
        <v>#VALUE!</v>
      </c>
    </row>
    <row r="252" spans="1:17" x14ac:dyDescent="0.25">
      <c r="A252" t="str">
        <v>VFIIX</v>
      </c>
      <c r="B252" t="e" cm="1">
        <f t="array" aca="1" ref="B252" ca="1">_xll.YCI(A252,"detailed_security_type",TODAY())</f>
        <v>#VALUE!</v>
      </c>
      <c r="C252" t="e" cm="1">
        <f t="array" aca="1" ref="C252" ca="1">_xlfn.IFS(B252="etf", _xll.YCI(A252, "security_name",TODAY()),B252&lt;&gt;"etf",_xll.YCI("M:" &amp; A252, "security_name",TODAY()))</f>
        <v>#VALUE!</v>
      </c>
      <c r="D252" t="e" cm="1">
        <f t="array" aca="1" ref="D252" ca="1">_xlfn.IFS($B252="etf", _xll.YCI($A252, "ycharts_benchmark_category",TODAY()),$B252&lt;&gt;"etf",_xll.YCI("M:" &amp; $A252, "ycharts_benchmark_category",TODAY()))</f>
        <v>#VALUE!</v>
      </c>
      <c r="E252" t="e" cm="1">
        <f t="array" aca="1" ref="E252" ca="1">_xlfn.IFS($B252="etf", _xll.YCI($A252, "ycharts_benchmark_index_symbol",TODAY()),$B252&lt;&gt;"etf",_xll.YCI("M:" &amp; $A252, "ycharts_benchmark_index_symbol",TODAY()))</f>
        <v>#VALUE!</v>
      </c>
      <c r="F252" t="e" cm="1">
        <f t="array" aca="1" ref="F252" ca="1">_xlfn.IFS($B252="etf", _xll.YCI($E252, "security_name",TODAY()),$B252&lt;&gt;"etf",_xll.YCI( $E252, "security_name",TODAY()))</f>
        <v>#VALUE!</v>
      </c>
      <c r="G252" t="e" cm="1">
        <f t="array" aca="1" ref="G252" ca="1">_xlfn.IFS($B252="etf", _xll.YCI($A252, "prospectus_benchmark_index",TODAY()),$B252&lt;&gt;"etf",_xll.YCI("M:" &amp; $A252, "prospectus_benchmark_index",TODAY()))</f>
        <v>#VALUE!</v>
      </c>
      <c r="H252" s="2" t="e" cm="1">
        <f t="array" aca="1" ref="H252" ca="1">_xlfn.IFS($B252="etf", _xll.YCP($A252,"quarterly_total_return",'Database Query'!$E$14),$B252&lt;&gt;"etf",_xll.YCP("M:"&amp; $A252,"quarterly_total_return",'Database Query'!$E$14))</f>
        <v>#VALUE!</v>
      </c>
      <c r="I252" s="2" t="e" cm="1">
        <f t="array" aca="1" ref="I252" ca="1">-_xll.YCP($E252,"quarterly_return",'Database Query'!$E$14)+H252</f>
        <v>#VALUE!</v>
      </c>
      <c r="J252" s="2" t="e" cm="1">
        <f t="array" aca="1" ref="J252" ca="1">_xlfn.IFS($B252="etf", _xll.YCP($A252,"ytd_total_return",'Database Query'!$E$14),$B252&lt;&gt;"etf",_xll.YCP("M:"&amp; $A252,"ytd_total_return",'Database Query'!$E$14))</f>
        <v>#VALUE!</v>
      </c>
      <c r="K252" s="2" t="e" cm="1">
        <f t="array" aca="1" ref="K252" ca="1">-_xll.YCP($E252,"ytd_return",'Database Query'!$E$14)+J252</f>
        <v>#VALUE!</v>
      </c>
      <c r="L252" s="2" t="e" cm="1">
        <f t="array" aca="1" ref="L252" ca="1">_xlfn.IFS($B252="etf", _xll.YCP($A252,"one_year_total_return",'Database Query'!$E$14),$B252&lt;&gt;"etf",_xll.YCP("M:"&amp; $A252,"one_year_total_return",'Database Query'!$E$14))</f>
        <v>#VALUE!</v>
      </c>
      <c r="M252" s="2" t="e" cm="1">
        <f t="array" aca="1" ref="M252" ca="1">-_xll.YCP($E252,"one_year_return",'Database Query'!$E$14)+L252</f>
        <v>#VALUE!</v>
      </c>
      <c r="N252" s="2" t="e" cm="1">
        <f t="array" aca="1" ref="N252" ca="1">_xlfn.IFS($B252="etf", _xll.YCP($A252,"three_year_total_return",'Database Query'!$E$14),$B252&lt;&gt;"etf",_xll.YCP("M:"&amp; $A252,"three_year_total_return",'Database Query'!$E$14))</f>
        <v>#VALUE!</v>
      </c>
      <c r="O252" s="2" t="e" cm="1">
        <f t="array" aca="1" ref="O252" ca="1">-_xll.YCP($E252,"three_year_return",'Database Query'!$E$14)+N252</f>
        <v>#VALUE!</v>
      </c>
      <c r="P252" s="2" t="e" cm="1">
        <f t="array" aca="1" ref="P252" ca="1">_xlfn.IFS($B252="etf", _xll.YCP($A252,"five_year_total_return",'Database Query'!$E$14),$B252&lt;&gt;"etf",_xll.YCP("M:"&amp; $A252,"five_year_total_return",'Database Query'!$E$14))</f>
        <v>#VALUE!</v>
      </c>
      <c r="Q252" s="2" t="e" cm="1">
        <f t="array" aca="1" ref="Q252" ca="1">-_xll.YCP($E252,"five_year_return",'Database Query'!$E$14)+P252</f>
        <v>#VALUE!</v>
      </c>
    </row>
    <row r="253" spans="1:17" x14ac:dyDescent="0.25">
      <c r="A253" t="str">
        <v>VFSTX</v>
      </c>
      <c r="B253" t="e" cm="1">
        <f t="array" aca="1" ref="B253" ca="1">_xll.YCI(A253,"detailed_security_type",TODAY())</f>
        <v>#VALUE!</v>
      </c>
      <c r="C253" t="e" cm="1">
        <f t="array" aca="1" ref="C253" ca="1">_xlfn.IFS(B253="etf", _xll.YCI(A253, "security_name",TODAY()),B253&lt;&gt;"etf",_xll.YCI("M:" &amp; A253, "security_name",TODAY()))</f>
        <v>#VALUE!</v>
      </c>
      <c r="D253" t="e" cm="1">
        <f t="array" aca="1" ref="D253" ca="1">_xlfn.IFS($B253="etf", _xll.YCI($A253, "ycharts_benchmark_category",TODAY()),$B253&lt;&gt;"etf",_xll.YCI("M:" &amp; $A253, "ycharts_benchmark_category",TODAY()))</f>
        <v>#VALUE!</v>
      </c>
      <c r="E253" t="e" cm="1">
        <f t="array" aca="1" ref="E253" ca="1">_xlfn.IFS($B253="etf", _xll.YCI($A253, "ycharts_benchmark_index_symbol",TODAY()),$B253&lt;&gt;"etf",_xll.YCI("M:" &amp; $A253, "ycharts_benchmark_index_symbol",TODAY()))</f>
        <v>#VALUE!</v>
      </c>
      <c r="F253" t="e" cm="1">
        <f t="array" aca="1" ref="F253" ca="1">_xlfn.IFS($B253="etf", _xll.YCI($E253, "security_name",TODAY()),$B253&lt;&gt;"etf",_xll.YCI( $E253, "security_name",TODAY()))</f>
        <v>#VALUE!</v>
      </c>
      <c r="G253" t="e" cm="1">
        <f t="array" aca="1" ref="G253" ca="1">_xlfn.IFS($B253="etf", _xll.YCI($A253, "prospectus_benchmark_index",TODAY()),$B253&lt;&gt;"etf",_xll.YCI("M:" &amp; $A253, "prospectus_benchmark_index",TODAY()))</f>
        <v>#VALUE!</v>
      </c>
      <c r="H253" s="2" t="e" cm="1">
        <f t="array" aca="1" ref="H253" ca="1">_xlfn.IFS($B253="etf", _xll.YCP($A253,"quarterly_total_return",'Database Query'!$E$14),$B253&lt;&gt;"etf",_xll.YCP("M:"&amp; $A253,"quarterly_total_return",'Database Query'!$E$14))</f>
        <v>#VALUE!</v>
      </c>
      <c r="I253" s="2" t="e" cm="1">
        <f t="array" aca="1" ref="I253" ca="1">-_xll.YCP($E253,"quarterly_return",'Database Query'!$E$14)+H253</f>
        <v>#VALUE!</v>
      </c>
      <c r="J253" s="2" t="e" cm="1">
        <f t="array" aca="1" ref="J253" ca="1">_xlfn.IFS($B253="etf", _xll.YCP($A253,"ytd_total_return",'Database Query'!$E$14),$B253&lt;&gt;"etf",_xll.YCP("M:"&amp; $A253,"ytd_total_return",'Database Query'!$E$14))</f>
        <v>#VALUE!</v>
      </c>
      <c r="K253" s="2" t="e" cm="1">
        <f t="array" aca="1" ref="K253" ca="1">-_xll.YCP($E253,"ytd_return",'Database Query'!$E$14)+J253</f>
        <v>#VALUE!</v>
      </c>
      <c r="L253" s="2" t="e" cm="1">
        <f t="array" aca="1" ref="L253" ca="1">_xlfn.IFS($B253="etf", _xll.YCP($A253,"one_year_total_return",'Database Query'!$E$14),$B253&lt;&gt;"etf",_xll.YCP("M:"&amp; $A253,"one_year_total_return",'Database Query'!$E$14))</f>
        <v>#VALUE!</v>
      </c>
      <c r="M253" s="2" t="e" cm="1">
        <f t="array" aca="1" ref="M253" ca="1">-_xll.YCP($E253,"one_year_return",'Database Query'!$E$14)+L253</f>
        <v>#VALUE!</v>
      </c>
      <c r="N253" s="2" t="e" cm="1">
        <f t="array" aca="1" ref="N253" ca="1">_xlfn.IFS($B253="etf", _xll.YCP($A253,"three_year_total_return",'Database Query'!$E$14),$B253&lt;&gt;"etf",_xll.YCP("M:"&amp; $A253,"three_year_total_return",'Database Query'!$E$14))</f>
        <v>#VALUE!</v>
      </c>
      <c r="O253" s="2" t="e" cm="1">
        <f t="array" aca="1" ref="O253" ca="1">-_xll.YCP($E253,"three_year_return",'Database Query'!$E$14)+N253</f>
        <v>#VALUE!</v>
      </c>
      <c r="P253" s="2" t="e" cm="1">
        <f t="array" aca="1" ref="P253" ca="1">_xlfn.IFS($B253="etf", _xll.YCP($A253,"five_year_total_return",'Database Query'!$E$14),$B253&lt;&gt;"etf",_xll.YCP("M:"&amp; $A253,"five_year_total_return",'Database Query'!$E$14))</f>
        <v>#VALUE!</v>
      </c>
      <c r="Q253" s="2" t="e" cm="1">
        <f t="array" aca="1" ref="Q253" ca="1">-_xll.YCP($E253,"five_year_return",'Database Query'!$E$14)+P253</f>
        <v>#VALUE!</v>
      </c>
    </row>
    <row r="254" spans="1:17" x14ac:dyDescent="0.25">
      <c r="A254" t="str">
        <v>VFSUX</v>
      </c>
      <c r="B254" t="e" cm="1">
        <f t="array" aca="1" ref="B254" ca="1">_xll.YCI(A254,"detailed_security_type",TODAY())</f>
        <v>#VALUE!</v>
      </c>
      <c r="C254" t="e" cm="1">
        <f t="array" aca="1" ref="C254" ca="1">_xlfn.IFS(B254="etf", _xll.YCI(A254, "security_name",TODAY()),B254&lt;&gt;"etf",_xll.YCI("M:" &amp; A254, "security_name",TODAY()))</f>
        <v>#VALUE!</v>
      </c>
      <c r="D254" t="e" cm="1">
        <f t="array" aca="1" ref="D254" ca="1">_xlfn.IFS($B254="etf", _xll.YCI($A254, "ycharts_benchmark_category",TODAY()),$B254&lt;&gt;"etf",_xll.YCI("M:" &amp; $A254, "ycharts_benchmark_category",TODAY()))</f>
        <v>#VALUE!</v>
      </c>
      <c r="E254" t="e" cm="1">
        <f t="array" aca="1" ref="E254" ca="1">_xlfn.IFS($B254="etf", _xll.YCI($A254, "ycharts_benchmark_index_symbol",TODAY()),$B254&lt;&gt;"etf",_xll.YCI("M:" &amp; $A254, "ycharts_benchmark_index_symbol",TODAY()))</f>
        <v>#VALUE!</v>
      </c>
      <c r="F254" t="e" cm="1">
        <f t="array" aca="1" ref="F254" ca="1">_xlfn.IFS($B254="etf", _xll.YCI($E254, "security_name",TODAY()),$B254&lt;&gt;"etf",_xll.YCI( $E254, "security_name",TODAY()))</f>
        <v>#VALUE!</v>
      </c>
      <c r="G254" t="e" cm="1">
        <f t="array" aca="1" ref="G254" ca="1">_xlfn.IFS($B254="etf", _xll.YCI($A254, "prospectus_benchmark_index",TODAY()),$B254&lt;&gt;"etf",_xll.YCI("M:" &amp; $A254, "prospectus_benchmark_index",TODAY()))</f>
        <v>#VALUE!</v>
      </c>
      <c r="H254" s="2" t="e" cm="1">
        <f t="array" aca="1" ref="H254" ca="1">_xlfn.IFS($B254="etf", _xll.YCP($A254,"quarterly_total_return",'Database Query'!$E$14),$B254&lt;&gt;"etf",_xll.YCP("M:"&amp; $A254,"quarterly_total_return",'Database Query'!$E$14))</f>
        <v>#VALUE!</v>
      </c>
      <c r="I254" s="2" t="e" cm="1">
        <f t="array" aca="1" ref="I254" ca="1">-_xll.YCP($E254,"quarterly_return",'Database Query'!$E$14)+H254</f>
        <v>#VALUE!</v>
      </c>
      <c r="J254" s="2" t="e" cm="1">
        <f t="array" aca="1" ref="J254" ca="1">_xlfn.IFS($B254="etf", _xll.YCP($A254,"ytd_total_return",'Database Query'!$E$14),$B254&lt;&gt;"etf",_xll.YCP("M:"&amp; $A254,"ytd_total_return",'Database Query'!$E$14))</f>
        <v>#VALUE!</v>
      </c>
      <c r="K254" s="2" t="e" cm="1">
        <f t="array" aca="1" ref="K254" ca="1">-_xll.YCP($E254,"ytd_return",'Database Query'!$E$14)+J254</f>
        <v>#VALUE!</v>
      </c>
      <c r="L254" s="2" t="e" cm="1">
        <f t="array" aca="1" ref="L254" ca="1">_xlfn.IFS($B254="etf", _xll.YCP($A254,"one_year_total_return",'Database Query'!$E$14),$B254&lt;&gt;"etf",_xll.YCP("M:"&amp; $A254,"one_year_total_return",'Database Query'!$E$14))</f>
        <v>#VALUE!</v>
      </c>
      <c r="M254" s="2" t="e" cm="1">
        <f t="array" aca="1" ref="M254" ca="1">-_xll.YCP($E254,"one_year_return",'Database Query'!$E$14)+L254</f>
        <v>#VALUE!</v>
      </c>
      <c r="N254" s="2" t="e" cm="1">
        <f t="array" aca="1" ref="N254" ca="1">_xlfn.IFS($B254="etf", _xll.YCP($A254,"three_year_total_return",'Database Query'!$E$14),$B254&lt;&gt;"etf",_xll.YCP("M:"&amp; $A254,"three_year_total_return",'Database Query'!$E$14))</f>
        <v>#VALUE!</v>
      </c>
      <c r="O254" s="2" t="e" cm="1">
        <f t="array" aca="1" ref="O254" ca="1">-_xll.YCP($E254,"three_year_return",'Database Query'!$E$14)+N254</f>
        <v>#VALUE!</v>
      </c>
      <c r="P254" s="2" t="e" cm="1">
        <f t="array" aca="1" ref="P254" ca="1">_xlfn.IFS($B254="etf", _xll.YCP($A254,"five_year_total_return",'Database Query'!$E$14),$B254&lt;&gt;"etf",_xll.YCP("M:"&amp; $A254,"five_year_total_return",'Database Query'!$E$14))</f>
        <v>#VALUE!</v>
      </c>
      <c r="Q254" s="2" t="e" cm="1">
        <f t="array" aca="1" ref="Q254" ca="1">-_xll.YCP($E254,"five_year_return",'Database Query'!$E$14)+P254</f>
        <v>#VALUE!</v>
      </c>
    </row>
    <row r="255" spans="1:17" x14ac:dyDescent="0.25">
      <c r="A255" t="str">
        <v>VFTAX</v>
      </c>
      <c r="B255" t="e" cm="1">
        <f t="array" aca="1" ref="B255" ca="1">_xll.YCI(A255,"detailed_security_type",TODAY())</f>
        <v>#VALUE!</v>
      </c>
      <c r="C255" t="e" cm="1">
        <f t="array" aca="1" ref="C255" ca="1">_xlfn.IFS(B255="etf", _xll.YCI(A255, "security_name",TODAY()),B255&lt;&gt;"etf",_xll.YCI("M:" &amp; A255, "security_name",TODAY()))</f>
        <v>#VALUE!</v>
      </c>
      <c r="D255" t="e" cm="1">
        <f t="array" aca="1" ref="D255" ca="1">_xlfn.IFS($B255="etf", _xll.YCI($A255, "ycharts_benchmark_category",TODAY()),$B255&lt;&gt;"etf",_xll.YCI("M:" &amp; $A255, "ycharts_benchmark_category",TODAY()))</f>
        <v>#VALUE!</v>
      </c>
      <c r="E255" t="e" cm="1">
        <f t="array" aca="1" ref="E255" ca="1">_xlfn.IFS($B255="etf", _xll.YCI($A255, "ycharts_benchmark_index_symbol",TODAY()),$B255&lt;&gt;"etf",_xll.YCI("M:" &amp; $A255, "ycharts_benchmark_index_symbol",TODAY()))</f>
        <v>#VALUE!</v>
      </c>
      <c r="F255" t="e" cm="1">
        <f t="array" aca="1" ref="F255" ca="1">_xlfn.IFS($B255="etf", _xll.YCI($E255, "security_name",TODAY()),$B255&lt;&gt;"etf",_xll.YCI( $E255, "security_name",TODAY()))</f>
        <v>#VALUE!</v>
      </c>
      <c r="G255" t="e" cm="1">
        <f t="array" aca="1" ref="G255" ca="1">_xlfn.IFS($B255="etf", _xll.YCI($A255, "prospectus_benchmark_index",TODAY()),$B255&lt;&gt;"etf",_xll.YCI("M:" &amp; $A255, "prospectus_benchmark_index",TODAY()))</f>
        <v>#VALUE!</v>
      </c>
      <c r="H255" s="2" t="e" cm="1">
        <f t="array" aca="1" ref="H255" ca="1">_xlfn.IFS($B255="etf", _xll.YCP($A255,"quarterly_total_return",'Database Query'!$E$14),$B255&lt;&gt;"etf",_xll.YCP("M:"&amp; $A255,"quarterly_total_return",'Database Query'!$E$14))</f>
        <v>#VALUE!</v>
      </c>
      <c r="I255" s="2" t="e" cm="1">
        <f t="array" aca="1" ref="I255" ca="1">-_xll.YCP($E255,"quarterly_return",'Database Query'!$E$14)+H255</f>
        <v>#VALUE!</v>
      </c>
      <c r="J255" s="2" t="e" cm="1">
        <f t="array" aca="1" ref="J255" ca="1">_xlfn.IFS($B255="etf", _xll.YCP($A255,"ytd_total_return",'Database Query'!$E$14),$B255&lt;&gt;"etf",_xll.YCP("M:"&amp; $A255,"ytd_total_return",'Database Query'!$E$14))</f>
        <v>#VALUE!</v>
      </c>
      <c r="K255" s="2" t="e" cm="1">
        <f t="array" aca="1" ref="K255" ca="1">-_xll.YCP($E255,"ytd_return",'Database Query'!$E$14)+J255</f>
        <v>#VALUE!</v>
      </c>
      <c r="L255" s="2" t="e" cm="1">
        <f t="array" aca="1" ref="L255" ca="1">_xlfn.IFS($B255="etf", _xll.YCP($A255,"one_year_total_return",'Database Query'!$E$14),$B255&lt;&gt;"etf",_xll.YCP("M:"&amp; $A255,"one_year_total_return",'Database Query'!$E$14))</f>
        <v>#VALUE!</v>
      </c>
      <c r="M255" s="2" t="e" cm="1">
        <f t="array" aca="1" ref="M255" ca="1">-_xll.YCP($E255,"one_year_return",'Database Query'!$E$14)+L255</f>
        <v>#VALUE!</v>
      </c>
      <c r="N255" s="2" t="e" cm="1">
        <f t="array" aca="1" ref="N255" ca="1">_xlfn.IFS($B255="etf", _xll.YCP($A255,"three_year_total_return",'Database Query'!$E$14),$B255&lt;&gt;"etf",_xll.YCP("M:"&amp; $A255,"three_year_total_return",'Database Query'!$E$14))</f>
        <v>#VALUE!</v>
      </c>
      <c r="O255" s="2" t="e" cm="1">
        <f t="array" aca="1" ref="O255" ca="1">-_xll.YCP($E255,"three_year_return",'Database Query'!$E$14)+N255</f>
        <v>#VALUE!</v>
      </c>
      <c r="P255" s="2" t="e" cm="1">
        <f t="array" aca="1" ref="P255" ca="1">_xlfn.IFS($B255="etf", _xll.YCP($A255,"five_year_total_return",'Database Query'!$E$14),$B255&lt;&gt;"etf",_xll.YCP("M:"&amp; $A255,"five_year_total_return",'Database Query'!$E$14))</f>
        <v>#VALUE!</v>
      </c>
      <c r="Q255" s="2" t="e" cm="1">
        <f t="array" aca="1" ref="Q255" ca="1">-_xll.YCP($E255,"five_year_return",'Database Query'!$E$14)+P255</f>
        <v>#VALUE!</v>
      </c>
    </row>
    <row r="256" spans="1:17" x14ac:dyDescent="0.25">
      <c r="A256" t="str">
        <v>VHGEX</v>
      </c>
      <c r="B256" t="e" cm="1">
        <f t="array" aca="1" ref="B256" ca="1">_xll.YCI(A256,"detailed_security_type",TODAY())</f>
        <v>#VALUE!</v>
      </c>
      <c r="C256" t="e" cm="1">
        <f t="array" aca="1" ref="C256" ca="1">_xlfn.IFS(B256="etf", _xll.YCI(A256, "security_name",TODAY()),B256&lt;&gt;"etf",_xll.YCI("M:" &amp; A256, "security_name",TODAY()))</f>
        <v>#VALUE!</v>
      </c>
      <c r="D256" t="e" cm="1">
        <f t="array" aca="1" ref="D256" ca="1">_xlfn.IFS($B256="etf", _xll.YCI($A256, "ycharts_benchmark_category",TODAY()),$B256&lt;&gt;"etf",_xll.YCI("M:" &amp; $A256, "ycharts_benchmark_category",TODAY()))</f>
        <v>#VALUE!</v>
      </c>
      <c r="E256" t="e" cm="1">
        <f t="array" aca="1" ref="E256" ca="1">_xlfn.IFS($B256="etf", _xll.YCI($A256, "ycharts_benchmark_index_symbol",TODAY()),$B256&lt;&gt;"etf",_xll.YCI("M:" &amp; $A256, "ycharts_benchmark_index_symbol",TODAY()))</f>
        <v>#VALUE!</v>
      </c>
      <c r="F256" t="e" cm="1">
        <f t="array" aca="1" ref="F256" ca="1">_xlfn.IFS($B256="etf", _xll.YCI($E256, "security_name",TODAY()),$B256&lt;&gt;"etf",_xll.YCI( $E256, "security_name",TODAY()))</f>
        <v>#VALUE!</v>
      </c>
      <c r="G256" t="e" cm="1">
        <f t="array" aca="1" ref="G256" ca="1">_xlfn.IFS($B256="etf", _xll.YCI($A256, "prospectus_benchmark_index",TODAY()),$B256&lt;&gt;"etf",_xll.YCI("M:" &amp; $A256, "prospectus_benchmark_index",TODAY()))</f>
        <v>#VALUE!</v>
      </c>
      <c r="H256" s="2" t="e" cm="1">
        <f t="array" aca="1" ref="H256" ca="1">_xlfn.IFS($B256="etf", _xll.YCP($A256,"quarterly_total_return",'Database Query'!$E$14),$B256&lt;&gt;"etf",_xll.YCP("M:"&amp; $A256,"quarterly_total_return",'Database Query'!$E$14))</f>
        <v>#VALUE!</v>
      </c>
      <c r="I256" s="2" t="e" cm="1">
        <f t="array" aca="1" ref="I256" ca="1">-_xll.YCP($E256,"quarterly_return",'Database Query'!$E$14)+H256</f>
        <v>#VALUE!</v>
      </c>
      <c r="J256" s="2" t="e" cm="1">
        <f t="array" aca="1" ref="J256" ca="1">_xlfn.IFS($B256="etf", _xll.YCP($A256,"ytd_total_return",'Database Query'!$E$14),$B256&lt;&gt;"etf",_xll.YCP("M:"&amp; $A256,"ytd_total_return",'Database Query'!$E$14))</f>
        <v>#VALUE!</v>
      </c>
      <c r="K256" s="2" t="e" cm="1">
        <f t="array" aca="1" ref="K256" ca="1">-_xll.YCP($E256,"ytd_return",'Database Query'!$E$14)+J256</f>
        <v>#VALUE!</v>
      </c>
      <c r="L256" s="2" t="e" cm="1">
        <f t="array" aca="1" ref="L256" ca="1">_xlfn.IFS($B256="etf", _xll.YCP($A256,"one_year_total_return",'Database Query'!$E$14),$B256&lt;&gt;"etf",_xll.YCP("M:"&amp; $A256,"one_year_total_return",'Database Query'!$E$14))</f>
        <v>#VALUE!</v>
      </c>
      <c r="M256" s="2" t="e" cm="1">
        <f t="array" aca="1" ref="M256" ca="1">-_xll.YCP($E256,"one_year_return",'Database Query'!$E$14)+L256</f>
        <v>#VALUE!</v>
      </c>
      <c r="N256" s="2" t="e" cm="1">
        <f t="array" aca="1" ref="N256" ca="1">_xlfn.IFS($B256="etf", _xll.YCP($A256,"three_year_total_return",'Database Query'!$E$14),$B256&lt;&gt;"etf",_xll.YCP("M:"&amp; $A256,"three_year_total_return",'Database Query'!$E$14))</f>
        <v>#VALUE!</v>
      </c>
      <c r="O256" s="2" t="e" cm="1">
        <f t="array" aca="1" ref="O256" ca="1">-_xll.YCP($E256,"three_year_return",'Database Query'!$E$14)+N256</f>
        <v>#VALUE!</v>
      </c>
      <c r="P256" s="2" t="e" cm="1">
        <f t="array" aca="1" ref="P256" ca="1">_xlfn.IFS($B256="etf", _xll.YCP($A256,"five_year_total_return",'Database Query'!$E$14),$B256&lt;&gt;"etf",_xll.YCP("M:"&amp; $A256,"five_year_total_return",'Database Query'!$E$14))</f>
        <v>#VALUE!</v>
      </c>
      <c r="Q256" s="2" t="e" cm="1">
        <f t="array" aca="1" ref="Q256" ca="1">-_xll.YCP($E256,"five_year_return",'Database Query'!$E$14)+P256</f>
        <v>#VALUE!</v>
      </c>
    </row>
    <row r="257" spans="1:17" x14ac:dyDescent="0.25">
      <c r="A257" t="str">
        <v>VICSX</v>
      </c>
      <c r="B257" t="e" cm="1">
        <f t="array" aca="1" ref="B257" ca="1">_xll.YCI(A257,"detailed_security_type",TODAY())</f>
        <v>#VALUE!</v>
      </c>
      <c r="C257" t="e" cm="1">
        <f t="array" aca="1" ref="C257" ca="1">_xlfn.IFS(B257="etf", _xll.YCI(A257, "security_name",TODAY()),B257&lt;&gt;"etf",_xll.YCI("M:" &amp; A257, "security_name",TODAY()))</f>
        <v>#VALUE!</v>
      </c>
      <c r="D257" t="e" cm="1">
        <f t="array" aca="1" ref="D257" ca="1">_xlfn.IFS($B257="etf", _xll.YCI($A257, "ycharts_benchmark_category",TODAY()),$B257&lt;&gt;"etf",_xll.YCI("M:" &amp; $A257, "ycharts_benchmark_category",TODAY()))</f>
        <v>#VALUE!</v>
      </c>
      <c r="E257" t="e" cm="1">
        <f t="array" aca="1" ref="E257" ca="1">_xlfn.IFS($B257="etf", _xll.YCI($A257, "ycharts_benchmark_index_symbol",TODAY()),$B257&lt;&gt;"etf",_xll.YCI("M:" &amp; $A257, "ycharts_benchmark_index_symbol",TODAY()))</f>
        <v>#VALUE!</v>
      </c>
      <c r="F257" t="e" cm="1">
        <f t="array" aca="1" ref="F257" ca="1">_xlfn.IFS($B257="etf", _xll.YCI($E257, "security_name",TODAY()),$B257&lt;&gt;"etf",_xll.YCI( $E257, "security_name",TODAY()))</f>
        <v>#VALUE!</v>
      </c>
      <c r="G257" t="e" cm="1">
        <f t="array" aca="1" ref="G257" ca="1">_xlfn.IFS($B257="etf", _xll.YCI($A257, "prospectus_benchmark_index",TODAY()),$B257&lt;&gt;"etf",_xll.YCI("M:" &amp; $A257, "prospectus_benchmark_index",TODAY()))</f>
        <v>#VALUE!</v>
      </c>
      <c r="H257" s="2" t="e" cm="1">
        <f t="array" aca="1" ref="H257" ca="1">_xlfn.IFS($B257="etf", _xll.YCP($A257,"quarterly_total_return",'Database Query'!$E$14),$B257&lt;&gt;"etf",_xll.YCP("M:"&amp; $A257,"quarterly_total_return",'Database Query'!$E$14))</f>
        <v>#VALUE!</v>
      </c>
      <c r="I257" s="2" t="e" cm="1">
        <f t="array" aca="1" ref="I257" ca="1">-_xll.YCP($E257,"quarterly_return",'Database Query'!$E$14)+H257</f>
        <v>#VALUE!</v>
      </c>
      <c r="J257" s="2" t="e" cm="1">
        <f t="array" aca="1" ref="J257" ca="1">_xlfn.IFS($B257="etf", _xll.YCP($A257,"ytd_total_return",'Database Query'!$E$14),$B257&lt;&gt;"etf",_xll.YCP("M:"&amp; $A257,"ytd_total_return",'Database Query'!$E$14))</f>
        <v>#VALUE!</v>
      </c>
      <c r="K257" s="2" t="e" cm="1">
        <f t="array" aca="1" ref="K257" ca="1">-_xll.YCP($E257,"ytd_return",'Database Query'!$E$14)+J257</f>
        <v>#VALUE!</v>
      </c>
      <c r="L257" s="2" t="e" cm="1">
        <f t="array" aca="1" ref="L257" ca="1">_xlfn.IFS($B257="etf", _xll.YCP($A257,"one_year_total_return",'Database Query'!$E$14),$B257&lt;&gt;"etf",_xll.YCP("M:"&amp; $A257,"one_year_total_return",'Database Query'!$E$14))</f>
        <v>#VALUE!</v>
      </c>
      <c r="M257" s="2" t="e" cm="1">
        <f t="array" aca="1" ref="M257" ca="1">-_xll.YCP($E257,"one_year_return",'Database Query'!$E$14)+L257</f>
        <v>#VALUE!</v>
      </c>
      <c r="N257" s="2" t="e" cm="1">
        <f t="array" aca="1" ref="N257" ca="1">_xlfn.IFS($B257="etf", _xll.YCP($A257,"three_year_total_return",'Database Query'!$E$14),$B257&lt;&gt;"etf",_xll.YCP("M:"&amp; $A257,"three_year_total_return",'Database Query'!$E$14))</f>
        <v>#VALUE!</v>
      </c>
      <c r="O257" s="2" t="e" cm="1">
        <f t="array" aca="1" ref="O257" ca="1">-_xll.YCP($E257,"three_year_return",'Database Query'!$E$14)+N257</f>
        <v>#VALUE!</v>
      </c>
      <c r="P257" s="2" t="e" cm="1">
        <f t="array" aca="1" ref="P257" ca="1">_xlfn.IFS($B257="etf", _xll.YCP($A257,"five_year_total_return",'Database Query'!$E$14),$B257&lt;&gt;"etf",_xll.YCP("M:"&amp; $A257,"five_year_total_return",'Database Query'!$E$14))</f>
        <v>#VALUE!</v>
      </c>
      <c r="Q257" s="2" t="e" cm="1">
        <f t="array" aca="1" ref="Q257" ca="1">-_xll.YCP($E257,"five_year_return",'Database Query'!$E$14)+P257</f>
        <v>#VALUE!</v>
      </c>
    </row>
    <row r="258" spans="1:17" x14ac:dyDescent="0.25">
      <c r="A258" t="str">
        <v>VIGAX</v>
      </c>
      <c r="B258" t="e" cm="1">
        <f t="array" aca="1" ref="B258" ca="1">_xll.YCI(A258,"detailed_security_type",TODAY())</f>
        <v>#VALUE!</v>
      </c>
      <c r="C258" t="e" cm="1">
        <f t="array" aca="1" ref="C258" ca="1">_xlfn.IFS(B258="etf", _xll.YCI(A258, "security_name",TODAY()),B258&lt;&gt;"etf",_xll.YCI("M:" &amp; A258, "security_name",TODAY()))</f>
        <v>#VALUE!</v>
      </c>
      <c r="D258" t="e" cm="1">
        <f t="array" aca="1" ref="D258" ca="1">_xlfn.IFS($B258="etf", _xll.YCI($A258, "ycharts_benchmark_category",TODAY()),$B258&lt;&gt;"etf",_xll.YCI("M:" &amp; $A258, "ycharts_benchmark_category",TODAY()))</f>
        <v>#VALUE!</v>
      </c>
      <c r="E258" t="e" cm="1">
        <f t="array" aca="1" ref="E258" ca="1">_xlfn.IFS($B258="etf", _xll.YCI($A258, "ycharts_benchmark_index_symbol",TODAY()),$B258&lt;&gt;"etf",_xll.YCI("M:" &amp; $A258, "ycharts_benchmark_index_symbol",TODAY()))</f>
        <v>#VALUE!</v>
      </c>
      <c r="F258" t="e" cm="1">
        <f t="array" aca="1" ref="F258" ca="1">_xlfn.IFS($B258="etf", _xll.YCI($E258, "security_name",TODAY()),$B258&lt;&gt;"etf",_xll.YCI( $E258, "security_name",TODAY()))</f>
        <v>#VALUE!</v>
      </c>
      <c r="G258" t="e" cm="1">
        <f t="array" aca="1" ref="G258" ca="1">_xlfn.IFS($B258="etf", _xll.YCI($A258, "prospectus_benchmark_index",TODAY()),$B258&lt;&gt;"etf",_xll.YCI("M:" &amp; $A258, "prospectus_benchmark_index",TODAY()))</f>
        <v>#VALUE!</v>
      </c>
      <c r="H258" s="2" t="e" cm="1">
        <f t="array" aca="1" ref="H258" ca="1">_xlfn.IFS($B258="etf", _xll.YCP($A258,"quarterly_total_return",'Database Query'!$E$14),$B258&lt;&gt;"etf",_xll.YCP("M:"&amp; $A258,"quarterly_total_return",'Database Query'!$E$14))</f>
        <v>#VALUE!</v>
      </c>
      <c r="I258" s="2" t="e" cm="1">
        <f t="array" aca="1" ref="I258" ca="1">-_xll.YCP($E258,"quarterly_return",'Database Query'!$E$14)+H258</f>
        <v>#VALUE!</v>
      </c>
      <c r="J258" s="2" t="e" cm="1">
        <f t="array" aca="1" ref="J258" ca="1">_xlfn.IFS($B258="etf", _xll.YCP($A258,"ytd_total_return",'Database Query'!$E$14),$B258&lt;&gt;"etf",_xll.YCP("M:"&amp; $A258,"ytd_total_return",'Database Query'!$E$14))</f>
        <v>#VALUE!</v>
      </c>
      <c r="K258" s="2" t="e" cm="1">
        <f t="array" aca="1" ref="K258" ca="1">-_xll.YCP($E258,"ytd_return",'Database Query'!$E$14)+J258</f>
        <v>#VALUE!</v>
      </c>
      <c r="L258" s="2" t="e" cm="1">
        <f t="array" aca="1" ref="L258" ca="1">_xlfn.IFS($B258="etf", _xll.YCP($A258,"one_year_total_return",'Database Query'!$E$14),$B258&lt;&gt;"etf",_xll.YCP("M:"&amp; $A258,"one_year_total_return",'Database Query'!$E$14))</f>
        <v>#VALUE!</v>
      </c>
      <c r="M258" s="2" t="e" cm="1">
        <f t="array" aca="1" ref="M258" ca="1">-_xll.YCP($E258,"one_year_return",'Database Query'!$E$14)+L258</f>
        <v>#VALUE!</v>
      </c>
      <c r="N258" s="2" t="e" cm="1">
        <f t="array" aca="1" ref="N258" ca="1">_xlfn.IFS($B258="etf", _xll.YCP($A258,"three_year_total_return",'Database Query'!$E$14),$B258&lt;&gt;"etf",_xll.YCP("M:"&amp; $A258,"three_year_total_return",'Database Query'!$E$14))</f>
        <v>#VALUE!</v>
      </c>
      <c r="O258" s="2" t="e" cm="1">
        <f t="array" aca="1" ref="O258" ca="1">-_xll.YCP($E258,"three_year_return",'Database Query'!$E$14)+N258</f>
        <v>#VALUE!</v>
      </c>
      <c r="P258" s="2" t="e" cm="1">
        <f t="array" aca="1" ref="P258" ca="1">_xlfn.IFS($B258="etf", _xll.YCP($A258,"five_year_total_return",'Database Query'!$E$14),$B258&lt;&gt;"etf",_xll.YCP("M:"&amp; $A258,"five_year_total_return",'Database Query'!$E$14))</f>
        <v>#VALUE!</v>
      </c>
      <c r="Q258" s="2" t="e" cm="1">
        <f t="array" aca="1" ref="Q258" ca="1">-_xll.YCP($E258,"five_year_return",'Database Query'!$E$14)+P258</f>
        <v>#VALUE!</v>
      </c>
    </row>
    <row r="259" spans="1:17" x14ac:dyDescent="0.25">
      <c r="A259" t="str">
        <v>VIISX</v>
      </c>
      <c r="B259" t="e" cm="1">
        <f t="array" aca="1" ref="B259" ca="1">_xll.YCI(A259,"detailed_security_type",TODAY())</f>
        <v>#VALUE!</v>
      </c>
      <c r="C259" t="e" cm="1">
        <f t="array" aca="1" ref="C259" ca="1">_xlfn.IFS(B259="etf", _xll.YCI(A259, "security_name",TODAY()),B259&lt;&gt;"etf",_xll.YCI("M:" &amp; A259, "security_name",TODAY()))</f>
        <v>#VALUE!</v>
      </c>
      <c r="D259" t="e" cm="1">
        <f t="array" aca="1" ref="D259" ca="1">_xlfn.IFS($B259="etf", _xll.YCI($A259, "ycharts_benchmark_category",TODAY()),$B259&lt;&gt;"etf",_xll.YCI("M:" &amp; $A259, "ycharts_benchmark_category",TODAY()))</f>
        <v>#VALUE!</v>
      </c>
      <c r="E259" t="e" cm="1">
        <f t="array" aca="1" ref="E259" ca="1">_xlfn.IFS($B259="etf", _xll.YCI($A259, "ycharts_benchmark_index_symbol",TODAY()),$B259&lt;&gt;"etf",_xll.YCI("M:" &amp; $A259, "ycharts_benchmark_index_symbol",TODAY()))</f>
        <v>#VALUE!</v>
      </c>
      <c r="F259" t="e" cm="1">
        <f t="array" aca="1" ref="F259" ca="1">_xlfn.IFS($B259="etf", _xll.YCI($E259, "security_name",TODAY()),$B259&lt;&gt;"etf",_xll.YCI( $E259, "security_name",TODAY()))</f>
        <v>#VALUE!</v>
      </c>
      <c r="G259" t="e" cm="1">
        <f t="array" aca="1" ref="G259" ca="1">_xlfn.IFS($B259="etf", _xll.YCI($A259, "prospectus_benchmark_index",TODAY()),$B259&lt;&gt;"etf",_xll.YCI("M:" &amp; $A259, "prospectus_benchmark_index",TODAY()))</f>
        <v>#VALUE!</v>
      </c>
      <c r="H259" s="2" t="e" cm="1">
        <f t="array" aca="1" ref="H259" ca="1">_xlfn.IFS($B259="etf", _xll.YCP($A259,"quarterly_total_return",'Database Query'!$E$14),$B259&lt;&gt;"etf",_xll.YCP("M:"&amp; $A259,"quarterly_total_return",'Database Query'!$E$14))</f>
        <v>#VALUE!</v>
      </c>
      <c r="I259" s="2" t="e" cm="1">
        <f t="array" aca="1" ref="I259" ca="1">-_xll.YCP($E259,"quarterly_return",'Database Query'!$E$14)+H259</f>
        <v>#VALUE!</v>
      </c>
      <c r="J259" s="2" t="e" cm="1">
        <f t="array" aca="1" ref="J259" ca="1">_xlfn.IFS($B259="etf", _xll.YCP($A259,"ytd_total_return",'Database Query'!$E$14),$B259&lt;&gt;"etf",_xll.YCP("M:"&amp; $A259,"ytd_total_return",'Database Query'!$E$14))</f>
        <v>#VALUE!</v>
      </c>
      <c r="K259" s="2" t="e" cm="1">
        <f t="array" aca="1" ref="K259" ca="1">-_xll.YCP($E259,"ytd_return",'Database Query'!$E$14)+J259</f>
        <v>#VALUE!</v>
      </c>
      <c r="L259" s="2" t="e" cm="1">
        <f t="array" aca="1" ref="L259" ca="1">_xlfn.IFS($B259="etf", _xll.YCP($A259,"one_year_total_return",'Database Query'!$E$14),$B259&lt;&gt;"etf",_xll.YCP("M:"&amp; $A259,"one_year_total_return",'Database Query'!$E$14))</f>
        <v>#VALUE!</v>
      </c>
      <c r="M259" s="2" t="e" cm="1">
        <f t="array" aca="1" ref="M259" ca="1">-_xll.YCP($E259,"one_year_return",'Database Query'!$E$14)+L259</f>
        <v>#VALUE!</v>
      </c>
      <c r="N259" s="2" t="e" cm="1">
        <f t="array" aca="1" ref="N259" ca="1">_xlfn.IFS($B259="etf", _xll.YCP($A259,"three_year_total_return",'Database Query'!$E$14),$B259&lt;&gt;"etf",_xll.YCP("M:"&amp; $A259,"three_year_total_return",'Database Query'!$E$14))</f>
        <v>#VALUE!</v>
      </c>
      <c r="O259" s="2" t="e" cm="1">
        <f t="array" aca="1" ref="O259" ca="1">-_xll.YCP($E259,"three_year_return",'Database Query'!$E$14)+N259</f>
        <v>#VALUE!</v>
      </c>
      <c r="P259" s="2" t="e" cm="1">
        <f t="array" aca="1" ref="P259" ca="1">_xlfn.IFS($B259="etf", _xll.YCP($A259,"five_year_total_return",'Database Query'!$E$14),$B259&lt;&gt;"etf",_xll.YCP("M:"&amp; $A259,"five_year_total_return",'Database Query'!$E$14))</f>
        <v>#VALUE!</v>
      </c>
      <c r="Q259" s="2" t="e" cm="1">
        <f t="array" aca="1" ref="Q259" ca="1">-_xll.YCP($E259,"five_year_return",'Database Query'!$E$14)+P259</f>
        <v>#VALUE!</v>
      </c>
    </row>
    <row r="260" spans="1:17" x14ac:dyDescent="0.25">
      <c r="A260" t="str">
        <v>VIVAX</v>
      </c>
      <c r="B260" t="e" cm="1">
        <f t="array" aca="1" ref="B260" ca="1">_xll.YCI(A260,"detailed_security_type",TODAY())</f>
        <v>#VALUE!</v>
      </c>
      <c r="C260" t="e" cm="1">
        <f t="array" aca="1" ref="C260" ca="1">_xlfn.IFS(B260="etf", _xll.YCI(A260, "security_name",TODAY()),B260&lt;&gt;"etf",_xll.YCI("M:" &amp; A260, "security_name",TODAY()))</f>
        <v>#VALUE!</v>
      </c>
      <c r="D260" t="e" cm="1">
        <f t="array" aca="1" ref="D260" ca="1">_xlfn.IFS($B260="etf", _xll.YCI($A260, "ycharts_benchmark_category",TODAY()),$B260&lt;&gt;"etf",_xll.YCI("M:" &amp; $A260, "ycharts_benchmark_category",TODAY()))</f>
        <v>#VALUE!</v>
      </c>
      <c r="E260" t="e" cm="1">
        <f t="array" aca="1" ref="E260" ca="1">_xlfn.IFS($B260="etf", _xll.YCI($A260, "ycharts_benchmark_index_symbol",TODAY()),$B260&lt;&gt;"etf",_xll.YCI("M:" &amp; $A260, "ycharts_benchmark_index_symbol",TODAY()))</f>
        <v>#VALUE!</v>
      </c>
      <c r="F260" t="e" cm="1">
        <f t="array" aca="1" ref="F260" ca="1">_xlfn.IFS($B260="etf", _xll.YCI($E260, "security_name",TODAY()),$B260&lt;&gt;"etf",_xll.YCI( $E260, "security_name",TODAY()))</f>
        <v>#VALUE!</v>
      </c>
      <c r="G260" t="e" cm="1">
        <f t="array" aca="1" ref="G260" ca="1">_xlfn.IFS($B260="etf", _xll.YCI($A260, "prospectus_benchmark_index",TODAY()),$B260&lt;&gt;"etf",_xll.YCI("M:" &amp; $A260, "prospectus_benchmark_index",TODAY()))</f>
        <v>#VALUE!</v>
      </c>
      <c r="H260" s="2" t="e" cm="1">
        <f t="array" aca="1" ref="H260" ca="1">_xlfn.IFS($B260="etf", _xll.YCP($A260,"quarterly_total_return",'Database Query'!$E$14),$B260&lt;&gt;"etf",_xll.YCP("M:"&amp; $A260,"quarterly_total_return",'Database Query'!$E$14))</f>
        <v>#VALUE!</v>
      </c>
      <c r="I260" s="2" t="e" cm="1">
        <f t="array" aca="1" ref="I260" ca="1">-_xll.YCP($E260,"quarterly_return",'Database Query'!$E$14)+H260</f>
        <v>#VALUE!</v>
      </c>
      <c r="J260" s="2" t="e" cm="1">
        <f t="array" aca="1" ref="J260" ca="1">_xlfn.IFS($B260="etf", _xll.YCP($A260,"ytd_total_return",'Database Query'!$E$14),$B260&lt;&gt;"etf",_xll.YCP("M:"&amp; $A260,"ytd_total_return",'Database Query'!$E$14))</f>
        <v>#VALUE!</v>
      </c>
      <c r="K260" s="2" t="e" cm="1">
        <f t="array" aca="1" ref="K260" ca="1">-_xll.YCP($E260,"ytd_return",'Database Query'!$E$14)+J260</f>
        <v>#VALUE!</v>
      </c>
      <c r="L260" s="2" t="e" cm="1">
        <f t="array" aca="1" ref="L260" ca="1">_xlfn.IFS($B260="etf", _xll.YCP($A260,"one_year_total_return",'Database Query'!$E$14),$B260&lt;&gt;"etf",_xll.YCP("M:"&amp; $A260,"one_year_total_return",'Database Query'!$E$14))</f>
        <v>#VALUE!</v>
      </c>
      <c r="M260" s="2" t="e" cm="1">
        <f t="array" aca="1" ref="M260" ca="1">-_xll.YCP($E260,"one_year_return",'Database Query'!$E$14)+L260</f>
        <v>#VALUE!</v>
      </c>
      <c r="N260" s="2" t="e" cm="1">
        <f t="array" aca="1" ref="N260" ca="1">_xlfn.IFS($B260="etf", _xll.YCP($A260,"three_year_total_return",'Database Query'!$E$14),$B260&lt;&gt;"etf",_xll.YCP("M:"&amp; $A260,"three_year_total_return",'Database Query'!$E$14))</f>
        <v>#VALUE!</v>
      </c>
      <c r="O260" s="2" t="e" cm="1">
        <f t="array" aca="1" ref="O260" ca="1">-_xll.YCP($E260,"three_year_return",'Database Query'!$E$14)+N260</f>
        <v>#VALUE!</v>
      </c>
      <c r="P260" s="2" t="e" cm="1">
        <f t="array" aca="1" ref="P260" ca="1">_xlfn.IFS($B260="etf", _xll.YCP($A260,"five_year_total_return",'Database Query'!$E$14),$B260&lt;&gt;"etf",_xll.YCP("M:"&amp; $A260,"five_year_total_return",'Database Query'!$E$14))</f>
        <v>#VALUE!</v>
      </c>
      <c r="Q260" s="2" t="e" cm="1">
        <f t="array" aca="1" ref="Q260" ca="1">-_xll.YCP($E260,"five_year_return",'Database Query'!$E$14)+P260</f>
        <v>#VALUE!</v>
      </c>
    </row>
    <row r="261" spans="1:17" x14ac:dyDescent="0.25">
      <c r="A261" t="str">
        <v>VIVIX</v>
      </c>
      <c r="B261" t="e" cm="1">
        <f t="array" aca="1" ref="B261" ca="1">_xll.YCI(A261,"detailed_security_type",TODAY())</f>
        <v>#VALUE!</v>
      </c>
      <c r="C261" t="e" cm="1">
        <f t="array" aca="1" ref="C261" ca="1">_xlfn.IFS(B261="etf", _xll.YCI(A261, "security_name",TODAY()),B261&lt;&gt;"etf",_xll.YCI("M:" &amp; A261, "security_name",TODAY()))</f>
        <v>#VALUE!</v>
      </c>
      <c r="D261" t="e" cm="1">
        <f t="array" aca="1" ref="D261" ca="1">_xlfn.IFS($B261="etf", _xll.YCI($A261, "ycharts_benchmark_category",TODAY()),$B261&lt;&gt;"etf",_xll.YCI("M:" &amp; $A261, "ycharts_benchmark_category",TODAY()))</f>
        <v>#VALUE!</v>
      </c>
      <c r="E261" t="e" cm="1">
        <f t="array" aca="1" ref="E261" ca="1">_xlfn.IFS($B261="etf", _xll.YCI($A261, "ycharts_benchmark_index_symbol",TODAY()),$B261&lt;&gt;"etf",_xll.YCI("M:" &amp; $A261, "ycharts_benchmark_index_symbol",TODAY()))</f>
        <v>#VALUE!</v>
      </c>
      <c r="F261" t="e" cm="1">
        <f t="array" aca="1" ref="F261" ca="1">_xlfn.IFS($B261="etf", _xll.YCI($E261, "security_name",TODAY()),$B261&lt;&gt;"etf",_xll.YCI( $E261, "security_name",TODAY()))</f>
        <v>#VALUE!</v>
      </c>
      <c r="G261" t="e" cm="1">
        <f t="array" aca="1" ref="G261" ca="1">_xlfn.IFS($B261="etf", _xll.YCI($A261, "prospectus_benchmark_index",TODAY()),$B261&lt;&gt;"etf",_xll.YCI("M:" &amp; $A261, "prospectus_benchmark_index",TODAY()))</f>
        <v>#VALUE!</v>
      </c>
      <c r="H261" s="2" t="e" cm="1">
        <f t="array" aca="1" ref="H261" ca="1">_xlfn.IFS($B261="etf", _xll.YCP($A261,"quarterly_total_return",'Database Query'!$E$14),$B261&lt;&gt;"etf",_xll.YCP("M:"&amp; $A261,"quarterly_total_return",'Database Query'!$E$14))</f>
        <v>#VALUE!</v>
      </c>
      <c r="I261" s="2" t="e" cm="1">
        <f t="array" aca="1" ref="I261" ca="1">-_xll.YCP($E261,"quarterly_return",'Database Query'!$E$14)+H261</f>
        <v>#VALUE!</v>
      </c>
      <c r="J261" s="2" t="e" cm="1">
        <f t="array" aca="1" ref="J261" ca="1">_xlfn.IFS($B261="etf", _xll.YCP($A261,"ytd_total_return",'Database Query'!$E$14),$B261&lt;&gt;"etf",_xll.YCP("M:"&amp; $A261,"ytd_total_return",'Database Query'!$E$14))</f>
        <v>#VALUE!</v>
      </c>
      <c r="K261" s="2" t="e" cm="1">
        <f t="array" aca="1" ref="K261" ca="1">-_xll.YCP($E261,"ytd_return",'Database Query'!$E$14)+J261</f>
        <v>#VALUE!</v>
      </c>
      <c r="L261" s="2" t="e" cm="1">
        <f t="array" aca="1" ref="L261" ca="1">_xlfn.IFS($B261="etf", _xll.YCP($A261,"one_year_total_return",'Database Query'!$E$14),$B261&lt;&gt;"etf",_xll.YCP("M:"&amp; $A261,"one_year_total_return",'Database Query'!$E$14))</f>
        <v>#VALUE!</v>
      </c>
      <c r="M261" s="2" t="e" cm="1">
        <f t="array" aca="1" ref="M261" ca="1">-_xll.YCP($E261,"one_year_return",'Database Query'!$E$14)+L261</f>
        <v>#VALUE!</v>
      </c>
      <c r="N261" s="2" t="e" cm="1">
        <f t="array" aca="1" ref="N261" ca="1">_xlfn.IFS($B261="etf", _xll.YCP($A261,"three_year_total_return",'Database Query'!$E$14),$B261&lt;&gt;"etf",_xll.YCP("M:"&amp; $A261,"three_year_total_return",'Database Query'!$E$14))</f>
        <v>#VALUE!</v>
      </c>
      <c r="O261" s="2" t="e" cm="1">
        <f t="array" aca="1" ref="O261" ca="1">-_xll.YCP($E261,"three_year_return",'Database Query'!$E$14)+N261</f>
        <v>#VALUE!</v>
      </c>
      <c r="P261" s="2" t="e" cm="1">
        <f t="array" aca="1" ref="P261" ca="1">_xlfn.IFS($B261="etf", _xll.YCP($A261,"five_year_total_return",'Database Query'!$E$14),$B261&lt;&gt;"etf",_xll.YCP("M:"&amp; $A261,"five_year_total_return",'Database Query'!$E$14))</f>
        <v>#VALUE!</v>
      </c>
      <c r="Q261" s="2" t="e" cm="1">
        <f t="array" aca="1" ref="Q261" ca="1">-_xll.YCP($E261,"five_year_return",'Database Query'!$E$14)+P261</f>
        <v>#VALUE!</v>
      </c>
    </row>
    <row r="262" spans="1:17" x14ac:dyDescent="0.25">
      <c r="A262" t="str">
        <v>VMBS</v>
      </c>
      <c r="B262" t="str" cm="1">
        <f t="array" aca="1" ref="B262" ca="1">_xll.YCI(A262,"detailed_security_type",TODAY())</f>
        <v>etf</v>
      </c>
      <c r="C262" t="str" cm="1">
        <f t="array" aca="1" ref="C262" ca="1">_xlfn.IFS(B262="etf", _xll.YCI(A262, "security_name",TODAY()),B262&lt;&gt;"etf",_xll.YCI("M:" &amp; A262, "security_name",TODAY()))</f>
        <v>Vanguard Mortgage-Backed Secs Idx Fund ETF</v>
      </c>
      <c r="D262" t="str" cm="1">
        <f t="array" aca="1" ref="D262" ca="1">_xlfn.IFS($B262="etf", _xll.YCI($A262, "ycharts_benchmark_category",TODAY()),$B262&lt;&gt;"etf",_xll.YCI("M:" &amp; $A262, "ycharts_benchmark_category",TODAY()))</f>
        <v>US Mortgage Backed Bond</v>
      </c>
      <c r="E262" t="str" cm="1">
        <f t="array" aca="1" ref="E262" ca="1">_xlfn.IFS($B262="etf", _xll.YCI($A262, "ycharts_benchmark_index_symbol",TODAY()),$B262&lt;&gt;"etf",_xll.YCI("M:" &amp; $A262, "ycharts_benchmark_index_symbol",TODAY()))</f>
        <v>^BBUSMBSTR</v>
      </c>
      <c r="F262" t="str" cm="1">
        <f t="array" aca="1" ref="F262" ca="1">_xlfn.IFS($B262="etf", _xll.YCI($E262, "security_name",TODAY()),$B262&lt;&gt;"etf",_xll.YCI( $E262, "security_name",TODAY()))</f>
        <v>Bloomberg US Mortgage Backed Securities</v>
      </c>
      <c r="G262" t="str" cm="1">
        <f t="array" aca="1" ref="G262" ca="1">_xlfn.IFS($B262="etf", _xll.YCI($A262, "prospectus_benchmark_index",TODAY()),$B262&lt;&gt;"etf",_xll.YCI("M:" &amp; $A262, "prospectus_benchmark_index",TODAY()))</f>
        <v>Bloomberg US MBS Float Adjusted TR USD</v>
      </c>
      <c r="H262" s="2" cm="1">
        <f t="array" aca="1" ref="H262" ca="1">_xlfn.IFS($B262="etf", _xll.YCP($A262,"quarterly_total_return",'Database Query'!$E$14),$B262&lt;&gt;"etf",_xll.YCP("M:"&amp; $A262,"quarterly_total_return",'Database Query'!$E$14))</f>
        <v>-2.7007E-2</v>
      </c>
      <c r="I262" s="2" cm="1">
        <f t="array" aca="1" ref="I262" ca="1">-_xll.YCP($E262,"quarterly_return",'Database Query'!$E$14)+H262</f>
        <v>4.5710000000000021E-3</v>
      </c>
      <c r="J262" s="2" cm="1">
        <f t="array" aca="1" ref="J262" ca="1">_xlfn.IFS($B262="etf", _xll.YCP($A262,"ytd_total_return",'Database Query'!$E$14),$B262&lt;&gt;"etf",_xll.YCP("M:"&amp; $A262,"ytd_total_return",'Database Query'!$E$14))</f>
        <v>1.6968E-2</v>
      </c>
      <c r="K262" s="2" cm="1">
        <f t="array" aca="1" ref="K262" ca="1">-_xll.YCP($E262,"ytd_return",'Database Query'!$E$14)+J262</f>
        <v>4.9760000000000013E-3</v>
      </c>
      <c r="L262" s="2" cm="1">
        <f t="array" aca="1" ref="L262" ca="1">_xlfn.IFS($B262="etf", _xll.YCP($A262,"one_year_total_return",'Database Query'!$E$14),$B262&lt;&gt;"etf",_xll.YCP("M:"&amp; $A262,"one_year_total_return",'Database Query'!$E$14))</f>
        <v>1.6968E-2</v>
      </c>
      <c r="M262" s="2" cm="1">
        <f t="array" aca="1" ref="M262" ca="1">-_xll.YCP($E262,"one_year_return",'Database Query'!$E$14)+L262</f>
        <v>4.9760000000000013E-3</v>
      </c>
      <c r="N262" s="2" cm="1">
        <f t="array" aca="1" ref="N262" ca="1">_xlfn.IFS($B262="etf", _xll.YCP($A262,"three_year_total_return",'Database Query'!$E$14),$B262&lt;&gt;"etf",_xll.YCP("M:"&amp; $A262,"three_year_total_return",'Database Query'!$E$14))</f>
        <v>-5.6188000000000002E-2</v>
      </c>
      <c r="O262" s="2" cm="1">
        <f t="array" aca="1" ref="O262" ca="1">-_xll.YCP($E262,"three_year_return",'Database Query'!$E$14)+N262</f>
        <v>6.3099999999999962E-3</v>
      </c>
      <c r="P262" s="2" cm="1">
        <f t="array" aca="1" ref="P262" ca="1">_xlfn.IFS($B262="etf", _xll.YCP($A262,"five_year_total_return",'Database Query'!$E$14),$B262&lt;&gt;"etf",_xll.YCP("M:"&amp; $A262,"five_year_total_return",'Database Query'!$E$14))</f>
        <v>-3.3252999999999998E-2</v>
      </c>
      <c r="Q262" s="2" cm="1">
        <f t="array" aca="1" ref="Q262" ca="1">-_xll.YCP($E262,"five_year_return",'Database Query'!$E$14)+P262</f>
        <v>3.0980000000000035E-3</v>
      </c>
    </row>
    <row r="263" spans="1:17" x14ac:dyDescent="0.25">
      <c r="A263" t="str">
        <v>VMNFX</v>
      </c>
      <c r="B263" t="e" cm="1">
        <f t="array" aca="1" ref="B263" ca="1">_xll.YCI(A263,"detailed_security_type",TODAY())</f>
        <v>#VALUE!</v>
      </c>
      <c r="C263" t="e" cm="1">
        <f t="array" aca="1" ref="C263" ca="1">_xlfn.IFS(B263="etf", _xll.YCI(A263, "security_name",TODAY()),B263&lt;&gt;"etf",_xll.YCI("M:" &amp; A263, "security_name",TODAY()))</f>
        <v>#VALUE!</v>
      </c>
      <c r="D263" t="e" cm="1">
        <f t="array" aca="1" ref="D263" ca="1">_xlfn.IFS($B263="etf", _xll.YCI($A263, "ycharts_benchmark_category",TODAY()),$B263&lt;&gt;"etf",_xll.YCI("M:" &amp; $A263, "ycharts_benchmark_category",TODAY()))</f>
        <v>#VALUE!</v>
      </c>
      <c r="E263" t="e" cm="1">
        <f t="array" aca="1" ref="E263" ca="1">_xlfn.IFS($B263="etf", _xll.YCI($A263, "ycharts_benchmark_index_symbol",TODAY()),$B263&lt;&gt;"etf",_xll.YCI("M:" &amp; $A263, "ycharts_benchmark_index_symbol",TODAY()))</f>
        <v>#VALUE!</v>
      </c>
      <c r="F263" t="e" cm="1">
        <f t="array" aca="1" ref="F263" ca="1">_xlfn.IFS($B263="etf", _xll.YCI($E263, "security_name",TODAY()),$B263&lt;&gt;"etf",_xll.YCI( $E263, "security_name",TODAY()))</f>
        <v>#VALUE!</v>
      </c>
      <c r="G263" t="e" cm="1">
        <f t="array" aca="1" ref="G263" ca="1">_xlfn.IFS($B263="etf", _xll.YCI($A263, "prospectus_benchmark_index",TODAY()),$B263&lt;&gt;"etf",_xll.YCI("M:" &amp; $A263, "prospectus_benchmark_index",TODAY()))</f>
        <v>#VALUE!</v>
      </c>
      <c r="H263" s="2" t="e" cm="1">
        <f t="array" aca="1" ref="H263" ca="1">_xlfn.IFS($B263="etf", _xll.YCP($A263,"quarterly_total_return",'Database Query'!$E$14),$B263&lt;&gt;"etf",_xll.YCP("M:"&amp; $A263,"quarterly_total_return",'Database Query'!$E$14))</f>
        <v>#VALUE!</v>
      </c>
      <c r="I263" s="2" t="e" cm="1">
        <f t="array" aca="1" ref="I263" ca="1">-_xll.YCP($E263,"quarterly_return",'Database Query'!$E$14)+H263</f>
        <v>#VALUE!</v>
      </c>
      <c r="J263" s="2" t="e" cm="1">
        <f t="array" aca="1" ref="J263" ca="1">_xlfn.IFS($B263="etf", _xll.YCP($A263,"ytd_total_return",'Database Query'!$E$14),$B263&lt;&gt;"etf",_xll.YCP("M:"&amp; $A263,"ytd_total_return",'Database Query'!$E$14))</f>
        <v>#VALUE!</v>
      </c>
      <c r="K263" s="2" t="e" cm="1">
        <f t="array" aca="1" ref="K263" ca="1">-_xll.YCP($E263,"ytd_return",'Database Query'!$E$14)+J263</f>
        <v>#VALUE!</v>
      </c>
      <c r="L263" s="2" t="e" cm="1">
        <f t="array" aca="1" ref="L263" ca="1">_xlfn.IFS($B263="etf", _xll.YCP($A263,"one_year_total_return",'Database Query'!$E$14),$B263&lt;&gt;"etf",_xll.YCP("M:"&amp; $A263,"one_year_total_return",'Database Query'!$E$14))</f>
        <v>#VALUE!</v>
      </c>
      <c r="M263" s="2" t="e" cm="1">
        <f t="array" aca="1" ref="M263" ca="1">-_xll.YCP($E263,"one_year_return",'Database Query'!$E$14)+L263</f>
        <v>#VALUE!</v>
      </c>
      <c r="N263" s="2" t="e" cm="1">
        <f t="array" aca="1" ref="N263" ca="1">_xlfn.IFS($B263="etf", _xll.YCP($A263,"three_year_total_return",'Database Query'!$E$14),$B263&lt;&gt;"etf",_xll.YCP("M:"&amp; $A263,"three_year_total_return",'Database Query'!$E$14))</f>
        <v>#VALUE!</v>
      </c>
      <c r="O263" s="2" t="e" cm="1">
        <f t="array" aca="1" ref="O263" ca="1">-_xll.YCP($E263,"three_year_return",'Database Query'!$E$14)+N263</f>
        <v>#VALUE!</v>
      </c>
      <c r="P263" s="2" t="e" cm="1">
        <f t="array" aca="1" ref="P263" ca="1">_xlfn.IFS($B263="etf", _xll.YCP($A263,"five_year_total_return",'Database Query'!$E$14),$B263&lt;&gt;"etf",_xll.YCP("M:"&amp; $A263,"five_year_total_return",'Database Query'!$E$14))</f>
        <v>#VALUE!</v>
      </c>
      <c r="Q263" s="2" t="e" cm="1">
        <f t="array" aca="1" ref="Q263" ca="1">-_xll.YCP($E263,"five_year_return",'Database Query'!$E$14)+P263</f>
        <v>#VALUE!</v>
      </c>
    </row>
    <row r="264" spans="1:17" x14ac:dyDescent="0.25">
      <c r="A264" t="str">
        <v>VO</v>
      </c>
      <c r="B264" t="str" cm="1">
        <f t="array" aca="1" ref="B264" ca="1">_xll.YCI(A264,"detailed_security_type",TODAY())</f>
        <v>etf</v>
      </c>
      <c r="C264" t="str" cm="1">
        <f t="array" aca="1" ref="C264" ca="1">_xlfn.IFS(B264="etf", _xll.YCI(A264, "security_name",TODAY()),B264&lt;&gt;"etf",_xll.YCI("M:" &amp; A264, "security_name",TODAY()))</f>
        <v>Vanguard Mid-Cap Index Fund ETF</v>
      </c>
      <c r="D264" t="str" cm="1">
        <f t="array" aca="1" ref="D264" ca="1">_xlfn.IFS($B264="etf", _xll.YCI($A264, "ycharts_benchmark_category",TODAY()),$B264&lt;&gt;"etf",_xll.YCI("M:" &amp; $A264, "ycharts_benchmark_category",TODAY()))</f>
        <v>US Mid-Cap Core</v>
      </c>
      <c r="E264" t="str" cm="1">
        <f t="array" aca="1" ref="E264" ca="1">_xlfn.IFS($B264="etf", _xll.YCI($A264, "ycharts_benchmark_index_symbol",TODAY()),$B264&lt;&gt;"etf",_xll.YCI("M:" &amp; $A264, "ycharts_benchmark_index_symbol",TODAY()))</f>
        <v>^RMCTR</v>
      </c>
      <c r="F264" t="str" cm="1">
        <f t="array" aca="1" ref="F264" ca="1">_xlfn.IFS($B264="etf", _xll.YCI($E264, "security_name",TODAY()),$B264&lt;&gt;"etf",_xll.YCI( $E264, "security_name",TODAY()))</f>
        <v>Russell Midcap Total Return</v>
      </c>
      <c r="G264" t="str" cm="1">
        <f t="array" aca="1" ref="G264" ca="1">_xlfn.IFS($B264="etf", _xll.YCI($A264, "prospectus_benchmark_index",TODAY()),$B264&lt;&gt;"etf",_xll.YCI("M:" &amp; $A264, "prospectus_benchmark_index",TODAY()))</f>
        <v>CRSP US Mid Cap TR USD</v>
      </c>
      <c r="H264" s="2" cm="1">
        <f t="array" aca="1" ref="H264" ca="1">_xlfn.IFS($B264="etf", _xll.YCP($A264,"quarterly_total_return",'Database Query'!$E$14),$B264&lt;&gt;"etf",_xll.YCP("M:"&amp; $A264,"quarterly_total_return",'Database Query'!$E$14))</f>
        <v>5.2379999999999996E-3</v>
      </c>
      <c r="I264" s="2" cm="1">
        <f t="array" aca="1" ref="I264" ca="1">-_xll.YCP($E264,"quarterly_return",'Database Query'!$E$14)+H264</f>
        <v>-9.6300000000000031E-4</v>
      </c>
      <c r="J264" s="2" cm="1">
        <f t="array" aca="1" ref="J264" ca="1">_xlfn.IFS($B264="etf", _xll.YCP($A264,"ytd_total_return",'Database Query'!$E$14),$B264&lt;&gt;"etf",_xll.YCP("M:"&amp; $A264,"ytd_total_return",'Database Query'!$E$14))</f>
        <v>0.153034</v>
      </c>
      <c r="K264" s="2" cm="1">
        <f t="array" aca="1" ref="K264" ca="1">-_xll.YCP($E264,"ytd_return",'Database Query'!$E$14)+J264</f>
        <v>-4.029999999999867E-4</v>
      </c>
      <c r="L264" s="2" cm="1">
        <f t="array" aca="1" ref="L264" ca="1">_xlfn.IFS($B264="etf", _xll.YCP($A264,"one_year_total_return",'Database Query'!$E$14),$B264&lt;&gt;"etf",_xll.YCP("M:"&amp; $A264,"one_year_total_return",'Database Query'!$E$14))</f>
        <v>0.153034</v>
      </c>
      <c r="M264" s="2" cm="1">
        <f t="array" aca="1" ref="M264" ca="1">-_xll.YCP($E264,"one_year_return",'Database Query'!$E$14)+L264</f>
        <v>-4.029999999999867E-4</v>
      </c>
      <c r="N264" s="2" cm="1">
        <f t="array" aca="1" ref="N264" ca="1">_xlfn.IFS($B264="etf", _xll.YCP($A264,"three_year_total_return",'Database Query'!$E$14),$B264&lt;&gt;"etf",_xll.YCP("M:"&amp; $A264,"three_year_total_return",'Database Query'!$E$14))</f>
        <v>8.7475999999999998E-2</v>
      </c>
      <c r="O264" s="2" cm="1">
        <f t="array" aca="1" ref="O264" ca="1">-_xll.YCP($E264,"three_year_return",'Database Query'!$E$14)+N264</f>
        <v>-3.0540999999999999E-2</v>
      </c>
      <c r="P264" s="2" cm="1">
        <f t="array" aca="1" ref="P264" ca="1">_xlfn.IFS($B264="etf", _xll.YCP($A264,"five_year_total_return",'Database Query'!$E$14),$B264&lt;&gt;"etf",_xll.YCP("M:"&amp; $A264,"five_year_total_return",'Database Query'!$E$14))</f>
        <v>0.60088299999999994</v>
      </c>
      <c r="Q264" s="2" cm="1">
        <f t="array" aca="1" ref="Q264" ca="1">-_xll.YCP($E264,"five_year_return",'Database Query'!$E$14)+P264</f>
        <v>-3.9970000000000283E-3</v>
      </c>
    </row>
    <row r="265" spans="1:17" x14ac:dyDescent="0.25">
      <c r="A265" t="str">
        <v>VOT</v>
      </c>
      <c r="B265" t="str" cm="1">
        <f t="array" aca="1" ref="B265" ca="1">_xll.YCI(A265,"detailed_security_type",TODAY())</f>
        <v>etf</v>
      </c>
      <c r="C265" t="str" cm="1">
        <f t="array" aca="1" ref="C265" ca="1">_xlfn.IFS(B265="etf", _xll.YCI(A265, "security_name",TODAY()),B265&lt;&gt;"etf",_xll.YCI("M:" &amp; A265, "security_name",TODAY()))</f>
        <v>Vanguard Mid-Cap Growth Index Fund ETF</v>
      </c>
      <c r="D265" t="str" cm="1">
        <f t="array" aca="1" ref="D265" ca="1">_xlfn.IFS($B265="etf", _xll.YCI($A265, "ycharts_benchmark_category",TODAY()),$B265&lt;&gt;"etf",_xll.YCI("M:" &amp; $A265, "ycharts_benchmark_category",TODAY()))</f>
        <v>US Mid-Cap Growth</v>
      </c>
      <c r="E265" t="str" cm="1">
        <f t="array" aca="1" ref="E265" ca="1">_xlfn.IFS($B265="etf", _xll.YCI($A265, "ycharts_benchmark_index_symbol",TODAY()),$B265&lt;&gt;"etf",_xll.YCI("M:" &amp; $A265, "ycharts_benchmark_index_symbol",TODAY()))</f>
        <v>^RDGTR</v>
      </c>
      <c r="F265" t="str" cm="1">
        <f t="array" aca="1" ref="F265" ca="1">_xlfn.IFS($B265="etf", _xll.YCI($E265, "security_name",TODAY()),$B265&lt;&gt;"etf",_xll.YCI( $E265, "security_name",TODAY()))</f>
        <v>Russell Midcap Growth Total Return</v>
      </c>
      <c r="G265" t="str" cm="1">
        <f t="array" aca="1" ref="G265" ca="1">_xlfn.IFS($B265="etf", _xll.YCI($A265, "prospectus_benchmark_index",TODAY()),$B265&lt;&gt;"etf",_xll.YCI("M:" &amp; $A265, "prospectus_benchmark_index",TODAY()))</f>
        <v>CRSP US Mid Cap Growth TR USD</v>
      </c>
      <c r="H265" s="2" cm="1">
        <f t="array" aca="1" ref="H265" ca="1">_xlfn.IFS($B265="etf", _xll.YCP($A265,"quarterly_total_return",'Database Query'!$E$14),$B265&lt;&gt;"etf",_xll.YCP("M:"&amp; $A265,"quarterly_total_return",'Database Query'!$E$14))</f>
        <v>4.4257999999999999E-2</v>
      </c>
      <c r="I265" s="2" cm="1">
        <f t="array" aca="1" ref="I265" ca="1">-_xll.YCP($E265,"quarterly_return",'Database Query'!$E$14)+H265</f>
        <v>-3.7158000000000004E-2</v>
      </c>
      <c r="J265" s="2" cm="1">
        <f t="array" aca="1" ref="J265" ca="1">_xlfn.IFS($B265="etf", _xll.YCP($A265,"ytd_total_return",'Database Query'!$E$14),$B265&lt;&gt;"etf",_xll.YCP("M:"&amp; $A265,"ytd_total_return",'Database Query'!$E$14))</f>
        <v>0.16381599999999999</v>
      </c>
      <c r="K265" s="2" cm="1">
        <f t="array" aca="1" ref="K265" ca="1">-_xll.YCP($E265,"ytd_return",'Database Query'!$E$14)+J265</f>
        <v>-5.7215000000000016E-2</v>
      </c>
      <c r="L265" s="2" cm="1">
        <f t="array" aca="1" ref="L265" ca="1">_xlfn.IFS($B265="etf", _xll.YCP($A265,"one_year_total_return",'Database Query'!$E$14),$B265&lt;&gt;"etf",_xll.YCP("M:"&amp; $A265,"one_year_total_return",'Database Query'!$E$14))</f>
        <v>0.16381599999999999</v>
      </c>
      <c r="M265" s="2" cm="1">
        <f t="array" aca="1" ref="M265" ca="1">-_xll.YCP($E265,"one_year_return",'Database Query'!$E$14)+L265</f>
        <v>-5.7215000000000016E-2</v>
      </c>
      <c r="N265" s="2" cm="1">
        <f t="array" aca="1" ref="N265" ca="1">_xlfn.IFS($B265="etf", _xll.YCP($A265,"three_year_total_return",'Database Query'!$E$14),$B265&lt;&gt;"etf",_xll.YCP("M:"&amp; $A265,"three_year_total_return",'Database Query'!$E$14))</f>
        <v>1.9179000000000002E-2</v>
      </c>
      <c r="O265" s="2" cm="1">
        <f t="array" aca="1" ref="O265" ca="1">-_xll.YCP($E265,"three_year_return",'Database Query'!$E$14)+N265</f>
        <v>-0.10702700000000001</v>
      </c>
      <c r="P265" s="2" cm="1">
        <f t="array" aca="1" ref="P265" ca="1">_xlfn.IFS($B265="etf", _xll.YCP($A265,"five_year_total_return",'Database Query'!$E$14),$B265&lt;&gt;"etf",_xll.YCP("M:"&amp; $A265,"five_year_total_return",'Database Query'!$E$14))</f>
        <v>0.65154800000000002</v>
      </c>
      <c r="Q265" s="2" cm="1">
        <f t="array" aca="1" ref="Q265" ca="1">-_xll.YCP($E265,"five_year_return",'Database Query'!$E$14)+P265</f>
        <v>-6.9792999999999994E-2</v>
      </c>
    </row>
    <row r="266" spans="1:17" x14ac:dyDescent="0.25">
      <c r="A266" t="str">
        <v>VSGAX</v>
      </c>
      <c r="B266" t="e" cm="1">
        <f t="array" aca="1" ref="B266" ca="1">_xll.YCI(A266,"detailed_security_type",TODAY())</f>
        <v>#VALUE!</v>
      </c>
      <c r="C266" t="e" cm="1">
        <f t="array" aca="1" ref="C266" ca="1">_xlfn.IFS(B266="etf", _xll.YCI(A266, "security_name",TODAY()),B266&lt;&gt;"etf",_xll.YCI("M:" &amp; A266, "security_name",TODAY()))</f>
        <v>#VALUE!</v>
      </c>
      <c r="D266" t="e" cm="1">
        <f t="array" aca="1" ref="D266" ca="1">_xlfn.IFS($B266="etf", _xll.YCI($A266, "ycharts_benchmark_category",TODAY()),$B266&lt;&gt;"etf",_xll.YCI("M:" &amp; $A266, "ycharts_benchmark_category",TODAY()))</f>
        <v>#VALUE!</v>
      </c>
      <c r="E266" t="e" cm="1">
        <f t="array" aca="1" ref="E266" ca="1">_xlfn.IFS($B266="etf", _xll.YCI($A266, "ycharts_benchmark_index_symbol",TODAY()),$B266&lt;&gt;"etf",_xll.YCI("M:" &amp; $A266, "ycharts_benchmark_index_symbol",TODAY()))</f>
        <v>#VALUE!</v>
      </c>
      <c r="F266" t="e" cm="1">
        <f t="array" aca="1" ref="F266" ca="1">_xlfn.IFS($B266="etf", _xll.YCI($E266, "security_name",TODAY()),$B266&lt;&gt;"etf",_xll.YCI( $E266, "security_name",TODAY()))</f>
        <v>#VALUE!</v>
      </c>
      <c r="G266" t="e" cm="1">
        <f t="array" aca="1" ref="G266" ca="1">_xlfn.IFS($B266="etf", _xll.YCI($A266, "prospectus_benchmark_index",TODAY()),$B266&lt;&gt;"etf",_xll.YCI("M:" &amp; $A266, "prospectus_benchmark_index",TODAY()))</f>
        <v>#VALUE!</v>
      </c>
      <c r="H266" s="2" t="e" cm="1">
        <f t="array" aca="1" ref="H266" ca="1">_xlfn.IFS($B266="etf", _xll.YCP($A266,"quarterly_total_return",'Database Query'!$E$14),$B266&lt;&gt;"etf",_xll.YCP("M:"&amp; $A266,"quarterly_total_return",'Database Query'!$E$14))</f>
        <v>#VALUE!</v>
      </c>
      <c r="I266" s="2" t="e" cm="1">
        <f t="array" aca="1" ref="I266" ca="1">-_xll.YCP($E266,"quarterly_return",'Database Query'!$E$14)+H266</f>
        <v>#VALUE!</v>
      </c>
      <c r="J266" s="2" t="e" cm="1">
        <f t="array" aca="1" ref="J266" ca="1">_xlfn.IFS($B266="etf", _xll.YCP($A266,"ytd_total_return",'Database Query'!$E$14),$B266&lt;&gt;"etf",_xll.YCP("M:"&amp; $A266,"ytd_total_return",'Database Query'!$E$14))</f>
        <v>#VALUE!</v>
      </c>
      <c r="K266" s="2" t="e" cm="1">
        <f t="array" aca="1" ref="K266" ca="1">-_xll.YCP($E266,"ytd_return",'Database Query'!$E$14)+J266</f>
        <v>#VALUE!</v>
      </c>
      <c r="L266" s="2" t="e" cm="1">
        <f t="array" aca="1" ref="L266" ca="1">_xlfn.IFS($B266="etf", _xll.YCP($A266,"one_year_total_return",'Database Query'!$E$14),$B266&lt;&gt;"etf",_xll.YCP("M:"&amp; $A266,"one_year_total_return",'Database Query'!$E$14))</f>
        <v>#VALUE!</v>
      </c>
      <c r="M266" s="2" t="e" cm="1">
        <f t="array" aca="1" ref="M266" ca="1">-_xll.YCP($E266,"one_year_return",'Database Query'!$E$14)+L266</f>
        <v>#VALUE!</v>
      </c>
      <c r="N266" s="2" t="e" cm="1">
        <f t="array" aca="1" ref="N266" ca="1">_xlfn.IFS($B266="etf", _xll.YCP($A266,"three_year_total_return",'Database Query'!$E$14),$B266&lt;&gt;"etf",_xll.YCP("M:"&amp; $A266,"three_year_total_return",'Database Query'!$E$14))</f>
        <v>#VALUE!</v>
      </c>
      <c r="O266" s="2" t="e" cm="1">
        <f t="array" aca="1" ref="O266" ca="1">-_xll.YCP($E266,"three_year_return",'Database Query'!$E$14)+N266</f>
        <v>#VALUE!</v>
      </c>
      <c r="P266" s="2" t="e" cm="1">
        <f t="array" aca="1" ref="P266" ca="1">_xlfn.IFS($B266="etf", _xll.YCP($A266,"five_year_total_return",'Database Query'!$E$14),$B266&lt;&gt;"etf",_xll.YCP("M:"&amp; $A266,"five_year_total_return",'Database Query'!$E$14))</f>
        <v>#VALUE!</v>
      </c>
      <c r="Q266" s="2" t="e" cm="1">
        <f t="array" aca="1" ref="Q266" ca="1">-_xll.YCP($E266,"five_year_return",'Database Query'!$E$14)+P266</f>
        <v>#VALUE!</v>
      </c>
    </row>
    <row r="267" spans="1:17" x14ac:dyDescent="0.25">
      <c r="A267" t="str">
        <v>VSIAX</v>
      </c>
      <c r="B267" t="e" cm="1">
        <f t="array" aca="1" ref="B267" ca="1">_xll.YCI(A267,"detailed_security_type",TODAY())</f>
        <v>#VALUE!</v>
      </c>
      <c r="C267" t="e" cm="1">
        <f t="array" aca="1" ref="C267" ca="1">_xlfn.IFS(B267="etf", _xll.YCI(A267, "security_name",TODAY()),B267&lt;&gt;"etf",_xll.YCI("M:" &amp; A267, "security_name",TODAY()))</f>
        <v>#VALUE!</v>
      </c>
      <c r="D267" t="e" cm="1">
        <f t="array" aca="1" ref="D267" ca="1">_xlfn.IFS($B267="etf", _xll.YCI($A267, "ycharts_benchmark_category",TODAY()),$B267&lt;&gt;"etf",_xll.YCI("M:" &amp; $A267, "ycharts_benchmark_category",TODAY()))</f>
        <v>#VALUE!</v>
      </c>
      <c r="E267" t="e" cm="1">
        <f t="array" aca="1" ref="E267" ca="1">_xlfn.IFS($B267="etf", _xll.YCI($A267, "ycharts_benchmark_index_symbol",TODAY()),$B267&lt;&gt;"etf",_xll.YCI("M:" &amp; $A267, "ycharts_benchmark_index_symbol",TODAY()))</f>
        <v>#VALUE!</v>
      </c>
      <c r="F267" t="e" cm="1">
        <f t="array" aca="1" ref="F267" ca="1">_xlfn.IFS($B267="etf", _xll.YCI($E267, "security_name",TODAY()),$B267&lt;&gt;"etf",_xll.YCI( $E267, "security_name",TODAY()))</f>
        <v>#VALUE!</v>
      </c>
      <c r="G267" t="e" cm="1">
        <f t="array" aca="1" ref="G267" ca="1">_xlfn.IFS($B267="etf", _xll.YCI($A267, "prospectus_benchmark_index",TODAY()),$B267&lt;&gt;"etf",_xll.YCI("M:" &amp; $A267, "prospectus_benchmark_index",TODAY()))</f>
        <v>#VALUE!</v>
      </c>
      <c r="H267" s="2" t="e" cm="1">
        <f t="array" aca="1" ref="H267" ca="1">_xlfn.IFS($B267="etf", _xll.YCP($A267,"quarterly_total_return",'Database Query'!$E$14),$B267&lt;&gt;"etf",_xll.YCP("M:"&amp; $A267,"quarterly_total_return",'Database Query'!$E$14))</f>
        <v>#VALUE!</v>
      </c>
      <c r="I267" s="2" t="e" cm="1">
        <f t="array" aca="1" ref="I267" ca="1">-_xll.YCP($E267,"quarterly_return",'Database Query'!$E$14)+H267</f>
        <v>#VALUE!</v>
      </c>
      <c r="J267" s="2" t="e" cm="1">
        <f t="array" aca="1" ref="J267" ca="1">_xlfn.IFS($B267="etf", _xll.YCP($A267,"ytd_total_return",'Database Query'!$E$14),$B267&lt;&gt;"etf",_xll.YCP("M:"&amp; $A267,"ytd_total_return",'Database Query'!$E$14))</f>
        <v>#VALUE!</v>
      </c>
      <c r="K267" s="2" t="e" cm="1">
        <f t="array" aca="1" ref="K267" ca="1">-_xll.YCP($E267,"ytd_return",'Database Query'!$E$14)+J267</f>
        <v>#VALUE!</v>
      </c>
      <c r="L267" s="2" t="e" cm="1">
        <f t="array" aca="1" ref="L267" ca="1">_xlfn.IFS($B267="etf", _xll.YCP($A267,"one_year_total_return",'Database Query'!$E$14),$B267&lt;&gt;"etf",_xll.YCP("M:"&amp; $A267,"one_year_total_return",'Database Query'!$E$14))</f>
        <v>#VALUE!</v>
      </c>
      <c r="M267" s="2" t="e" cm="1">
        <f t="array" aca="1" ref="M267" ca="1">-_xll.YCP($E267,"one_year_return",'Database Query'!$E$14)+L267</f>
        <v>#VALUE!</v>
      </c>
      <c r="N267" s="2" t="e" cm="1">
        <f t="array" aca="1" ref="N267" ca="1">_xlfn.IFS($B267="etf", _xll.YCP($A267,"three_year_total_return",'Database Query'!$E$14),$B267&lt;&gt;"etf",_xll.YCP("M:"&amp; $A267,"three_year_total_return",'Database Query'!$E$14))</f>
        <v>#VALUE!</v>
      </c>
      <c r="O267" s="2" t="e" cm="1">
        <f t="array" aca="1" ref="O267" ca="1">-_xll.YCP($E267,"three_year_return",'Database Query'!$E$14)+N267</f>
        <v>#VALUE!</v>
      </c>
      <c r="P267" s="2" t="e" cm="1">
        <f t="array" aca="1" ref="P267" ca="1">_xlfn.IFS($B267="etf", _xll.YCP($A267,"five_year_total_return",'Database Query'!$E$14),$B267&lt;&gt;"etf",_xll.YCP("M:"&amp; $A267,"five_year_total_return",'Database Query'!$E$14))</f>
        <v>#VALUE!</v>
      </c>
      <c r="Q267" s="2" t="e" cm="1">
        <f t="array" aca="1" ref="Q267" ca="1">-_xll.YCP($E267,"five_year_return",'Database Query'!$E$14)+P267</f>
        <v>#VALUE!</v>
      </c>
    </row>
    <row r="268" spans="1:17" x14ac:dyDescent="0.25">
      <c r="A268" t="str">
        <v>VTEAX</v>
      </c>
      <c r="B268" t="e" cm="1">
        <f t="array" aca="1" ref="B268" ca="1">_xll.YCI(A268,"detailed_security_type",TODAY())</f>
        <v>#VALUE!</v>
      </c>
      <c r="C268" t="e" cm="1">
        <f t="array" aca="1" ref="C268" ca="1">_xlfn.IFS(B268="etf", _xll.YCI(A268, "security_name",TODAY()),B268&lt;&gt;"etf",_xll.YCI("M:" &amp; A268, "security_name",TODAY()))</f>
        <v>#VALUE!</v>
      </c>
      <c r="D268" t="e" cm="1">
        <f t="array" aca="1" ref="D268" ca="1">_xlfn.IFS($B268="etf", _xll.YCI($A268, "ycharts_benchmark_category",TODAY()),$B268&lt;&gt;"etf",_xll.YCI("M:" &amp; $A268, "ycharts_benchmark_category",TODAY()))</f>
        <v>#VALUE!</v>
      </c>
      <c r="E268" t="e" cm="1">
        <f t="array" aca="1" ref="E268" ca="1">_xlfn.IFS($B268="etf", _xll.YCI($A268, "ycharts_benchmark_index_symbol",TODAY()),$B268&lt;&gt;"etf",_xll.YCI("M:" &amp; $A268, "ycharts_benchmark_index_symbol",TODAY()))</f>
        <v>#VALUE!</v>
      </c>
      <c r="F268" t="e" cm="1">
        <f t="array" aca="1" ref="F268" ca="1">_xlfn.IFS($B268="etf", _xll.YCI($E268, "security_name",TODAY()),$B268&lt;&gt;"etf",_xll.YCI( $E268, "security_name",TODAY()))</f>
        <v>#VALUE!</v>
      </c>
      <c r="G268" t="e" cm="1">
        <f t="array" aca="1" ref="G268" ca="1">_xlfn.IFS($B268="etf", _xll.YCI($A268, "prospectus_benchmark_index",TODAY()),$B268&lt;&gt;"etf",_xll.YCI("M:" &amp; $A268, "prospectus_benchmark_index",TODAY()))</f>
        <v>#VALUE!</v>
      </c>
      <c r="H268" s="2" t="e" cm="1">
        <f t="array" aca="1" ref="H268" ca="1">_xlfn.IFS($B268="etf", _xll.YCP($A268,"quarterly_total_return",'Database Query'!$E$14),$B268&lt;&gt;"etf",_xll.YCP("M:"&amp; $A268,"quarterly_total_return",'Database Query'!$E$14))</f>
        <v>#VALUE!</v>
      </c>
      <c r="I268" s="2" t="e" cm="1">
        <f t="array" aca="1" ref="I268" ca="1">-_xll.YCP($E268,"quarterly_return",'Database Query'!$E$14)+H268</f>
        <v>#VALUE!</v>
      </c>
      <c r="J268" s="2" t="e" cm="1">
        <f t="array" aca="1" ref="J268" ca="1">_xlfn.IFS($B268="etf", _xll.YCP($A268,"ytd_total_return",'Database Query'!$E$14),$B268&lt;&gt;"etf",_xll.YCP("M:"&amp; $A268,"ytd_total_return",'Database Query'!$E$14))</f>
        <v>#VALUE!</v>
      </c>
      <c r="K268" s="2" t="e" cm="1">
        <f t="array" aca="1" ref="K268" ca="1">-_xll.YCP($E268,"ytd_return",'Database Query'!$E$14)+J268</f>
        <v>#VALUE!</v>
      </c>
      <c r="L268" s="2" t="e" cm="1">
        <f t="array" aca="1" ref="L268" ca="1">_xlfn.IFS($B268="etf", _xll.YCP($A268,"one_year_total_return",'Database Query'!$E$14),$B268&lt;&gt;"etf",_xll.YCP("M:"&amp; $A268,"one_year_total_return",'Database Query'!$E$14))</f>
        <v>#VALUE!</v>
      </c>
      <c r="M268" s="2" t="e" cm="1">
        <f t="array" aca="1" ref="M268" ca="1">-_xll.YCP($E268,"one_year_return",'Database Query'!$E$14)+L268</f>
        <v>#VALUE!</v>
      </c>
      <c r="N268" s="2" t="e" cm="1">
        <f t="array" aca="1" ref="N268" ca="1">_xlfn.IFS($B268="etf", _xll.YCP($A268,"three_year_total_return",'Database Query'!$E$14),$B268&lt;&gt;"etf",_xll.YCP("M:"&amp; $A268,"three_year_total_return",'Database Query'!$E$14))</f>
        <v>#VALUE!</v>
      </c>
      <c r="O268" s="2" t="e" cm="1">
        <f t="array" aca="1" ref="O268" ca="1">-_xll.YCP($E268,"three_year_return",'Database Query'!$E$14)+N268</f>
        <v>#VALUE!</v>
      </c>
      <c r="P268" s="2" t="e" cm="1">
        <f t="array" aca="1" ref="P268" ca="1">_xlfn.IFS($B268="etf", _xll.YCP($A268,"five_year_total_return",'Database Query'!$E$14),$B268&lt;&gt;"etf",_xll.YCP("M:"&amp; $A268,"five_year_total_return",'Database Query'!$E$14))</f>
        <v>#VALUE!</v>
      </c>
      <c r="Q268" s="2" t="e" cm="1">
        <f t="array" aca="1" ref="Q268" ca="1">-_xll.YCP($E268,"five_year_return",'Database Query'!$E$14)+P268</f>
        <v>#VALUE!</v>
      </c>
    </row>
    <row r="269" spans="1:17" x14ac:dyDescent="0.25">
      <c r="A269" t="str">
        <v>VTEB</v>
      </c>
      <c r="B269" t="str" cm="1">
        <f t="array" aca="1" ref="B269" ca="1">_xll.YCI(A269,"detailed_security_type",TODAY())</f>
        <v>etf</v>
      </c>
      <c r="C269" t="str" cm="1">
        <f t="array" aca="1" ref="C269" ca="1">_xlfn.IFS(B269="etf", _xll.YCI(A269, "security_name",TODAY()),B269&lt;&gt;"etf",_xll.YCI("M:" &amp; A269, "security_name",TODAY()))</f>
        <v>Vanguard Tax-Exempt Bond Index Fund ETF</v>
      </c>
      <c r="D269" t="str" cm="1">
        <f t="array" aca="1" ref="D269" ca="1">_xlfn.IFS($B269="etf", _xll.YCI($A269, "ycharts_benchmark_category",TODAY()),$B269&lt;&gt;"etf",_xll.YCI("M:" &amp; $A269, "ycharts_benchmark_category",TODAY()))</f>
        <v>US Aggregate Municipal Bond</v>
      </c>
      <c r="E269" t="str" cm="1">
        <f t="array" aca="1" ref="E269" ca="1">_xlfn.IFS($B269="etf", _xll.YCI($A269, "ycharts_benchmark_index_symbol",TODAY()),$B269&lt;&gt;"etf",_xll.YCI("M:" &amp; $A269, "ycharts_benchmark_index_symbol",TODAY()))</f>
        <v>^BBMBTR</v>
      </c>
      <c r="F269" t="str" cm="1">
        <f t="array" aca="1" ref="F269" ca="1">_xlfn.IFS($B269="etf", _xll.YCI($E269, "security_name",TODAY()),$B269&lt;&gt;"etf",_xll.YCI( $E269, "security_name",TODAY()))</f>
        <v>Bloomberg Municipal Bond</v>
      </c>
      <c r="G269" t="str" cm="1">
        <f t="array" aca="1" ref="G269" ca="1">_xlfn.IFS($B269="etf", _xll.YCI($A269, "prospectus_benchmark_index",TODAY()),$B269&lt;&gt;"etf",_xll.YCI("M:" &amp; $A269, "prospectus_benchmark_index",TODAY()))</f>
        <v>S&amp;P National AMT Free Muni TR USD</v>
      </c>
      <c r="H269" s="2" cm="1">
        <f t="array" aca="1" ref="H269" ca="1">_xlfn.IFS($B269="etf", _xll.YCP($A269,"quarterly_total_return",'Database Query'!$E$14),$B269&lt;&gt;"etf",_xll.YCP("M:"&amp; $A269,"quarterly_total_return",'Database Query'!$E$14))</f>
        <v>-9.0349999999999996E-3</v>
      </c>
      <c r="I269" s="2" cm="1">
        <f t="array" aca="1" ref="I269" ca="1">-_xll.YCP($E269,"quarterly_return",'Database Query'!$E$14)+H269</f>
        <v>3.118000000000001E-3</v>
      </c>
      <c r="J269" s="2" cm="1">
        <f t="array" aca="1" ref="J269" ca="1">_xlfn.IFS($B269="etf", _xll.YCP($A269,"ytd_total_return",'Database Query'!$E$14),$B269&lt;&gt;"etf",_xll.YCP("M:"&amp; $A269,"ytd_total_return",'Database Query'!$E$14))</f>
        <v>1.3069000000000001E-2</v>
      </c>
      <c r="K269" s="2" cm="1">
        <f t="array" aca="1" ref="K269" ca="1">-_xll.YCP($E269,"ytd_return",'Database Query'!$E$14)+J269</f>
        <v>2.5340000000000015E-3</v>
      </c>
      <c r="L269" s="2" cm="1">
        <f t="array" aca="1" ref="L269" ca="1">_xlfn.IFS($B269="etf", _xll.YCP($A269,"one_year_total_return",'Database Query'!$E$14),$B269&lt;&gt;"etf",_xll.YCP("M:"&amp; $A269,"one_year_total_return",'Database Query'!$E$14))</f>
        <v>1.3069000000000001E-2</v>
      </c>
      <c r="M269" s="2" cm="1">
        <f t="array" aca="1" ref="M269" ca="1">-_xll.YCP($E269,"one_year_return",'Database Query'!$E$14)+L269</f>
        <v>2.5340000000000015E-3</v>
      </c>
      <c r="N269" s="2" cm="1">
        <f t="array" aca="1" ref="N269" ca="1">_xlfn.IFS($B269="etf", _xll.YCP($A269,"three_year_total_return",'Database Query'!$E$14),$B269&lt;&gt;"etf",_xll.YCP("M:"&amp; $A269,"three_year_total_return",'Database Query'!$E$14))</f>
        <v>-1.0609E-2</v>
      </c>
      <c r="O269" s="2" cm="1">
        <f t="array" aca="1" ref="O269" ca="1">-_xll.YCP($E269,"three_year_return",'Database Query'!$E$14)+N269</f>
        <v>5.8390000000000004E-3</v>
      </c>
      <c r="P269" s="2" cm="1">
        <f t="array" aca="1" ref="P269" ca="1">_xlfn.IFS($B269="etf", _xll.YCP($A269,"five_year_total_return",'Database Query'!$E$14),$B269&lt;&gt;"etf",_xll.YCP("M:"&amp; $A269,"five_year_total_return",'Database Query'!$E$14))</f>
        <v>5.2645999999999998E-2</v>
      </c>
      <c r="Q269" s="2" cm="1">
        <f t="array" aca="1" ref="Q269" ca="1">-_xll.YCP($E269,"five_year_return",'Database Query'!$E$14)+P269</f>
        <v>2.1269999999999969E-3</v>
      </c>
    </row>
    <row r="270" spans="1:17" x14ac:dyDescent="0.25">
      <c r="A270" t="str">
        <v>VVIAX</v>
      </c>
      <c r="B270" t="e" cm="1">
        <f t="array" aca="1" ref="B270" ca="1">_xll.YCI(A270,"detailed_security_type",TODAY())</f>
        <v>#VALUE!</v>
      </c>
      <c r="C270" t="e" cm="1">
        <f t="array" aca="1" ref="C270" ca="1">_xlfn.IFS(B270="etf", _xll.YCI(A270, "security_name",TODAY()),B270&lt;&gt;"etf",_xll.YCI("M:" &amp; A270, "security_name",TODAY()))</f>
        <v>#VALUE!</v>
      </c>
      <c r="D270" t="e" cm="1">
        <f t="array" aca="1" ref="D270" ca="1">_xlfn.IFS($B270="etf", _xll.YCI($A270, "ycharts_benchmark_category",TODAY()),$B270&lt;&gt;"etf",_xll.YCI("M:" &amp; $A270, "ycharts_benchmark_category",TODAY()))</f>
        <v>#VALUE!</v>
      </c>
      <c r="E270" t="e" cm="1">
        <f t="array" aca="1" ref="E270" ca="1">_xlfn.IFS($B270="etf", _xll.YCI($A270, "ycharts_benchmark_index_symbol",TODAY()),$B270&lt;&gt;"etf",_xll.YCI("M:" &amp; $A270, "ycharts_benchmark_index_symbol",TODAY()))</f>
        <v>#VALUE!</v>
      </c>
      <c r="F270" t="e" cm="1">
        <f t="array" aca="1" ref="F270" ca="1">_xlfn.IFS($B270="etf", _xll.YCI($E270, "security_name",TODAY()),$B270&lt;&gt;"etf",_xll.YCI( $E270, "security_name",TODAY()))</f>
        <v>#VALUE!</v>
      </c>
      <c r="G270" t="e" cm="1">
        <f t="array" aca="1" ref="G270" ca="1">_xlfn.IFS($B270="etf", _xll.YCI($A270, "prospectus_benchmark_index",TODAY()),$B270&lt;&gt;"etf",_xll.YCI("M:" &amp; $A270, "prospectus_benchmark_index",TODAY()))</f>
        <v>#VALUE!</v>
      </c>
      <c r="H270" s="2" t="e" cm="1">
        <f t="array" aca="1" ref="H270" ca="1">_xlfn.IFS($B270="etf", _xll.YCP($A270,"quarterly_total_return",'Database Query'!$E$14),$B270&lt;&gt;"etf",_xll.YCP("M:"&amp; $A270,"quarterly_total_return",'Database Query'!$E$14))</f>
        <v>#VALUE!</v>
      </c>
      <c r="I270" s="2" t="e" cm="1">
        <f t="array" aca="1" ref="I270" ca="1">-_xll.YCP($E270,"quarterly_return",'Database Query'!$E$14)+H270</f>
        <v>#VALUE!</v>
      </c>
      <c r="J270" s="2" t="e" cm="1">
        <f t="array" aca="1" ref="J270" ca="1">_xlfn.IFS($B270="etf", _xll.YCP($A270,"ytd_total_return",'Database Query'!$E$14),$B270&lt;&gt;"etf",_xll.YCP("M:"&amp; $A270,"ytd_total_return",'Database Query'!$E$14))</f>
        <v>#VALUE!</v>
      </c>
      <c r="K270" s="2" t="e" cm="1">
        <f t="array" aca="1" ref="K270" ca="1">-_xll.YCP($E270,"ytd_return",'Database Query'!$E$14)+J270</f>
        <v>#VALUE!</v>
      </c>
      <c r="L270" s="2" t="e" cm="1">
        <f t="array" aca="1" ref="L270" ca="1">_xlfn.IFS($B270="etf", _xll.YCP($A270,"one_year_total_return",'Database Query'!$E$14),$B270&lt;&gt;"etf",_xll.YCP("M:"&amp; $A270,"one_year_total_return",'Database Query'!$E$14))</f>
        <v>#VALUE!</v>
      </c>
      <c r="M270" s="2" t="e" cm="1">
        <f t="array" aca="1" ref="M270" ca="1">-_xll.YCP($E270,"one_year_return",'Database Query'!$E$14)+L270</f>
        <v>#VALUE!</v>
      </c>
      <c r="N270" s="2" t="e" cm="1">
        <f t="array" aca="1" ref="N270" ca="1">_xlfn.IFS($B270="etf", _xll.YCP($A270,"three_year_total_return",'Database Query'!$E$14),$B270&lt;&gt;"etf",_xll.YCP("M:"&amp; $A270,"three_year_total_return",'Database Query'!$E$14))</f>
        <v>#VALUE!</v>
      </c>
      <c r="O270" s="2" t="e" cm="1">
        <f t="array" aca="1" ref="O270" ca="1">-_xll.YCP($E270,"three_year_return",'Database Query'!$E$14)+N270</f>
        <v>#VALUE!</v>
      </c>
      <c r="P270" s="2" t="e" cm="1">
        <f t="array" aca="1" ref="P270" ca="1">_xlfn.IFS($B270="etf", _xll.YCP($A270,"five_year_total_return",'Database Query'!$E$14),$B270&lt;&gt;"etf",_xll.YCP("M:"&amp; $A270,"five_year_total_return",'Database Query'!$E$14))</f>
        <v>#VALUE!</v>
      </c>
      <c r="Q270" s="2" t="e" cm="1">
        <f t="array" aca="1" ref="Q270" ca="1">-_xll.YCP($E270,"five_year_return",'Database Query'!$E$14)+P270</f>
        <v>#VALUE!</v>
      </c>
    </row>
    <row r="271" spans="1:17" x14ac:dyDescent="0.25">
      <c r="A271" t="str">
        <v>VWIUX</v>
      </c>
      <c r="B271" t="e" cm="1">
        <f t="array" aca="1" ref="B271" ca="1">_xll.YCI(A271,"detailed_security_type",TODAY())</f>
        <v>#VALUE!</v>
      </c>
      <c r="C271" t="e" cm="1">
        <f t="array" aca="1" ref="C271" ca="1">_xlfn.IFS(B271="etf", _xll.YCI(A271, "security_name",TODAY()),B271&lt;&gt;"etf",_xll.YCI("M:" &amp; A271, "security_name",TODAY()))</f>
        <v>#VALUE!</v>
      </c>
      <c r="D271" t="e" cm="1">
        <f t="array" aca="1" ref="D271" ca="1">_xlfn.IFS($B271="etf", _xll.YCI($A271, "ycharts_benchmark_category",TODAY()),$B271&lt;&gt;"etf",_xll.YCI("M:" &amp; $A271, "ycharts_benchmark_category",TODAY()))</f>
        <v>#VALUE!</v>
      </c>
      <c r="E271" t="e" cm="1">
        <f t="array" aca="1" ref="E271" ca="1">_xlfn.IFS($B271="etf", _xll.YCI($A271, "ycharts_benchmark_index_symbol",TODAY()),$B271&lt;&gt;"etf",_xll.YCI("M:" &amp; $A271, "ycharts_benchmark_index_symbol",TODAY()))</f>
        <v>#VALUE!</v>
      </c>
      <c r="F271" t="e" cm="1">
        <f t="array" aca="1" ref="F271" ca="1">_xlfn.IFS($B271="etf", _xll.YCI($E271, "security_name",TODAY()),$B271&lt;&gt;"etf",_xll.YCI( $E271, "security_name",TODAY()))</f>
        <v>#VALUE!</v>
      </c>
      <c r="G271" t="e" cm="1">
        <f t="array" aca="1" ref="G271" ca="1">_xlfn.IFS($B271="etf", _xll.YCI($A271, "prospectus_benchmark_index",TODAY()),$B271&lt;&gt;"etf",_xll.YCI("M:" &amp; $A271, "prospectus_benchmark_index",TODAY()))</f>
        <v>#VALUE!</v>
      </c>
      <c r="H271" s="2" t="e" cm="1">
        <f t="array" aca="1" ref="H271" ca="1">_xlfn.IFS($B271="etf", _xll.YCP($A271,"quarterly_total_return",'Database Query'!$E$14),$B271&lt;&gt;"etf",_xll.YCP("M:"&amp; $A271,"quarterly_total_return",'Database Query'!$E$14))</f>
        <v>#VALUE!</v>
      </c>
      <c r="I271" s="2" t="e" cm="1">
        <f t="array" aca="1" ref="I271" ca="1">-_xll.YCP($E271,"quarterly_return",'Database Query'!$E$14)+H271</f>
        <v>#VALUE!</v>
      </c>
      <c r="J271" s="2" t="e" cm="1">
        <f t="array" aca="1" ref="J271" ca="1">_xlfn.IFS($B271="etf", _xll.YCP($A271,"ytd_total_return",'Database Query'!$E$14),$B271&lt;&gt;"etf",_xll.YCP("M:"&amp; $A271,"ytd_total_return",'Database Query'!$E$14))</f>
        <v>#VALUE!</v>
      </c>
      <c r="K271" s="2" t="e" cm="1">
        <f t="array" aca="1" ref="K271" ca="1">-_xll.YCP($E271,"ytd_return",'Database Query'!$E$14)+J271</f>
        <v>#VALUE!</v>
      </c>
      <c r="L271" s="2" t="e" cm="1">
        <f t="array" aca="1" ref="L271" ca="1">_xlfn.IFS($B271="etf", _xll.YCP($A271,"one_year_total_return",'Database Query'!$E$14),$B271&lt;&gt;"etf",_xll.YCP("M:"&amp; $A271,"one_year_total_return",'Database Query'!$E$14))</f>
        <v>#VALUE!</v>
      </c>
      <c r="M271" s="2" t="e" cm="1">
        <f t="array" aca="1" ref="M271" ca="1">-_xll.YCP($E271,"one_year_return",'Database Query'!$E$14)+L271</f>
        <v>#VALUE!</v>
      </c>
      <c r="N271" s="2" t="e" cm="1">
        <f t="array" aca="1" ref="N271" ca="1">_xlfn.IFS($B271="etf", _xll.YCP($A271,"three_year_total_return",'Database Query'!$E$14),$B271&lt;&gt;"etf",_xll.YCP("M:"&amp; $A271,"three_year_total_return",'Database Query'!$E$14))</f>
        <v>#VALUE!</v>
      </c>
      <c r="O271" s="2" t="e" cm="1">
        <f t="array" aca="1" ref="O271" ca="1">-_xll.YCP($E271,"three_year_return",'Database Query'!$E$14)+N271</f>
        <v>#VALUE!</v>
      </c>
      <c r="P271" s="2" t="e" cm="1">
        <f t="array" aca="1" ref="P271" ca="1">_xlfn.IFS($B271="etf", _xll.YCP($A271,"five_year_total_return",'Database Query'!$E$14),$B271&lt;&gt;"etf",_xll.YCP("M:"&amp; $A271,"five_year_total_return",'Database Query'!$E$14))</f>
        <v>#VALUE!</v>
      </c>
      <c r="Q271" s="2" t="e" cm="1">
        <f t="array" aca="1" ref="Q271" ca="1">-_xll.YCP($E271,"five_year_return",'Database Query'!$E$14)+P271</f>
        <v>#VALUE!</v>
      </c>
    </row>
    <row r="272" spans="1:17" x14ac:dyDescent="0.25">
      <c r="A272" t="str">
        <v>VWO</v>
      </c>
      <c r="B272" t="str" cm="1">
        <f t="array" aca="1" ref="B272" ca="1">_xll.YCI(A272,"detailed_security_type",TODAY())</f>
        <v>etf</v>
      </c>
      <c r="C272" t="str" cm="1">
        <f t="array" aca="1" ref="C272" ca="1">_xlfn.IFS(B272="etf", _xll.YCI(A272, "security_name",TODAY()),B272&lt;&gt;"etf",_xll.YCI("M:" &amp; A272, "security_name",TODAY()))</f>
        <v>Vanguard Emerging Markets Stock Index Fund ETF</v>
      </c>
      <c r="D272" t="str" cm="1">
        <f t="array" aca="1" ref="D272" ca="1">_xlfn.IFS($B272="etf", _xll.YCI($A272, "ycharts_benchmark_category",TODAY()),$B272&lt;&gt;"etf",_xll.YCI("M:" &amp; $A272, "ycharts_benchmark_category",TODAY()))</f>
        <v>Emerging Markets Equity</v>
      </c>
      <c r="E272" t="str" cm="1">
        <f t="array" aca="1" ref="E272" ca="1">_xlfn.IFS($B272="etf", _xll.YCI($A272, "ycharts_benchmark_index_symbol",TODAY()),$B272&lt;&gt;"etf",_xll.YCI("M:" &amp; $A272, "ycharts_benchmark_index_symbol",TODAY()))</f>
        <v>^MSEMTR</v>
      </c>
      <c r="F272" t="str" cm="1">
        <f t="array" aca="1" ref="F272" ca="1">_xlfn.IFS($B272="etf", _xll.YCI($E272, "security_name",TODAY()),$B272&lt;&gt;"etf",_xll.YCI( $E272, "security_name",TODAY()))</f>
        <v>MSCI Emerging Markets Total Return</v>
      </c>
      <c r="G272" t="str" cm="1">
        <f t="array" aca="1" ref="G272" ca="1">_xlfn.IFS($B272="etf", _xll.YCI($A272, "prospectus_benchmark_index",TODAY()),$B272&lt;&gt;"etf",_xll.YCI("M:" &amp; $A272, "prospectus_benchmark_index",TODAY()))</f>
        <v>FTSE EMs AC China A Incl (US RIC) NR USD</v>
      </c>
      <c r="H272" s="2" cm="1">
        <f t="array" aca="1" ref="H272" ca="1">_xlfn.IFS($B272="etf", _xll.YCP($A272,"quarterly_total_return",'Database Query'!$E$14),$B272&lt;&gt;"etf",_xll.YCP("M:"&amp; $A272,"quarterly_total_return",'Database Query'!$E$14))</f>
        <v>-5.7535000000000003E-2</v>
      </c>
      <c r="I272" s="2" cm="1">
        <f t="array" aca="1" ref="I272" ca="1">-_xll.YCP($E272,"quarterly_return",'Database Query'!$E$14)+H272</f>
        <v>2.0832000000000003E-2</v>
      </c>
      <c r="J272" s="2" cm="1">
        <f t="array" aca="1" ref="J272" ca="1">_xlfn.IFS($B272="etf", _xll.YCP($A272,"ytd_total_return",'Database Query'!$E$14),$B272&lt;&gt;"etf",_xll.YCP("M:"&amp; $A272,"ytd_total_return",'Database Query'!$E$14))</f>
        <v>0.105795</v>
      </c>
      <c r="K272" s="2" cm="1">
        <f t="array" aca="1" ref="K272" ca="1">-_xll.YCP($E272,"ytd_return",'Database Query'!$E$14)+J272</f>
        <v>2.5289000000000006E-2</v>
      </c>
      <c r="L272" s="2" cm="1">
        <f t="array" aca="1" ref="L272" ca="1">_xlfn.IFS($B272="etf", _xll.YCP($A272,"one_year_total_return",'Database Query'!$E$14),$B272&lt;&gt;"etf",_xll.YCP("M:"&amp; $A272,"one_year_total_return",'Database Query'!$E$14))</f>
        <v>0.105795</v>
      </c>
      <c r="M272" s="2" cm="1">
        <f t="array" aca="1" ref="M272" ca="1">-_xll.YCP($E272,"one_year_return",'Database Query'!$E$14)+L272</f>
        <v>2.5289000000000006E-2</v>
      </c>
      <c r="N272" s="2" cm="1">
        <f t="array" aca="1" ref="N272" ca="1">_xlfn.IFS($B272="etf", _xll.YCP($A272,"three_year_total_return",'Database Query'!$E$14),$B272&lt;&gt;"etf",_xll.YCP("M:"&amp; $A272,"three_year_total_return",'Database Query'!$E$14))</f>
        <v>-9.1439999999999994E-3</v>
      </c>
      <c r="O272" s="2" cm="1">
        <f t="array" aca="1" ref="O272" ca="1">-_xll.YCP($E272,"three_year_return",'Database Query'!$E$14)+N272</f>
        <v>3.4570999999999998E-2</v>
      </c>
      <c r="P272" s="2" cm="1">
        <f t="array" aca="1" ref="P272" ca="1">_xlfn.IFS($B272="etf", _xll.YCP($A272,"five_year_total_return",'Database Query'!$E$14),$B272&lt;&gt;"etf",_xll.YCP("M:"&amp; $A272,"five_year_total_return",'Database Query'!$E$14))</f>
        <v>0.156198</v>
      </c>
      <c r="Q272" s="2" cm="1">
        <f t="array" aca="1" ref="Q272" ca="1">-_xll.YCP($E272,"five_year_return",'Database Query'!$E$14)+P272</f>
        <v>4.6446000000000001E-2</v>
      </c>
    </row>
    <row r="273" spans="1:17" x14ac:dyDescent="0.25">
      <c r="A273" t="str">
        <v>WSTYX</v>
      </c>
      <c r="B273" t="e" cm="1">
        <f t="array" aca="1" ref="B273" ca="1">_xll.YCI(A273,"detailed_security_type",TODAY())</f>
        <v>#VALUE!</v>
      </c>
      <c r="C273" t="e" cm="1">
        <f t="array" aca="1" ref="C273" ca="1">_xlfn.IFS(B273="etf", _xll.YCI(A273, "security_name",TODAY()),B273&lt;&gt;"etf",_xll.YCI("M:" &amp; A273, "security_name",TODAY()))</f>
        <v>#VALUE!</v>
      </c>
      <c r="D273" t="e" cm="1">
        <f t="array" aca="1" ref="D273" ca="1">_xlfn.IFS($B273="etf", _xll.YCI($A273, "ycharts_benchmark_category",TODAY()),$B273&lt;&gt;"etf",_xll.YCI("M:" &amp; $A273, "ycharts_benchmark_category",TODAY()))</f>
        <v>#VALUE!</v>
      </c>
      <c r="E273" t="e" cm="1">
        <f t="array" aca="1" ref="E273" ca="1">_xlfn.IFS($B273="etf", _xll.YCI($A273, "ycharts_benchmark_index_symbol",TODAY()),$B273&lt;&gt;"etf",_xll.YCI("M:" &amp; $A273, "ycharts_benchmark_index_symbol",TODAY()))</f>
        <v>#VALUE!</v>
      </c>
      <c r="F273" t="e" cm="1">
        <f t="array" aca="1" ref="F273" ca="1">_xlfn.IFS($B273="etf", _xll.YCI($E273, "security_name",TODAY()),$B273&lt;&gt;"etf",_xll.YCI( $E273, "security_name",TODAY()))</f>
        <v>#VALUE!</v>
      </c>
      <c r="G273" t="e" cm="1">
        <f t="array" aca="1" ref="G273" ca="1">_xlfn.IFS($B273="etf", _xll.YCI($A273, "prospectus_benchmark_index",TODAY()),$B273&lt;&gt;"etf",_xll.YCI("M:" &amp; $A273, "prospectus_benchmark_index",TODAY()))</f>
        <v>#VALUE!</v>
      </c>
      <c r="H273" s="2" t="e" cm="1">
        <f t="array" aca="1" ref="H273" ca="1">_xlfn.IFS($B273="etf", _xll.YCP($A273,"quarterly_total_return",'Database Query'!$E$14),$B273&lt;&gt;"etf",_xll.YCP("M:"&amp; $A273,"quarterly_total_return",'Database Query'!$E$14))</f>
        <v>#VALUE!</v>
      </c>
      <c r="I273" s="2" t="e" cm="1">
        <f t="array" aca="1" ref="I273" ca="1">-_xll.YCP($E273,"quarterly_return",'Database Query'!$E$14)+H273</f>
        <v>#VALUE!</v>
      </c>
      <c r="J273" s="2" t="e" cm="1">
        <f t="array" aca="1" ref="J273" ca="1">_xlfn.IFS($B273="etf", _xll.YCP($A273,"ytd_total_return",'Database Query'!$E$14),$B273&lt;&gt;"etf",_xll.YCP("M:"&amp; $A273,"ytd_total_return",'Database Query'!$E$14))</f>
        <v>#VALUE!</v>
      </c>
      <c r="K273" s="2" t="e" cm="1">
        <f t="array" aca="1" ref="K273" ca="1">-_xll.YCP($E273,"ytd_return",'Database Query'!$E$14)+J273</f>
        <v>#VALUE!</v>
      </c>
      <c r="L273" s="2" t="e" cm="1">
        <f t="array" aca="1" ref="L273" ca="1">_xlfn.IFS($B273="etf", _xll.YCP($A273,"one_year_total_return",'Database Query'!$E$14),$B273&lt;&gt;"etf",_xll.YCP("M:"&amp; $A273,"one_year_total_return",'Database Query'!$E$14))</f>
        <v>#VALUE!</v>
      </c>
      <c r="M273" s="2" t="e" cm="1">
        <f t="array" aca="1" ref="M273" ca="1">-_xll.YCP($E273,"one_year_return",'Database Query'!$E$14)+L273</f>
        <v>#VALUE!</v>
      </c>
      <c r="N273" s="2" t="e" cm="1">
        <f t="array" aca="1" ref="N273" ca="1">_xlfn.IFS($B273="etf", _xll.YCP($A273,"three_year_total_return",'Database Query'!$E$14),$B273&lt;&gt;"etf",_xll.YCP("M:"&amp; $A273,"three_year_total_return",'Database Query'!$E$14))</f>
        <v>#VALUE!</v>
      </c>
      <c r="O273" s="2" t="e" cm="1">
        <f t="array" aca="1" ref="O273" ca="1">-_xll.YCP($E273,"three_year_return",'Database Query'!$E$14)+N273</f>
        <v>#VALUE!</v>
      </c>
      <c r="P273" s="2" t="e" cm="1">
        <f t="array" aca="1" ref="P273" ca="1">_xlfn.IFS($B273="etf", _xll.YCP($A273,"five_year_total_return",'Database Query'!$E$14),$B273&lt;&gt;"etf",_xll.YCP("M:"&amp; $A273,"five_year_total_return",'Database Query'!$E$14))</f>
        <v>#VALUE!</v>
      </c>
      <c r="Q273" s="2" t="e" cm="1">
        <f t="array" aca="1" ref="Q273" ca="1">-_xll.YCP($E273,"five_year_return",'Database Query'!$E$14)+P273</f>
        <v>#VALUE!</v>
      </c>
    </row>
    <row r="274" spans="1:17" x14ac:dyDescent="0.25">
      <c r="A274" t="str">
        <v>XLB</v>
      </c>
      <c r="B274" t="str" cm="1">
        <f t="array" aca="1" ref="B274" ca="1">_xll.YCI(A274,"detailed_security_type",TODAY())</f>
        <v>etf</v>
      </c>
      <c r="C274" t="str" cm="1">
        <f t="array" aca="1" ref="C274" ca="1">_xlfn.IFS(B274="etf", _xll.YCI(A274, "security_name",TODAY()),B274&lt;&gt;"etf",_xll.YCI("M:" &amp; A274, "security_name",TODAY()))</f>
        <v>Materials Select Sector SPDR Fund</v>
      </c>
      <c r="D274" t="str" cm="1">
        <f t="array" aca="1" ref="D274" ca="1">_xlfn.IFS($B274="etf", _xll.YCI($A274, "ycharts_benchmark_category",TODAY()),$B274&lt;&gt;"etf",_xll.YCI("M:" &amp; $A274, "ycharts_benchmark_category",TODAY()))</f>
        <v>Financials Equity</v>
      </c>
      <c r="E274" t="str" cm="1">
        <f t="array" aca="1" ref="E274" ca="1">_xlfn.IFS($B274="etf", _xll.YCI($A274, "ycharts_benchmark_index_symbol",TODAY()),$B274&lt;&gt;"etf",_xll.YCI("M:" &amp; $A274, "ycharts_benchmark_index_symbol",TODAY()))</f>
        <v>^SP15FINSTR</v>
      </c>
      <c r="F274" t="str" cm="1">
        <f t="array" aca="1" ref="F274" ca="1">_xlfn.IFS($B274="etf", _xll.YCI($E274, "security_name",TODAY()),$B274&lt;&gt;"etf",_xll.YCI( $E274, "security_name",TODAY()))</f>
        <v>S&amp;P 1500 Financials (Sector) Total Return</v>
      </c>
      <c r="G274" t="str" cm="1">
        <f t="array" aca="1" ref="G274" ca="1">_xlfn.IFS($B274="etf", _xll.YCI($A274, "prospectus_benchmark_index",TODAY()),$B274&lt;&gt;"etf",_xll.YCI("M:" &amp; $A274, "prospectus_benchmark_index",TODAY()))</f>
        <v>S&amp;P Materials Select Sector TR USD</v>
      </c>
      <c r="H274" s="2" cm="1">
        <f t="array" aca="1" ref="H274" ca="1">_xlfn.IFS($B274="etf", _xll.YCP($A274,"quarterly_total_return",'Database Query'!$E$14),$B274&lt;&gt;"etf",_xll.YCP("M:"&amp; $A274,"quarterly_total_return",'Database Query'!$E$14))</f>
        <v>-0.12243800000000001</v>
      </c>
      <c r="I274" s="2" cm="1">
        <f t="array" aca="1" ref="I274" ca="1">-_xll.YCP($E274,"quarterly_return",'Database Query'!$E$14)+H274</f>
        <v>-0.19165300000000002</v>
      </c>
      <c r="J274" s="2" cm="1">
        <f t="array" aca="1" ref="J274" ca="1">_xlfn.IFS($B274="etf", _xll.YCP($A274,"ytd_total_return",'Database Query'!$E$14),$B274&lt;&gt;"etf",_xll.YCP("M:"&amp; $A274,"ytd_total_return",'Database Query'!$E$14))</f>
        <v>1.4339999999999999E-3</v>
      </c>
      <c r="K274" s="2" cm="1">
        <f t="array" aca="1" ref="K274" ca="1">-_xll.YCP($E274,"ytd_return",'Database Query'!$E$14)+J274</f>
        <v>-0.29639700000000002</v>
      </c>
      <c r="L274" s="2" cm="1">
        <f t="array" aca="1" ref="L274" ca="1">_xlfn.IFS($B274="etf", _xll.YCP($A274,"one_year_total_return",'Database Query'!$E$14),$B274&lt;&gt;"etf",_xll.YCP("M:"&amp; $A274,"one_year_total_return",'Database Query'!$E$14))</f>
        <v>1.4339999999999999E-3</v>
      </c>
      <c r="M274" s="2" cm="1">
        <f t="array" aca="1" ref="M274" ca="1">-_xll.YCP($E274,"one_year_return",'Database Query'!$E$14)+L274</f>
        <v>-0.29639700000000002</v>
      </c>
      <c r="N274" s="2" cm="1">
        <f t="array" aca="1" ref="N274" ca="1">_xlfn.IFS($B274="etf", _xll.YCP($A274,"three_year_total_return",'Database Query'!$E$14),$B274&lt;&gt;"etf",_xll.YCP("M:"&amp; $A274,"three_year_total_return",'Database Query'!$E$14))</f>
        <v>-1.2468E-2</v>
      </c>
      <c r="O274" s="2" cm="1">
        <f t="array" aca="1" ref="O274" ca="1">-_xll.YCP($E274,"three_year_return",'Database Query'!$E$14)+N274</f>
        <v>-0.31459299999999996</v>
      </c>
      <c r="P274" s="2" cm="1">
        <f t="array" aca="1" ref="P274" ca="1">_xlfn.IFS($B274="etf", _xll.YCP($A274,"five_year_total_return",'Database Query'!$E$14),$B274&lt;&gt;"etf",_xll.YCP("M:"&amp; $A274,"five_year_total_return",'Database Query'!$E$14))</f>
        <v>0.51687899999999998</v>
      </c>
      <c r="Q274" s="2" cm="1">
        <f t="array" aca="1" ref="Q274" ca="1">-_xll.YCP($E274,"five_year_return",'Database Query'!$E$14)+P274</f>
        <v>-0.20166899999999999</v>
      </c>
    </row>
    <row r="275" spans="1:17" x14ac:dyDescent="0.25">
      <c r="A275" t="str">
        <v>XLF</v>
      </c>
      <c r="B275" t="str" cm="1">
        <f t="array" aca="1" ref="B275" ca="1">_xll.YCI(A275,"detailed_security_type",TODAY())</f>
        <v>etf</v>
      </c>
      <c r="C275" t="str" cm="1">
        <f t="array" aca="1" ref="C275" ca="1">_xlfn.IFS(B275="etf", _xll.YCI(A275, "security_name",TODAY()),B275&lt;&gt;"etf",_xll.YCI("M:" &amp; A275, "security_name",TODAY()))</f>
        <v>Financial Select Sector SPDR Fund</v>
      </c>
      <c r="D275" t="str" cm="1">
        <f t="array" aca="1" ref="D275" ca="1">_xlfn.IFS($B275="etf", _xll.YCI($A275, "ycharts_benchmark_category",TODAY()),$B275&lt;&gt;"etf",_xll.YCI("M:" &amp; $A275, "ycharts_benchmark_category",TODAY()))</f>
        <v>Financials Equity</v>
      </c>
      <c r="E275" t="str" cm="1">
        <f t="array" aca="1" ref="E275" ca="1">_xlfn.IFS($B275="etf", _xll.YCI($A275, "ycharts_benchmark_index_symbol",TODAY()),$B275&lt;&gt;"etf",_xll.YCI("M:" &amp; $A275, "ycharts_benchmark_index_symbol",TODAY()))</f>
        <v>^SP15FINSTR</v>
      </c>
      <c r="F275" t="str" cm="1">
        <f t="array" aca="1" ref="F275" ca="1">_xlfn.IFS($B275="etf", _xll.YCI($E275, "security_name",TODAY()),$B275&lt;&gt;"etf",_xll.YCI( $E275, "security_name",TODAY()))</f>
        <v>S&amp;P 1500 Financials (Sector) Total Return</v>
      </c>
      <c r="G275" t="str" cm="1">
        <f t="array" aca="1" ref="G275" ca="1">_xlfn.IFS($B275="etf", _xll.YCI($A275, "prospectus_benchmark_index",TODAY()),$B275&lt;&gt;"etf",_xll.YCI("M:" &amp; $A275, "prospectus_benchmark_index",TODAY()))</f>
        <v>S&amp;P Financial Select Sector TR USD</v>
      </c>
      <c r="H275" s="2" cm="1">
        <f t="array" aca="1" ref="H275" ca="1">_xlfn.IFS($B275="etf", _xll.YCP($A275,"quarterly_total_return",'Database Query'!$E$14),$B275&lt;&gt;"etf",_xll.YCP("M:"&amp; $A275,"quarterly_total_return",'Database Query'!$E$14))</f>
        <v>7.0958999999999994E-2</v>
      </c>
      <c r="I275" s="2" cm="1">
        <f t="array" aca="1" ref="I275" ca="1">-_xll.YCP($E275,"quarterly_return",'Database Query'!$E$14)+H275</f>
        <v>1.7439999999999956E-3</v>
      </c>
      <c r="J275" s="2" cm="1">
        <f t="array" aca="1" ref="J275" ca="1">_xlfn.IFS($B275="etf", _xll.YCP($A275,"ytd_total_return",'Database Query'!$E$14),$B275&lt;&gt;"etf",_xll.YCP("M:"&amp; $A275,"ytd_total_return",'Database Query'!$E$14))</f>
        <v>0.30546800000000002</v>
      </c>
      <c r="K275" s="2" cm="1">
        <f t="array" aca="1" ref="K275" ca="1">-_xll.YCP($E275,"ytd_return",'Database Query'!$E$14)+J275</f>
        <v>7.6370000000000049E-3</v>
      </c>
      <c r="L275" s="2" cm="1">
        <f t="array" aca="1" ref="L275" ca="1">_xlfn.IFS($B275="etf", _xll.YCP($A275,"one_year_total_return",'Database Query'!$E$14),$B275&lt;&gt;"etf",_xll.YCP("M:"&amp; $A275,"one_year_total_return",'Database Query'!$E$14))</f>
        <v>0.30546800000000002</v>
      </c>
      <c r="M275" s="2" cm="1">
        <f t="array" aca="1" ref="M275" ca="1">-_xll.YCP($E275,"one_year_return",'Database Query'!$E$14)+L275</f>
        <v>7.6370000000000049E-3</v>
      </c>
      <c r="N275" s="2" cm="1">
        <f t="array" aca="1" ref="N275" ca="1">_xlfn.IFS($B275="etf", _xll.YCP($A275,"three_year_total_return",'Database Query'!$E$14),$B275&lt;&gt;"etf",_xll.YCP("M:"&amp; $A275,"three_year_total_return",'Database Query'!$E$14))</f>
        <v>0.30739</v>
      </c>
      <c r="O275" s="2" cm="1">
        <f t="array" aca="1" ref="O275" ca="1">-_xll.YCP($E275,"three_year_return",'Database Query'!$E$14)+N275</f>
        <v>5.2650000000000197E-3</v>
      </c>
      <c r="P275" s="2" cm="1">
        <f t="array" aca="1" ref="P275" ca="1">_xlfn.IFS($B275="etf", _xll.YCP($A275,"five_year_total_return",'Database Query'!$E$14),$B275&lt;&gt;"etf",_xll.YCP("M:"&amp; $A275,"five_year_total_return",'Database Query'!$E$14))</f>
        <v>0.73316000000000003</v>
      </c>
      <c r="Q275" s="2" cm="1">
        <f t="array" aca="1" ref="Q275" ca="1">-_xll.YCP($E275,"five_year_return",'Database Query'!$E$14)+P275</f>
        <v>1.4612000000000069E-2</v>
      </c>
    </row>
    <row r="276" spans="1:17" x14ac:dyDescent="0.25">
      <c r="A276" t="str">
        <v>XLI</v>
      </c>
      <c r="B276" t="str" cm="1">
        <f t="array" aca="1" ref="B276" ca="1">_xll.YCI(A276,"detailed_security_type",TODAY())</f>
        <v>etf</v>
      </c>
      <c r="C276" t="str" cm="1">
        <f t="array" aca="1" ref="C276" ca="1">_xlfn.IFS(B276="etf", _xll.YCI(A276, "security_name",TODAY()),B276&lt;&gt;"etf",_xll.YCI("M:" &amp; A276, "security_name",TODAY()))</f>
        <v>Industrial Select Sector SPDR Fund</v>
      </c>
      <c r="D276" t="str" cm="1">
        <f t="array" aca="1" ref="D276" ca="1">_xlfn.IFS($B276="etf", _xll.YCI($A276, "ycharts_benchmark_category",TODAY()),$B276&lt;&gt;"etf",_xll.YCI("M:" &amp; $A276, "ycharts_benchmark_category",TODAY()))</f>
        <v>Industrials Equity</v>
      </c>
      <c r="E276" t="str" cm="1">
        <f t="array" aca="1" ref="E276" ca="1">_xlfn.IFS($B276="etf", _xll.YCI($A276, "ycharts_benchmark_index_symbol",TODAY()),$B276&lt;&gt;"etf",_xll.YCI("M:" &amp; $A276, "ycharts_benchmark_index_symbol",TODAY()))</f>
        <v>^SP15INSTR</v>
      </c>
      <c r="F276" t="str" cm="1">
        <f t="array" aca="1" ref="F276" ca="1">_xlfn.IFS($B276="etf", _xll.YCI($E276, "security_name",TODAY()),$B276&lt;&gt;"etf",_xll.YCI( $E276, "security_name",TODAY()))</f>
        <v>S&amp;P 1500 Industrials (Sector) Total Return</v>
      </c>
      <c r="G276" t="str" cm="1">
        <f t="array" aca="1" ref="G276" ca="1">_xlfn.IFS($B276="etf", _xll.YCI($A276, "prospectus_benchmark_index",TODAY()),$B276&lt;&gt;"etf",_xll.YCI("M:" &amp; $A276, "prospectus_benchmark_index",TODAY()))</f>
        <v>S&amp;P Industrial Select Sector TR USD</v>
      </c>
      <c r="H276" s="2" cm="1">
        <f t="array" aca="1" ref="H276" ca="1">_xlfn.IFS($B276="etf", _xll.YCP($A276,"quarterly_total_return",'Database Query'!$E$14),$B276&lt;&gt;"etf",_xll.YCP("M:"&amp; $A276,"quarterly_total_return",'Database Query'!$E$14))</f>
        <v>-2.2273000000000001E-2</v>
      </c>
      <c r="I276" s="2" cm="1">
        <f t="array" aca="1" ref="I276" ca="1">-_xll.YCP($E276,"quarterly_return",'Database Query'!$E$14)+H276</f>
        <v>-2.7340000000000003E-3</v>
      </c>
      <c r="J276" s="2" cm="1">
        <f t="array" aca="1" ref="J276" ca="1">_xlfn.IFS($B276="etf", _xll.YCP($A276,"ytd_total_return",'Database Query'!$E$14),$B276&lt;&gt;"etf",_xll.YCP("M:"&amp; $A276,"ytd_total_return",'Database Query'!$E$14))</f>
        <v>0.17305599999999999</v>
      </c>
      <c r="K276" s="2" cm="1">
        <f t="array" aca="1" ref="K276" ca="1">-_xll.YCP($E276,"ytd_return",'Database Query'!$E$14)+J276</f>
        <v>3.6409999999999776E-3</v>
      </c>
      <c r="L276" s="2" cm="1">
        <f t="array" aca="1" ref="L276" ca="1">_xlfn.IFS($B276="etf", _xll.YCP($A276,"one_year_total_return",'Database Query'!$E$14),$B276&lt;&gt;"etf",_xll.YCP("M:"&amp; $A276,"one_year_total_return",'Database Query'!$E$14))</f>
        <v>0.17305599999999999</v>
      </c>
      <c r="M276" s="2" cm="1">
        <f t="array" aca="1" ref="M276" ca="1">-_xll.YCP($E276,"one_year_return",'Database Query'!$E$14)+L276</f>
        <v>3.6409999999999776E-3</v>
      </c>
      <c r="N276" s="2" cm="1">
        <f t="array" aca="1" ref="N276" ca="1">_xlfn.IFS($B276="etf", _xll.YCP($A276,"three_year_total_return",'Database Query'!$E$14),$B276&lt;&gt;"etf",_xll.YCP("M:"&amp; $A276,"three_year_total_return",'Database Query'!$E$14))</f>
        <v>0.30834499999999998</v>
      </c>
      <c r="O276" s="2" cm="1">
        <f t="array" aca="1" ref="O276" ca="1">-_xll.YCP($E276,"three_year_return",'Database Query'!$E$14)+N276</f>
        <v>-8.8750000000000218E-3</v>
      </c>
      <c r="P276" s="2" cm="1">
        <f t="array" aca="1" ref="P276" ca="1">_xlfn.IFS($B276="etf", _xll.YCP($A276,"five_year_total_return",'Database Query'!$E$14),$B276&lt;&gt;"etf",_xll.YCP("M:"&amp; $A276,"five_year_total_return",'Database Query'!$E$14))</f>
        <v>0.75787099999999996</v>
      </c>
      <c r="Q276" s="2" cm="1">
        <f t="array" aca="1" ref="Q276" ca="1">-_xll.YCP($E276,"five_year_return",'Database Query'!$E$14)+P276</f>
        <v>-3.9677999999999991E-2</v>
      </c>
    </row>
    <row r="277" spans="1:17" x14ac:dyDescent="0.25">
      <c r="A277" t="str">
        <v>XLK</v>
      </c>
      <c r="B277" t="str" cm="1">
        <f t="array" aca="1" ref="B277" ca="1">_xll.YCI(A277,"detailed_security_type",TODAY())</f>
        <v>etf</v>
      </c>
      <c r="C277" t="str" cm="1">
        <f t="array" aca="1" ref="C277" ca="1">_xlfn.IFS(B277="etf", _xll.YCI(A277, "security_name",TODAY()),B277&lt;&gt;"etf",_xll.YCI("M:" &amp; A277, "security_name",TODAY()))</f>
        <v>Technology Select Sector SPDR Fund</v>
      </c>
      <c r="D277" t="str" cm="1">
        <f t="array" aca="1" ref="D277" ca="1">_xlfn.IFS($B277="etf", _xll.YCI($A277, "ycharts_benchmark_category",TODAY()),$B277&lt;&gt;"etf",_xll.YCI("M:" &amp; $A277, "ycharts_benchmark_category",TODAY()))</f>
        <v>Financials Equity</v>
      </c>
      <c r="E277" t="str" cm="1">
        <f t="array" aca="1" ref="E277" ca="1">_xlfn.IFS($B277="etf", _xll.YCI($A277, "ycharts_benchmark_index_symbol",TODAY()),$B277&lt;&gt;"etf",_xll.YCI("M:" &amp; $A277, "ycharts_benchmark_index_symbol",TODAY()))</f>
        <v>^SP15FINSTR</v>
      </c>
      <c r="F277" t="str" cm="1">
        <f t="array" aca="1" ref="F277" ca="1">_xlfn.IFS($B277="etf", _xll.YCI($E277, "security_name",TODAY()),$B277&lt;&gt;"etf",_xll.YCI( $E277, "security_name",TODAY()))</f>
        <v>S&amp;P 1500 Financials (Sector) Total Return</v>
      </c>
      <c r="G277" t="str" cm="1">
        <f t="array" aca="1" ref="G277" ca="1">_xlfn.IFS($B277="etf", _xll.YCI($A277, "prospectus_benchmark_index",TODAY()),$B277&lt;&gt;"etf",_xll.YCI("M:" &amp; $A277, "prospectus_benchmark_index",TODAY()))</f>
        <v>S&amp;P Technology Select Sector TR USD</v>
      </c>
      <c r="H277" s="2" cm="1">
        <f t="array" aca="1" ref="H277" ca="1">_xlfn.IFS($B277="etf", _xll.YCP($A277,"quarterly_total_return",'Database Query'!$E$14),$B277&lt;&gt;"etf",_xll.YCP("M:"&amp; $A277,"quarterly_total_return",'Database Query'!$E$14))</f>
        <v>3.1613000000000002E-2</v>
      </c>
      <c r="I277" s="2" cm="1">
        <f t="array" aca="1" ref="I277" ca="1">-_xll.YCP($E277,"quarterly_return",'Database Query'!$E$14)+H277</f>
        <v>-3.7601999999999997E-2</v>
      </c>
      <c r="J277" s="2" cm="1">
        <f t="array" aca="1" ref="J277" ca="1">_xlfn.IFS($B277="etf", _xll.YCP($A277,"ytd_total_return",'Database Query'!$E$14),$B277&lt;&gt;"etf",_xll.YCP("M:"&amp; $A277,"ytd_total_return",'Database Query'!$E$14))</f>
        <v>0.21632799999999999</v>
      </c>
      <c r="K277" s="2" cm="1">
        <f t="array" aca="1" ref="K277" ca="1">-_xll.YCP($E277,"ytd_return",'Database Query'!$E$14)+J277</f>
        <v>-8.150300000000002E-2</v>
      </c>
      <c r="L277" s="2" cm="1">
        <f t="array" aca="1" ref="L277" ca="1">_xlfn.IFS($B277="etf", _xll.YCP($A277,"one_year_total_return",'Database Query'!$E$14),$B277&lt;&gt;"etf",_xll.YCP("M:"&amp; $A277,"one_year_total_return",'Database Query'!$E$14))</f>
        <v>0.21632799999999999</v>
      </c>
      <c r="M277" s="2" cm="1">
        <f t="array" aca="1" ref="M277" ca="1">-_xll.YCP($E277,"one_year_return",'Database Query'!$E$14)+L277</f>
        <v>-8.150300000000002E-2</v>
      </c>
      <c r="N277" s="2" cm="1">
        <f t="array" aca="1" ref="N277" ca="1">_xlfn.IFS($B277="etf", _xll.YCP($A277,"three_year_total_return",'Database Query'!$E$14),$B277&lt;&gt;"etf",_xll.YCP("M:"&amp; $A277,"three_year_total_return",'Database Query'!$E$14))</f>
        <v>0.37145800000000001</v>
      </c>
      <c r="O277" s="2" cm="1">
        <f t="array" aca="1" ref="O277" ca="1">-_xll.YCP($E277,"three_year_return",'Database Query'!$E$14)+N277</f>
        <v>6.9333000000000033E-2</v>
      </c>
      <c r="P277" s="2" cm="1">
        <f t="array" aca="1" ref="P277" ca="1">_xlfn.IFS($B277="etf", _xll.YCP($A277,"five_year_total_return",'Database Query'!$E$14),$B277&lt;&gt;"etf",_xll.YCP("M:"&amp; $A277,"five_year_total_return",'Database Query'!$E$14))</f>
        <v>1.653912</v>
      </c>
      <c r="Q277" s="2" cm="1">
        <f t="array" aca="1" ref="Q277" ca="1">-_xll.YCP($E277,"five_year_return",'Database Query'!$E$14)+P277</f>
        <v>0.93536400000000008</v>
      </c>
    </row>
    <row r="278" spans="1:17" x14ac:dyDescent="0.25">
      <c r="A278" t="str">
        <v>XLP</v>
      </c>
      <c r="B278" t="str" cm="1">
        <f t="array" aca="1" ref="B278" ca="1">_xll.YCI(A278,"detailed_security_type",TODAY())</f>
        <v>etf</v>
      </c>
      <c r="C278" t="str" cm="1">
        <f t="array" aca="1" ref="C278" ca="1">_xlfn.IFS(B278="etf", _xll.YCI(A278, "security_name",TODAY()),B278&lt;&gt;"etf",_xll.YCI("M:" &amp; A278, "security_name",TODAY()))</f>
        <v>Consumer Staples Select Sector SPDR Fund</v>
      </c>
      <c r="D278" t="str" cm="1">
        <f t="array" aca="1" ref="D278" ca="1">_xlfn.IFS($B278="etf", _xll.YCI($A278, "ycharts_benchmark_category",TODAY()),$B278&lt;&gt;"etf",_xll.YCI("M:" &amp; $A278, "ycharts_benchmark_category",TODAY()))</f>
        <v>Consumer Services Equity</v>
      </c>
      <c r="E278" t="str" cm="1">
        <f t="array" aca="1" ref="E278" ca="1">_xlfn.IFS($B278="etf", _xll.YCI($A278, "ycharts_benchmark_index_symbol",TODAY()),$B278&lt;&gt;"etf",_xll.YCI("M:" &amp; $A278, "ycharts_benchmark_index_symbol",TODAY()))</f>
        <v>^SP15CNSSTR</v>
      </c>
      <c r="F278" t="str" cm="1">
        <f t="array" aca="1" ref="F278" ca="1">_xlfn.IFS($B278="etf", _xll.YCI($E278, "security_name",TODAY()),$B278&lt;&gt;"etf",_xll.YCI( $E278, "security_name",TODAY()))</f>
        <v>S&amp;P 1500 Consumer Staples (Sector) Total Return</v>
      </c>
      <c r="G278" t="str" cm="1">
        <f t="array" aca="1" ref="G278" ca="1">_xlfn.IFS($B278="etf", _xll.YCI($A278, "prospectus_benchmark_index",TODAY()),$B278&lt;&gt;"etf",_xll.YCI("M:" &amp; $A278, "prospectus_benchmark_index",TODAY()))</f>
        <v>S&amp;P Cons Staples Select Sector TR USD</v>
      </c>
      <c r="H278" s="2" cm="1">
        <f t="array" aca="1" ref="H278" ca="1">_xlfn.IFS($B278="etf", _xll.YCP($A278,"quarterly_total_return",'Database Query'!$E$14),$B278&lt;&gt;"etf",_xll.YCP("M:"&amp; $A278,"quarterly_total_return",'Database Query'!$E$14))</f>
        <v>-4.5663000000000002E-2</v>
      </c>
      <c r="I278" s="2" cm="1">
        <f t="array" aca="1" ref="I278" ca="1">-_xll.YCP($E278,"quarterly_return",'Database Query'!$E$14)+H278</f>
        <v>-1.6901000000000003E-2</v>
      </c>
      <c r="J278" s="2" cm="1">
        <f t="array" aca="1" ref="J278" ca="1">_xlfn.IFS($B278="etf", _xll.YCP($A278,"ytd_total_return",'Database Query'!$E$14),$B278&lt;&gt;"etf",_xll.YCP("M:"&amp; $A278,"ytd_total_return",'Database Query'!$E$14))</f>
        <v>0.12189800000000001</v>
      </c>
      <c r="K278" s="2" cm="1">
        <f t="array" aca="1" ref="K278" ca="1">-_xll.YCP($E278,"ytd_return",'Database Query'!$E$14)+J278</f>
        <v>-2.5935999999999987E-2</v>
      </c>
      <c r="L278" s="2" cm="1">
        <f t="array" aca="1" ref="L278" ca="1">_xlfn.IFS($B278="etf", _xll.YCP($A278,"one_year_total_return",'Database Query'!$E$14),$B278&lt;&gt;"etf",_xll.YCP("M:"&amp; $A278,"one_year_total_return",'Database Query'!$E$14))</f>
        <v>0.12189800000000001</v>
      </c>
      <c r="M278" s="2" cm="1">
        <f t="array" aca="1" ref="M278" ca="1">-_xll.YCP($E278,"one_year_return",'Database Query'!$E$14)+L278</f>
        <v>-2.5935999999999987E-2</v>
      </c>
      <c r="N278" s="2" cm="1">
        <f t="array" aca="1" ref="N278" ca="1">_xlfn.IFS($B278="etf", _xll.YCP($A278,"three_year_total_return",'Database Query'!$E$14),$B278&lt;&gt;"etf",_xll.YCP("M:"&amp; $A278,"three_year_total_return",'Database Query'!$E$14))</f>
        <v>0.10335</v>
      </c>
      <c r="O278" s="2" cm="1">
        <f t="array" aca="1" ref="O278" ca="1">-_xll.YCP($E278,"three_year_return",'Database Query'!$E$14)+N278</f>
        <v>-5.079800000000001E-2</v>
      </c>
      <c r="P278" s="2" cm="1">
        <f t="array" aca="1" ref="P278" ca="1">_xlfn.IFS($B278="etf", _xll.YCP($A278,"five_year_total_return",'Database Query'!$E$14),$B278&lt;&gt;"etf",_xll.YCP("M:"&amp; $A278,"five_year_total_return",'Database Query'!$E$14))</f>
        <v>0.42430400000000001</v>
      </c>
      <c r="Q278" s="2" cm="1">
        <f t="array" aca="1" ref="Q278" ca="1">-_xll.YCP($E278,"five_year_return",'Database Query'!$E$14)+P278</f>
        <v>-9.4770999999999939E-2</v>
      </c>
    </row>
    <row r="279" spans="1:17" x14ac:dyDescent="0.25">
      <c r="A279" t="str">
        <v>XLRE</v>
      </c>
      <c r="B279" t="str" cm="1">
        <f t="array" aca="1" ref="B279" ca="1">_xll.YCI(A279,"detailed_security_type",TODAY())</f>
        <v>etf</v>
      </c>
      <c r="C279" t="str" cm="1">
        <f t="array" aca="1" ref="C279" ca="1">_xlfn.IFS(B279="etf", _xll.YCI(A279, "security_name",TODAY()),B279&lt;&gt;"etf",_xll.YCI("M:" &amp; A279, "security_name",TODAY()))</f>
        <v>Real Estate Select Sector SPDR Fund</v>
      </c>
      <c r="D279" t="str" cm="1">
        <f t="array" aca="1" ref="D279" ca="1">_xlfn.IFS($B279="etf", _xll.YCI($A279, "ycharts_benchmark_category",TODAY()),$B279&lt;&gt;"etf",_xll.YCI("M:" &amp; $A279, "ycharts_benchmark_category",TODAY()))</f>
        <v>Real Estate Equity</v>
      </c>
      <c r="E279" t="str" cm="1">
        <f t="array" aca="1" ref="E279" ca="1">_xlfn.IFS($B279="etf", _xll.YCI($A279, "ycharts_benchmark_index_symbol",TODAY()),$B279&lt;&gt;"etf",_xll.YCI("M:" &amp; $A279, "ycharts_benchmark_index_symbol",TODAY()))</f>
        <v>^SP15RESTR</v>
      </c>
      <c r="F279" t="str" cm="1">
        <f t="array" aca="1" ref="F279" ca="1">_xlfn.IFS($B279="etf", _xll.YCI($E279, "security_name",TODAY()),$B279&lt;&gt;"etf",_xll.YCI( $E279, "security_name",TODAY()))</f>
        <v>S&amp;P 1500 Real Estate (Sector) Total Return</v>
      </c>
      <c r="G279" t="str" cm="1">
        <f t="array" aca="1" ref="G279" ca="1">_xlfn.IFS($B279="etf", _xll.YCI($A279, "prospectus_benchmark_index",TODAY()),$B279&lt;&gt;"etf",_xll.YCI("M:" &amp; $A279, "prospectus_benchmark_index",TODAY()))</f>
        <v>S&amp;P Real Estate Select Sector TR USD</v>
      </c>
      <c r="H279" s="2" cm="1">
        <f t="array" aca="1" ref="H279" ca="1">_xlfn.IFS($B279="etf", _xll.YCP($A279,"quarterly_total_return",'Database Query'!$E$14),$B279&lt;&gt;"etf",_xll.YCP("M:"&amp; $A279,"quarterly_total_return",'Database Query'!$E$14))</f>
        <v>-7.9807000000000003E-2</v>
      </c>
      <c r="I279" s="2" cm="1">
        <f t="array" aca="1" ref="I279" ca="1">-_xll.YCP($E279,"quarterly_return",'Database Query'!$E$14)+H279</f>
        <v>-2.2189999999999988E-3</v>
      </c>
      <c r="J279" s="2" cm="1">
        <f t="array" aca="1" ref="J279" ca="1">_xlfn.IFS($B279="etf", _xll.YCP($A279,"ytd_total_return",'Database Query'!$E$14),$B279&lt;&gt;"etf",_xll.YCP("M:"&amp; $A279,"ytd_total_return",'Database Query'!$E$14))</f>
        <v>5.0735000000000002E-2</v>
      </c>
      <c r="K279" s="2" cm="1">
        <f t="array" aca="1" ref="K279" ca="1">-_xll.YCP($E279,"ytd_return",'Database Query'!$E$14)+J279</f>
        <v>-3.5149999999999973E-3</v>
      </c>
      <c r="L279" s="2" cm="1">
        <f t="array" aca="1" ref="L279" ca="1">_xlfn.IFS($B279="etf", _xll.YCP($A279,"one_year_total_return",'Database Query'!$E$14),$B279&lt;&gt;"etf",_xll.YCP("M:"&amp; $A279,"one_year_total_return",'Database Query'!$E$14))</f>
        <v>5.0735000000000002E-2</v>
      </c>
      <c r="M279" s="2" cm="1">
        <f t="array" aca="1" ref="M279" ca="1">-_xll.YCP($E279,"one_year_return",'Database Query'!$E$14)+L279</f>
        <v>-3.5149999999999973E-3</v>
      </c>
      <c r="N279" s="2" cm="1">
        <f t="array" aca="1" ref="N279" ca="1">_xlfn.IFS($B279="etf", _xll.YCP($A279,"three_year_total_return",'Database Query'!$E$14),$B279&lt;&gt;"etf",_xll.YCP("M:"&amp; $A279,"three_year_total_return",'Database Query'!$E$14))</f>
        <v>-0.12917500000000001</v>
      </c>
      <c r="O279" s="2" cm="1">
        <f t="array" aca="1" ref="O279" ca="1">-_xll.YCP($E279,"three_year_return",'Database Query'!$E$14)+N279</f>
        <v>4.5119999999999882E-3</v>
      </c>
      <c r="P279" s="2" cm="1">
        <f t="array" aca="1" ref="P279" ca="1">_xlfn.IFS($B279="etf", _xll.YCP($A279,"five_year_total_return",'Database Query'!$E$14),$B279&lt;&gt;"etf",_xll.YCP("M:"&amp; $A279,"five_year_total_return",'Database Query'!$E$14))</f>
        <v>0.24526100000000001</v>
      </c>
      <c r="Q279" s="2" cm="1">
        <f t="array" aca="1" ref="Q279" ca="1">-_xll.YCP($E279,"five_year_return",'Database Query'!$E$14)+P279</f>
        <v>5.7655000000000012E-2</v>
      </c>
    </row>
    <row r="280" spans="1:17" x14ac:dyDescent="0.25">
      <c r="A280" t="str">
        <v>XLU</v>
      </c>
      <c r="B280" t="str" cm="1">
        <f t="array" aca="1" ref="B280" ca="1">_xll.YCI(A280,"detailed_security_type",TODAY())</f>
        <v>etf</v>
      </c>
      <c r="C280" t="str" cm="1">
        <f t="array" aca="1" ref="C280" ca="1">_xlfn.IFS(B280="etf", _xll.YCI(A280, "security_name",TODAY()),B280&lt;&gt;"etf",_xll.YCI("M:" &amp; A280, "security_name",TODAY()))</f>
        <v>Utilities Select Sector SPDR Fund</v>
      </c>
      <c r="D280" t="str" cm="1">
        <f t="array" aca="1" ref="D280" ca="1">_xlfn.IFS($B280="etf", _xll.YCI($A280, "ycharts_benchmark_category",TODAY()),$B280&lt;&gt;"etf",_xll.YCI("M:" &amp; $A280, "ycharts_benchmark_category",TODAY()))</f>
        <v>Utilities Equity</v>
      </c>
      <c r="E280" t="str" cm="1">
        <f t="array" aca="1" ref="E280" ca="1">_xlfn.IFS($B280="etf", _xll.YCI($A280, "ycharts_benchmark_index_symbol",TODAY()),$B280&lt;&gt;"etf",_xll.YCI("M:" &amp; $A280, "ycharts_benchmark_index_symbol",TODAY()))</f>
        <v>^SPXUSTR</v>
      </c>
      <c r="F280" t="str" cm="1">
        <f t="array" aca="1" ref="F280" ca="1">_xlfn.IFS($B280="etf", _xll.YCI($E280, "security_name",TODAY()),$B280&lt;&gt;"etf",_xll.YCI( $E280, "security_name",TODAY()))</f>
        <v>S&amp;P 500 Utilities (Sector) Total Return</v>
      </c>
      <c r="G280" t="str" cm="1">
        <f t="array" aca="1" ref="G280" ca="1">_xlfn.IFS($B280="etf", _xll.YCI($A280, "prospectus_benchmark_index",TODAY()),$B280&lt;&gt;"etf",_xll.YCI("M:" &amp; $A280, "prospectus_benchmark_index",TODAY()))</f>
        <v>S&amp;P Utilities Select Sector TR USD</v>
      </c>
      <c r="H280" s="2" cm="1">
        <f t="array" aca="1" ref="H280" ca="1">_xlfn.IFS($B280="etf", _xll.YCP($A280,"quarterly_total_return",'Database Query'!$E$14),$B280&lt;&gt;"etf",_xll.YCP("M:"&amp; $A280,"quarterly_total_return",'Database Query'!$E$14))</f>
        <v>-5.5273999999999997E-2</v>
      </c>
      <c r="I280" s="2" cm="1">
        <f t="array" aca="1" ref="I280" ca="1">-_xll.YCP($E280,"quarterly_return",'Database Query'!$E$14)+H280</f>
        <v>-1.389999999999933E-4</v>
      </c>
      <c r="J280" s="2" cm="1">
        <f t="array" aca="1" ref="J280" ca="1">_xlfn.IFS($B280="etf", _xll.YCP($A280,"ytd_total_return",'Database Query'!$E$14),$B280&lt;&gt;"etf",_xll.YCP("M:"&amp; $A280,"ytd_total_return",'Database Query'!$E$14))</f>
        <v>0.23283200000000001</v>
      </c>
      <c r="K280" s="2" cm="1">
        <f t="array" aca="1" ref="K280" ca="1">-_xll.YCP($E280,"ytd_return",'Database Query'!$E$14)+J280</f>
        <v>-1.4629999999999921E-3</v>
      </c>
      <c r="L280" s="2" cm="1">
        <f t="array" aca="1" ref="L280" ca="1">_xlfn.IFS($B280="etf", _xll.YCP($A280,"one_year_total_return",'Database Query'!$E$14),$B280&lt;&gt;"etf",_xll.YCP("M:"&amp; $A280,"one_year_total_return",'Database Query'!$E$14))</f>
        <v>0.23283200000000001</v>
      </c>
      <c r="M280" s="2" cm="1">
        <f t="array" aca="1" ref="M280" ca="1">-_xll.YCP($E280,"one_year_return",'Database Query'!$E$14)+L280</f>
        <v>-1.4629999999999921E-3</v>
      </c>
      <c r="N280" s="2" cm="1">
        <f t="array" aca="1" ref="N280" ca="1">_xlfn.IFS($B280="etf", _xll.YCP($A280,"three_year_total_return",'Database Query'!$E$14),$B280&lt;&gt;"etf",_xll.YCP("M:"&amp; $A280,"three_year_total_return",'Database Query'!$E$14))</f>
        <v>0.16067200000000001</v>
      </c>
      <c r="O280" s="2" cm="1">
        <f t="array" aca="1" ref="O280" ca="1">-_xll.YCP($E280,"three_year_return",'Database Query'!$E$14)+N280</f>
        <v>-4.1779999999999873E-3</v>
      </c>
      <c r="P280" s="2" cm="1">
        <f t="array" aca="1" ref="P280" ca="1">_xlfn.IFS($B280="etf", _xll.YCP($A280,"five_year_total_return",'Database Query'!$E$14),$B280&lt;&gt;"etf",_xll.YCP("M:"&amp; $A280,"five_year_total_return",'Database Query'!$E$14))</f>
        <v>0.373832</v>
      </c>
      <c r="Q280" s="2" cm="1">
        <f t="array" aca="1" ref="Q280" ca="1">-_xll.YCP($E280,"five_year_return",'Database Query'!$E$14)+P280</f>
        <v>-3.4700000000000286E-3</v>
      </c>
    </row>
    <row r="281" spans="1:17" x14ac:dyDescent="0.25">
      <c r="A281" t="str">
        <v>XLY</v>
      </c>
      <c r="B281" t="str" cm="1">
        <f t="array" aca="1" ref="B281" ca="1">_xll.YCI(A281,"detailed_security_type",TODAY())</f>
        <v>etf</v>
      </c>
      <c r="C281" t="str" cm="1">
        <f t="array" aca="1" ref="C281" ca="1">_xlfn.IFS(B281="etf", _xll.YCI(A281, "security_name",TODAY()),B281&lt;&gt;"etf",_xll.YCI("M:" &amp; A281, "security_name",TODAY()))</f>
        <v>Consumer Discretionary Select Sector SPDR Fund</v>
      </c>
      <c r="D281" t="str" cm="1">
        <f t="array" aca="1" ref="D281" ca="1">_xlfn.IFS($B281="etf", _xll.YCI($A281, "ycharts_benchmark_category",TODAY()),$B281&lt;&gt;"etf",_xll.YCI("M:" &amp; $A281, "ycharts_benchmark_category",TODAY()))</f>
        <v>Consumer Services Equity</v>
      </c>
      <c r="E281" t="str" cm="1">
        <f t="array" aca="1" ref="E281" ca="1">_xlfn.IFS($B281="etf", _xll.YCI($A281, "ycharts_benchmark_index_symbol",TODAY()),$B281&lt;&gt;"etf",_xll.YCI("M:" &amp; $A281, "ycharts_benchmark_index_symbol",TODAY()))</f>
        <v>^SP15CNSSTR</v>
      </c>
      <c r="F281" t="str" cm="1">
        <f t="array" aca="1" ref="F281" ca="1">_xlfn.IFS($B281="etf", _xll.YCI($E281, "security_name",TODAY()),$B281&lt;&gt;"etf",_xll.YCI( $E281, "security_name",TODAY()))</f>
        <v>S&amp;P 1500 Consumer Staples (Sector) Total Return</v>
      </c>
      <c r="G281" t="str" cm="1">
        <f t="array" aca="1" ref="G281" ca="1">_xlfn.IFS($B281="etf", _xll.YCI($A281, "prospectus_benchmark_index",TODAY()),$B281&lt;&gt;"etf",_xll.YCI("M:" &amp; $A281, "prospectus_benchmark_index",TODAY()))</f>
        <v>S&amp;P Consumer Disc Select Sector TR USD</v>
      </c>
      <c r="H281" s="2" cm="1">
        <f t="array" aca="1" ref="H281" ca="1">_xlfn.IFS($B281="etf", _xll.YCP($A281,"quarterly_total_return",'Database Query'!$E$14),$B281&lt;&gt;"etf",_xll.YCP("M:"&amp; $A281,"quarterly_total_return",'Database Query'!$E$14))</f>
        <v>0.121795</v>
      </c>
      <c r="I281" s="2" cm="1">
        <f t="array" aca="1" ref="I281" ca="1">-_xll.YCP($E281,"quarterly_return",'Database Query'!$E$14)+H281</f>
        <v>0.150557</v>
      </c>
      <c r="J281" s="2" cm="1">
        <f t="array" aca="1" ref="J281" ca="1">_xlfn.IFS($B281="etf", _xll.YCP($A281,"ytd_total_return",'Database Query'!$E$14),$B281&lt;&gt;"etf",_xll.YCP("M:"&amp; $A281,"ytd_total_return",'Database Query'!$E$14))</f>
        <v>0.26506600000000002</v>
      </c>
      <c r="K281" s="2" cm="1">
        <f t="array" aca="1" ref="K281" ca="1">-_xll.YCP($E281,"ytd_return",'Database Query'!$E$14)+J281</f>
        <v>0.11723200000000003</v>
      </c>
      <c r="L281" s="2" cm="1">
        <f t="array" aca="1" ref="L281" ca="1">_xlfn.IFS($B281="etf", _xll.YCP($A281,"one_year_total_return",'Database Query'!$E$14),$B281&lt;&gt;"etf",_xll.YCP("M:"&amp; $A281,"one_year_total_return",'Database Query'!$E$14))</f>
        <v>0.26506600000000002</v>
      </c>
      <c r="M281" s="2" cm="1">
        <f t="array" aca="1" ref="M281" ca="1">-_xll.YCP($E281,"one_year_return",'Database Query'!$E$14)+L281</f>
        <v>0.11723200000000003</v>
      </c>
      <c r="N281" s="2" cm="1">
        <f t="array" aca="1" ref="N281" ca="1">_xlfn.IFS($B281="etf", _xll.YCP($A281,"three_year_total_return",'Database Query'!$E$14),$B281&lt;&gt;"etf",_xll.YCP("M:"&amp; $A281,"three_year_total_return",'Database Query'!$E$14))</f>
        <v>0.12571599999999999</v>
      </c>
      <c r="O281" s="2" cm="1">
        <f t="array" aca="1" ref="O281" ca="1">-_xll.YCP($E281,"three_year_return",'Database Query'!$E$14)+N281</f>
        <v>-2.8432000000000013E-2</v>
      </c>
      <c r="P281" s="2" cm="1">
        <f t="array" aca="1" ref="P281" ca="1">_xlfn.IFS($B281="etf", _xll.YCP($A281,"five_year_total_return",'Database Query'!$E$14),$B281&lt;&gt;"etf",_xll.YCP("M:"&amp; $A281,"five_year_total_return",'Database Query'!$E$14))</f>
        <v>0.866919</v>
      </c>
      <c r="Q281" s="2" cm="1">
        <f t="array" aca="1" ref="Q281" ca="1">-_xll.YCP($E281,"five_year_return",'Database Query'!$E$14)+P281</f>
        <v>0.34784400000000004</v>
      </c>
    </row>
    <row r="282" spans="1:17" x14ac:dyDescent="0.25">
      <c r="B282" t="str" cm="1">
        <f t="array" aca="1" ref="B282" ca="1">_xll.YCI(A282,"detailed_security_type",TODAY())</f>
        <v/>
      </c>
      <c r="C282" t="str" cm="1">
        <f t="array" aca="1" ref="C282" ca="1">_xlfn.IFS(B282="etf", _xll.YCI(A282, "security_name",TODAY()),B282&lt;&gt;"etf",_xll.YCI("M:" &amp; A282, "security_name",TODAY()))</f>
        <v>ERR: INVALID ASSET</v>
      </c>
      <c r="D282" t="str" cm="1">
        <f t="array" aca="1" ref="D282" ca="1">_xlfn.IFS($B282="etf", _xll.YCI($A282, "ycharts_benchmark_category",TODAY()),$B282&lt;&gt;"etf",_xll.YCI("M:" &amp; $A282, "ycharts_benchmark_category",TODAY()))</f>
        <v>ERR: INVALID ASSET</v>
      </c>
      <c r="E282" t="str" cm="1">
        <f t="array" aca="1" ref="E282" ca="1">_xlfn.IFS($B282="etf", _xll.YCI($A282, "ycharts_benchmark_index_symbol",TODAY()),$B282&lt;&gt;"etf",_xll.YCI("M:" &amp; $A282, "ycharts_benchmark_index_symbol",TODAY()))</f>
        <v>ERR: INVALID ASSET</v>
      </c>
      <c r="F282" t="str" cm="1">
        <f t="array" aca="1" ref="F282" ca="1">_xlfn.IFS($B282="etf", _xll.YCI($E282, "security_name",TODAY()),$B282&lt;&gt;"etf",_xll.YCI( $E282, "security_name",TODAY()))</f>
        <v>ERR: INVALID ASSET</v>
      </c>
      <c r="G282" t="str" cm="1">
        <f t="array" aca="1" ref="G282" ca="1">_xlfn.IFS($B282="etf", _xll.YCI($A282, "prospectus_benchmark_index",TODAY()),$B282&lt;&gt;"etf",_xll.YCI("M:" &amp; $A282, "prospectus_benchmark_index",TODAY()))</f>
        <v>ERR: INVALID ASSET</v>
      </c>
      <c r="H282" s="2" t="str" cm="1">
        <f t="array" aca="1" ref="H282" ca="1">_xlfn.IFS($B282="etf", _xll.YCP($A282,"quarterly_total_return",'Database Query'!$E$14),$B282&lt;&gt;"etf",_xll.YCP("M:"&amp; $A282,"quarterly_total_return",'Database Query'!$E$14))</f>
        <v>ERR: INVALID ASSET</v>
      </c>
      <c r="I282" s="2" t="e" cm="1">
        <f t="array" aca="1" ref="I282" ca="1">-_xll.YCP($E282,"quarterly_return",'Database Query'!$E$14)+H282</f>
        <v>#VALUE!</v>
      </c>
      <c r="J282" s="2" t="str" cm="1">
        <f t="array" aca="1" ref="J282" ca="1">_xlfn.IFS($B282="etf", _xll.YCP($A282,"ytd_total_return",'Database Query'!$E$14),$B282&lt;&gt;"etf",_xll.YCP("M:"&amp; $A282,"ytd_total_return",'Database Query'!$E$14))</f>
        <v>ERR: INVALID ASSET</v>
      </c>
      <c r="K282" s="2" t="e" cm="1">
        <f t="array" aca="1" ref="K282" ca="1">-_xll.YCP($E282,"ytd_return",'Database Query'!$E$14)+J282</f>
        <v>#VALUE!</v>
      </c>
      <c r="L282" s="2" t="str" cm="1">
        <f t="array" aca="1" ref="L282" ca="1">_xlfn.IFS($B282="etf", _xll.YCP($A282,"one_year_total_return",'Database Query'!$E$14),$B282&lt;&gt;"etf",_xll.YCP("M:"&amp; $A282,"one_year_total_return",'Database Query'!$E$14))</f>
        <v>ERR: INVALID ASSET</v>
      </c>
      <c r="M282" s="2" t="e" cm="1">
        <f t="array" aca="1" ref="M282" ca="1">-_xll.YCP($E282,"one_year_return",'Database Query'!$E$14)+L282</f>
        <v>#VALUE!</v>
      </c>
      <c r="N282" s="2" t="str" cm="1">
        <f t="array" aca="1" ref="N282" ca="1">_xlfn.IFS($B282="etf", _xll.YCP($A282,"three_year_total_return",'Database Query'!$E$14),$B282&lt;&gt;"etf",_xll.YCP("M:"&amp; $A282,"three_year_total_return",'Database Query'!$E$14))</f>
        <v>ERR: INVALID ASSET</v>
      </c>
      <c r="O282" s="2" t="e" cm="1">
        <f t="array" aca="1" ref="O282" ca="1">-_xll.YCP($E282,"three_year_return",'Database Query'!$E$14)+N282</f>
        <v>#VALUE!</v>
      </c>
      <c r="P282" s="2" t="str" cm="1">
        <f t="array" aca="1" ref="P282" ca="1">_xlfn.IFS($B282="etf", _xll.YCP($A282,"five_year_total_return",'Database Query'!$E$14),$B282&lt;&gt;"etf",_xll.YCP("M:"&amp; $A282,"five_year_total_return",'Database Query'!$E$14))</f>
        <v>ERR: INVALID ASSET</v>
      </c>
      <c r="Q282" s="2" t="e" cm="1">
        <f t="array" aca="1" ref="Q282" ca="1">-_xll.YCP($E282,"five_year_return",'Database Query'!$E$14)+P282</f>
        <v>#VALUE!</v>
      </c>
    </row>
    <row r="283" spans="1:17" x14ac:dyDescent="0.25">
      <c r="B283" t="str" cm="1">
        <f t="array" aca="1" ref="B283" ca="1">_xll.YCI(A283,"detailed_security_type",TODAY())</f>
        <v/>
      </c>
      <c r="C283" t="str" cm="1">
        <f t="array" aca="1" ref="C283" ca="1">_xlfn.IFS(B283="etf", _xll.YCI(A283, "security_name",TODAY()),B283&lt;&gt;"etf",_xll.YCI("M:" &amp; A283, "security_name",TODAY()))</f>
        <v>ERR: INVALID ASSET</v>
      </c>
      <c r="D283" t="str" cm="1">
        <f t="array" aca="1" ref="D283" ca="1">_xlfn.IFS($B283="etf", _xll.YCI($A283, "ycharts_benchmark_category",TODAY()),$B283&lt;&gt;"etf",_xll.YCI("M:" &amp; $A283, "ycharts_benchmark_category",TODAY()))</f>
        <v>ERR: INVALID ASSET</v>
      </c>
      <c r="E283" t="str" cm="1">
        <f t="array" aca="1" ref="E283" ca="1">_xlfn.IFS($B283="etf", _xll.YCI($A283, "ycharts_benchmark_index_symbol",TODAY()),$B283&lt;&gt;"etf",_xll.YCI("M:" &amp; $A283, "ycharts_benchmark_index_symbol",TODAY()))</f>
        <v>ERR: INVALID ASSET</v>
      </c>
      <c r="F283" t="str" cm="1">
        <f t="array" aca="1" ref="F283" ca="1">_xlfn.IFS($B283="etf", _xll.YCI($E283, "security_name",TODAY()),$B283&lt;&gt;"etf",_xll.YCI( $E283, "security_name",TODAY()))</f>
        <v>ERR: INVALID ASSET</v>
      </c>
      <c r="G283" t="str" cm="1">
        <f t="array" aca="1" ref="G283" ca="1">_xlfn.IFS($B283="etf", _xll.YCI($A283, "prospectus_benchmark_index",TODAY()),$B283&lt;&gt;"etf",_xll.YCI("M:" &amp; $A283, "prospectus_benchmark_index",TODAY()))</f>
        <v>ERR: INVALID ASSET</v>
      </c>
      <c r="H283" s="2" t="str" cm="1">
        <f t="array" aca="1" ref="H283" ca="1">_xlfn.IFS($B283="etf", _xll.YCP($A283,"quarterly_total_return",'Database Query'!$E$14),$B283&lt;&gt;"etf",_xll.YCP("M:"&amp; $A283,"quarterly_total_return",'Database Query'!$E$14))</f>
        <v>ERR: INVALID ASSET</v>
      </c>
      <c r="I283" s="2" t="e" cm="1">
        <f t="array" aca="1" ref="I283" ca="1">-_xll.YCP($E283,"quarterly_return",'Database Query'!$E$14)+H283</f>
        <v>#VALUE!</v>
      </c>
      <c r="J283" s="2" t="str" cm="1">
        <f t="array" aca="1" ref="J283" ca="1">_xlfn.IFS($B283="etf", _xll.YCP($A283,"ytd_total_return",'Database Query'!$E$14),$B283&lt;&gt;"etf",_xll.YCP("M:"&amp; $A283,"ytd_total_return",'Database Query'!$E$14))</f>
        <v>ERR: INVALID ASSET</v>
      </c>
      <c r="K283" s="2" t="e" cm="1">
        <f t="array" aca="1" ref="K283" ca="1">-_xll.YCP($E283,"ytd_return",'Database Query'!$E$14)+J283</f>
        <v>#VALUE!</v>
      </c>
      <c r="L283" s="2" t="str" cm="1">
        <f t="array" aca="1" ref="L283" ca="1">_xlfn.IFS($B283="etf", _xll.YCP($A283,"one_year_total_return",'Database Query'!$E$14),$B283&lt;&gt;"etf",_xll.YCP("M:"&amp; $A283,"one_year_total_return",'Database Query'!$E$14))</f>
        <v>ERR: INVALID ASSET</v>
      </c>
      <c r="M283" s="2" t="e" cm="1">
        <f t="array" aca="1" ref="M283" ca="1">-_xll.YCP($E283,"one_year_return",'Database Query'!$E$14)+L283</f>
        <v>#VALUE!</v>
      </c>
      <c r="N283" s="2" t="str" cm="1">
        <f t="array" aca="1" ref="N283" ca="1">_xlfn.IFS($B283="etf", _xll.YCP($A283,"three_year_total_return",'Database Query'!$E$14),$B283&lt;&gt;"etf",_xll.YCP("M:"&amp; $A283,"three_year_total_return",'Database Query'!$E$14))</f>
        <v>ERR: INVALID ASSET</v>
      </c>
      <c r="O283" s="2" t="e" cm="1">
        <f t="array" aca="1" ref="O283" ca="1">-_xll.YCP($E283,"three_year_return",'Database Query'!$E$14)+N283</f>
        <v>#VALUE!</v>
      </c>
      <c r="P283" s="2" t="str" cm="1">
        <f t="array" aca="1" ref="P283" ca="1">_xlfn.IFS($B283="etf", _xll.YCP($A283,"five_year_total_return",'Database Query'!$E$14),$B283&lt;&gt;"etf",_xll.YCP("M:"&amp; $A283,"five_year_total_return",'Database Query'!$E$14))</f>
        <v>ERR: INVALID ASSET</v>
      </c>
      <c r="Q283" s="2" t="e" cm="1">
        <f t="array" aca="1" ref="Q283" ca="1">-_xll.YCP($E283,"five_year_return",'Database Query'!$E$14)+P283</f>
        <v>#VALUE!</v>
      </c>
    </row>
    <row r="284" spans="1:17" x14ac:dyDescent="0.25">
      <c r="B284" t="str" cm="1">
        <f t="array" aca="1" ref="B284" ca="1">_xll.YCI(A284,"detailed_security_type",TODAY())</f>
        <v/>
      </c>
      <c r="C284" t="str" cm="1">
        <f t="array" aca="1" ref="C284" ca="1">_xlfn.IFS(B284="etf", _xll.YCI(A284, "security_name",TODAY()),B284&lt;&gt;"etf",_xll.YCI("M:" &amp; A284, "security_name",TODAY()))</f>
        <v>ERR: INVALID ASSET</v>
      </c>
      <c r="D284" t="str" cm="1">
        <f t="array" aca="1" ref="D284" ca="1">_xlfn.IFS($B284="etf", _xll.YCI($A284, "ycharts_benchmark_category",TODAY()),$B284&lt;&gt;"etf",_xll.YCI("M:" &amp; $A284, "ycharts_benchmark_category",TODAY()))</f>
        <v>ERR: INVALID ASSET</v>
      </c>
      <c r="E284" t="str" cm="1">
        <f t="array" aca="1" ref="E284" ca="1">_xlfn.IFS($B284="etf", _xll.YCI($A284, "ycharts_benchmark_index_symbol",TODAY()),$B284&lt;&gt;"etf",_xll.YCI("M:" &amp; $A284, "ycharts_benchmark_index_symbol",TODAY()))</f>
        <v>ERR: INVALID ASSET</v>
      </c>
      <c r="F284" t="str" cm="1">
        <f t="array" aca="1" ref="F284" ca="1">_xlfn.IFS($B284="etf", _xll.YCI($E284, "security_name",TODAY()),$B284&lt;&gt;"etf",_xll.YCI( $E284, "security_name",TODAY()))</f>
        <v>ERR: INVALID ASSET</v>
      </c>
      <c r="G284" t="str" cm="1">
        <f t="array" aca="1" ref="G284" ca="1">_xlfn.IFS($B284="etf", _xll.YCI($A284, "prospectus_benchmark_index",TODAY()),$B284&lt;&gt;"etf",_xll.YCI("M:" &amp; $A284, "prospectus_benchmark_index",TODAY()))</f>
        <v>ERR: INVALID ASSET</v>
      </c>
      <c r="H284" s="2" t="str" cm="1">
        <f t="array" aca="1" ref="H284" ca="1">_xlfn.IFS($B284="etf", _xll.YCP($A284,"quarterly_total_return",'Database Query'!$E$14),$B284&lt;&gt;"etf",_xll.YCP("M:"&amp; $A284,"quarterly_total_return",'Database Query'!$E$14))</f>
        <v>ERR: INVALID ASSET</v>
      </c>
      <c r="I284" s="2" t="e" cm="1">
        <f t="array" aca="1" ref="I284" ca="1">-_xll.YCP($E284,"quarterly_return",'Database Query'!$E$14)+H284</f>
        <v>#VALUE!</v>
      </c>
      <c r="J284" s="2" t="str" cm="1">
        <f t="array" aca="1" ref="J284" ca="1">_xlfn.IFS($B284="etf", _xll.YCP($A284,"ytd_total_return",'Database Query'!$E$14),$B284&lt;&gt;"etf",_xll.YCP("M:"&amp; $A284,"ytd_total_return",'Database Query'!$E$14))</f>
        <v>ERR: INVALID ASSET</v>
      </c>
      <c r="K284" s="2" t="e" cm="1">
        <f t="array" aca="1" ref="K284" ca="1">-_xll.YCP($E284,"ytd_return",'Database Query'!$E$14)+J284</f>
        <v>#VALUE!</v>
      </c>
      <c r="L284" s="2" t="str" cm="1">
        <f t="array" aca="1" ref="L284" ca="1">_xlfn.IFS($B284="etf", _xll.YCP($A284,"one_year_total_return",'Database Query'!$E$14),$B284&lt;&gt;"etf",_xll.YCP("M:"&amp; $A284,"one_year_total_return",'Database Query'!$E$14))</f>
        <v>ERR: INVALID ASSET</v>
      </c>
      <c r="M284" s="2" t="e" cm="1">
        <f t="array" aca="1" ref="M284" ca="1">-_xll.YCP($E284,"one_year_return",'Database Query'!$E$14)+L284</f>
        <v>#VALUE!</v>
      </c>
      <c r="N284" s="2" t="str" cm="1">
        <f t="array" aca="1" ref="N284" ca="1">_xlfn.IFS($B284="etf", _xll.YCP($A284,"three_year_total_return",'Database Query'!$E$14),$B284&lt;&gt;"etf",_xll.YCP("M:"&amp; $A284,"three_year_total_return",'Database Query'!$E$14))</f>
        <v>ERR: INVALID ASSET</v>
      </c>
      <c r="O284" s="2" t="e" cm="1">
        <f t="array" aca="1" ref="O284" ca="1">-_xll.YCP($E284,"three_year_return",'Database Query'!$E$14)+N284</f>
        <v>#VALUE!</v>
      </c>
      <c r="P284" s="2" t="str" cm="1">
        <f t="array" aca="1" ref="P284" ca="1">_xlfn.IFS($B284="etf", _xll.YCP($A284,"five_year_total_return",'Database Query'!$E$14),$B284&lt;&gt;"etf",_xll.YCP("M:"&amp; $A284,"five_year_total_return",'Database Query'!$E$14))</f>
        <v>ERR: INVALID ASSET</v>
      </c>
      <c r="Q284" s="2" t="e" cm="1">
        <f t="array" aca="1" ref="Q284" ca="1">-_xll.YCP($E284,"five_year_return",'Database Query'!$E$14)+P284</f>
        <v>#VALUE!</v>
      </c>
    </row>
    <row r="285" spans="1:17" x14ac:dyDescent="0.25">
      <c r="B285" t="str" cm="1">
        <f t="array" aca="1" ref="B285" ca="1">_xll.YCI(A285,"detailed_security_type",TODAY())</f>
        <v/>
      </c>
      <c r="C285" t="str" cm="1">
        <f t="array" aca="1" ref="C285" ca="1">_xlfn.IFS(B285="etf", _xll.YCI(A285, "security_name",TODAY()),B285&lt;&gt;"etf",_xll.YCI("M:" &amp; A285, "security_name",TODAY()))</f>
        <v>ERR: INVALID ASSET</v>
      </c>
      <c r="D285" t="str" cm="1">
        <f t="array" aca="1" ref="D285" ca="1">_xlfn.IFS($B285="etf", _xll.YCI($A285, "ycharts_benchmark_category",TODAY()),$B285&lt;&gt;"etf",_xll.YCI("M:" &amp; $A285, "ycharts_benchmark_category",TODAY()))</f>
        <v>ERR: INVALID ASSET</v>
      </c>
      <c r="E285" t="str" cm="1">
        <f t="array" aca="1" ref="E285" ca="1">_xlfn.IFS($B285="etf", _xll.YCI($A285, "ycharts_benchmark_index_symbol",TODAY()),$B285&lt;&gt;"etf",_xll.YCI("M:" &amp; $A285, "ycharts_benchmark_index_symbol",TODAY()))</f>
        <v>ERR: INVALID ASSET</v>
      </c>
      <c r="F285" t="str" cm="1">
        <f t="array" aca="1" ref="F285" ca="1">_xlfn.IFS($B285="etf", _xll.YCI($E285, "security_name",TODAY()),$B285&lt;&gt;"etf",_xll.YCI( $E285, "security_name",TODAY()))</f>
        <v>ERR: INVALID ASSET</v>
      </c>
      <c r="G285" t="str" cm="1">
        <f t="array" aca="1" ref="G285" ca="1">_xlfn.IFS($B285="etf", _xll.YCI($A285, "prospectus_benchmark_index",TODAY()),$B285&lt;&gt;"etf",_xll.YCI("M:" &amp; $A285, "prospectus_benchmark_index",TODAY()))</f>
        <v>ERR: INVALID ASSET</v>
      </c>
      <c r="H285" s="2" t="str" cm="1">
        <f t="array" aca="1" ref="H285" ca="1">_xlfn.IFS($B285="etf", _xll.YCP($A285,"quarterly_total_return",'Database Query'!$E$14),$B285&lt;&gt;"etf",_xll.YCP("M:"&amp; $A285,"quarterly_total_return",'Database Query'!$E$14))</f>
        <v>ERR: INVALID ASSET</v>
      </c>
      <c r="I285" s="2" t="e" cm="1">
        <f t="array" aca="1" ref="I285" ca="1">-_xll.YCP($E285,"quarterly_return",'Database Query'!$E$14)+H285</f>
        <v>#VALUE!</v>
      </c>
      <c r="J285" s="2" t="str" cm="1">
        <f t="array" aca="1" ref="J285" ca="1">_xlfn.IFS($B285="etf", _xll.YCP($A285,"ytd_total_return",'Database Query'!$E$14),$B285&lt;&gt;"etf",_xll.YCP("M:"&amp; $A285,"ytd_total_return",'Database Query'!$E$14))</f>
        <v>ERR: INVALID ASSET</v>
      </c>
      <c r="K285" s="2" t="e" cm="1">
        <f t="array" aca="1" ref="K285" ca="1">-_xll.YCP($E285,"ytd_return",'Database Query'!$E$14)+J285</f>
        <v>#VALUE!</v>
      </c>
      <c r="L285" s="2" t="str" cm="1">
        <f t="array" aca="1" ref="L285" ca="1">_xlfn.IFS($B285="etf", _xll.YCP($A285,"one_year_total_return",'Database Query'!$E$14),$B285&lt;&gt;"etf",_xll.YCP("M:"&amp; $A285,"one_year_total_return",'Database Query'!$E$14))</f>
        <v>ERR: INVALID ASSET</v>
      </c>
      <c r="M285" s="2" t="e" cm="1">
        <f t="array" aca="1" ref="M285" ca="1">-_xll.YCP($E285,"one_year_return",'Database Query'!$E$14)+L285</f>
        <v>#VALUE!</v>
      </c>
      <c r="N285" s="2" t="str" cm="1">
        <f t="array" aca="1" ref="N285" ca="1">_xlfn.IFS($B285="etf", _xll.YCP($A285,"three_year_total_return",'Database Query'!$E$14),$B285&lt;&gt;"etf",_xll.YCP("M:"&amp; $A285,"three_year_total_return",'Database Query'!$E$14))</f>
        <v>ERR: INVALID ASSET</v>
      </c>
      <c r="O285" s="2" t="e" cm="1">
        <f t="array" aca="1" ref="O285" ca="1">-_xll.YCP($E285,"three_year_return",'Database Query'!$E$14)+N285</f>
        <v>#VALUE!</v>
      </c>
      <c r="P285" s="2" t="str" cm="1">
        <f t="array" aca="1" ref="P285" ca="1">_xlfn.IFS($B285="etf", _xll.YCP($A285,"five_year_total_return",'Database Query'!$E$14),$B285&lt;&gt;"etf",_xll.YCP("M:"&amp; $A285,"five_year_total_return",'Database Query'!$E$14))</f>
        <v>ERR: INVALID ASSET</v>
      </c>
      <c r="Q285" s="2" t="e" cm="1">
        <f t="array" aca="1" ref="Q285" ca="1">-_xll.YCP($E285,"five_year_return",'Database Query'!$E$14)+P285</f>
        <v>#VALUE!</v>
      </c>
    </row>
    <row r="286" spans="1:17" x14ac:dyDescent="0.25">
      <c r="B286" t="str" cm="1">
        <f t="array" aca="1" ref="B286" ca="1">_xll.YCI(A286,"detailed_security_type",TODAY())</f>
        <v/>
      </c>
      <c r="C286" t="str" cm="1">
        <f t="array" aca="1" ref="C286" ca="1">_xlfn.IFS(B286="etf", _xll.YCI(A286, "security_name",TODAY()),B286&lt;&gt;"etf",_xll.YCI("M:" &amp; A286, "security_name",TODAY()))</f>
        <v>ERR: INVALID ASSET</v>
      </c>
      <c r="D286" t="str" cm="1">
        <f t="array" aca="1" ref="D286" ca="1">_xlfn.IFS($B286="etf", _xll.YCI($A286, "ycharts_benchmark_category",TODAY()),$B286&lt;&gt;"etf",_xll.YCI("M:" &amp; $A286, "ycharts_benchmark_category",TODAY()))</f>
        <v>ERR: INVALID ASSET</v>
      </c>
      <c r="E286" t="str" cm="1">
        <f t="array" aca="1" ref="E286" ca="1">_xlfn.IFS($B286="etf", _xll.YCI($A286, "ycharts_benchmark_index_symbol",TODAY()),$B286&lt;&gt;"etf",_xll.YCI("M:" &amp; $A286, "ycharts_benchmark_index_symbol",TODAY()))</f>
        <v>ERR: INVALID ASSET</v>
      </c>
      <c r="F286" t="str" cm="1">
        <f t="array" aca="1" ref="F286" ca="1">_xlfn.IFS($B286="etf", _xll.YCI($E286, "security_name",TODAY()),$B286&lt;&gt;"etf",_xll.YCI( $E286, "security_name",TODAY()))</f>
        <v>ERR: INVALID ASSET</v>
      </c>
      <c r="G286" t="str" cm="1">
        <f t="array" aca="1" ref="G286" ca="1">_xlfn.IFS($B286="etf", _xll.YCI($A286, "prospectus_benchmark_index",TODAY()),$B286&lt;&gt;"etf",_xll.YCI("M:" &amp; $A286, "prospectus_benchmark_index",TODAY()))</f>
        <v>ERR: INVALID ASSET</v>
      </c>
      <c r="H286" s="2" t="str" cm="1">
        <f t="array" aca="1" ref="H286" ca="1">_xlfn.IFS($B286="etf", _xll.YCP($A286,"quarterly_total_return",'Database Query'!$E$14),$B286&lt;&gt;"etf",_xll.YCP("M:"&amp; $A286,"quarterly_total_return",'Database Query'!$E$14))</f>
        <v>ERR: INVALID ASSET</v>
      </c>
      <c r="I286" s="2" t="e" cm="1">
        <f t="array" aca="1" ref="I286" ca="1">-_xll.YCP($E286,"quarterly_return",'Database Query'!$E$14)+H286</f>
        <v>#VALUE!</v>
      </c>
      <c r="J286" s="2" t="str" cm="1">
        <f t="array" aca="1" ref="J286" ca="1">_xlfn.IFS($B286="etf", _xll.YCP($A286,"ytd_total_return",'Database Query'!$E$14),$B286&lt;&gt;"etf",_xll.YCP("M:"&amp; $A286,"ytd_total_return",'Database Query'!$E$14))</f>
        <v>ERR: INVALID ASSET</v>
      </c>
      <c r="K286" s="2" t="e" cm="1">
        <f t="array" aca="1" ref="K286" ca="1">-_xll.YCP($E286,"ytd_return",'Database Query'!$E$14)+J286</f>
        <v>#VALUE!</v>
      </c>
      <c r="L286" s="2" t="str" cm="1">
        <f t="array" aca="1" ref="L286" ca="1">_xlfn.IFS($B286="etf", _xll.YCP($A286,"one_year_total_return",'Database Query'!$E$14),$B286&lt;&gt;"etf",_xll.YCP("M:"&amp; $A286,"one_year_total_return",'Database Query'!$E$14))</f>
        <v>ERR: INVALID ASSET</v>
      </c>
      <c r="M286" s="2" t="e" cm="1">
        <f t="array" aca="1" ref="M286" ca="1">-_xll.YCP($E286,"one_year_return",'Database Query'!$E$14)+L286</f>
        <v>#VALUE!</v>
      </c>
      <c r="N286" s="2" t="str" cm="1">
        <f t="array" aca="1" ref="N286" ca="1">_xlfn.IFS($B286="etf", _xll.YCP($A286,"three_year_total_return",'Database Query'!$E$14),$B286&lt;&gt;"etf",_xll.YCP("M:"&amp; $A286,"three_year_total_return",'Database Query'!$E$14))</f>
        <v>ERR: INVALID ASSET</v>
      </c>
      <c r="O286" s="2" t="e" cm="1">
        <f t="array" aca="1" ref="O286" ca="1">-_xll.YCP($E286,"three_year_return",'Database Query'!$E$14)+N286</f>
        <v>#VALUE!</v>
      </c>
      <c r="P286" s="2" t="str" cm="1">
        <f t="array" aca="1" ref="P286" ca="1">_xlfn.IFS($B286="etf", _xll.YCP($A286,"five_year_total_return",'Database Query'!$E$14),$B286&lt;&gt;"etf",_xll.YCP("M:"&amp; $A286,"five_year_total_return",'Database Query'!$E$14))</f>
        <v>ERR: INVALID ASSET</v>
      </c>
      <c r="Q286" s="2" t="e" cm="1">
        <f t="array" aca="1" ref="Q286" ca="1">-_xll.YCP($E286,"five_year_return",'Database Query'!$E$14)+P286</f>
        <v>#VALUE!</v>
      </c>
    </row>
    <row r="287" spans="1:17" x14ac:dyDescent="0.25">
      <c r="B287" t="str" cm="1">
        <f t="array" aca="1" ref="B287" ca="1">_xll.YCI(A287,"detailed_security_type",TODAY())</f>
        <v/>
      </c>
      <c r="C287" t="str" cm="1">
        <f t="array" aca="1" ref="C287" ca="1">_xlfn.IFS(B287="etf", _xll.YCI(A287, "security_name",TODAY()),B287&lt;&gt;"etf",_xll.YCI("M:" &amp; A287, "security_name",TODAY()))</f>
        <v>ERR: INVALID ASSET</v>
      </c>
      <c r="D287" t="str" cm="1">
        <f t="array" aca="1" ref="D287" ca="1">_xlfn.IFS($B287="etf", _xll.YCI($A287, "ycharts_benchmark_category",TODAY()),$B287&lt;&gt;"etf",_xll.YCI("M:" &amp; $A287, "ycharts_benchmark_category",TODAY()))</f>
        <v>ERR: INVALID ASSET</v>
      </c>
      <c r="E287" t="str" cm="1">
        <f t="array" aca="1" ref="E287" ca="1">_xlfn.IFS($B287="etf", _xll.YCI($A287, "ycharts_benchmark_index_symbol",TODAY()),$B287&lt;&gt;"etf",_xll.YCI("M:" &amp; $A287, "ycharts_benchmark_index_symbol",TODAY()))</f>
        <v>ERR: INVALID ASSET</v>
      </c>
      <c r="F287" t="str" cm="1">
        <f t="array" aca="1" ref="F287" ca="1">_xlfn.IFS($B287="etf", _xll.YCI($E287, "security_name",TODAY()),$B287&lt;&gt;"etf",_xll.YCI( $E287, "security_name",TODAY()))</f>
        <v>ERR: INVALID ASSET</v>
      </c>
      <c r="G287" t="str" cm="1">
        <f t="array" aca="1" ref="G287" ca="1">_xlfn.IFS($B287="etf", _xll.YCI($A287, "prospectus_benchmark_index",TODAY()),$B287&lt;&gt;"etf",_xll.YCI("M:" &amp; $A287, "prospectus_benchmark_index",TODAY()))</f>
        <v>ERR: INVALID ASSET</v>
      </c>
      <c r="H287" s="2" t="str" cm="1">
        <f t="array" aca="1" ref="H287" ca="1">_xlfn.IFS($B287="etf", _xll.YCP($A287,"quarterly_total_return",'Database Query'!$E$14),$B287&lt;&gt;"etf",_xll.YCP("M:"&amp; $A287,"quarterly_total_return",'Database Query'!$E$14))</f>
        <v>ERR: INVALID ASSET</v>
      </c>
      <c r="I287" s="2" t="e" cm="1">
        <f t="array" aca="1" ref="I287" ca="1">-_xll.YCP($E287,"quarterly_return",'Database Query'!$E$14)+H287</f>
        <v>#VALUE!</v>
      </c>
      <c r="J287" s="2" t="str" cm="1">
        <f t="array" aca="1" ref="J287" ca="1">_xlfn.IFS($B287="etf", _xll.YCP($A287,"ytd_total_return",'Database Query'!$E$14),$B287&lt;&gt;"etf",_xll.YCP("M:"&amp; $A287,"ytd_total_return",'Database Query'!$E$14))</f>
        <v>ERR: INVALID ASSET</v>
      </c>
      <c r="K287" s="2" t="e" cm="1">
        <f t="array" aca="1" ref="K287" ca="1">-_xll.YCP($E287,"ytd_return",'Database Query'!$E$14)+J287</f>
        <v>#VALUE!</v>
      </c>
      <c r="L287" s="2" t="str" cm="1">
        <f t="array" aca="1" ref="L287" ca="1">_xlfn.IFS($B287="etf", _xll.YCP($A287,"one_year_total_return",'Database Query'!$E$14),$B287&lt;&gt;"etf",_xll.YCP("M:"&amp; $A287,"one_year_total_return",'Database Query'!$E$14))</f>
        <v>ERR: INVALID ASSET</v>
      </c>
      <c r="M287" s="2" t="e" cm="1">
        <f t="array" aca="1" ref="M287" ca="1">-_xll.YCP($E287,"one_year_return",'Database Query'!$E$14)+L287</f>
        <v>#VALUE!</v>
      </c>
      <c r="N287" s="2" t="str" cm="1">
        <f t="array" aca="1" ref="N287" ca="1">_xlfn.IFS($B287="etf", _xll.YCP($A287,"three_year_total_return",'Database Query'!$E$14),$B287&lt;&gt;"etf",_xll.YCP("M:"&amp; $A287,"three_year_total_return",'Database Query'!$E$14))</f>
        <v>ERR: INVALID ASSET</v>
      </c>
      <c r="O287" s="2" t="e" cm="1">
        <f t="array" aca="1" ref="O287" ca="1">-_xll.YCP($E287,"three_year_return",'Database Query'!$E$14)+N287</f>
        <v>#VALUE!</v>
      </c>
      <c r="P287" s="2" t="str" cm="1">
        <f t="array" aca="1" ref="P287" ca="1">_xlfn.IFS($B287="etf", _xll.YCP($A287,"five_year_total_return",'Database Query'!$E$14),$B287&lt;&gt;"etf",_xll.YCP("M:"&amp; $A287,"five_year_total_return",'Database Query'!$E$14))</f>
        <v>ERR: INVALID ASSET</v>
      </c>
      <c r="Q287" s="2" t="e" cm="1">
        <f t="array" aca="1" ref="Q287" ca="1">-_xll.YCP($E287,"five_year_return",'Database Query'!$E$14)+P287</f>
        <v>#VALUE!</v>
      </c>
    </row>
    <row r="288" spans="1:17" x14ac:dyDescent="0.25">
      <c r="B288" t="str" cm="1">
        <f t="array" aca="1" ref="B288" ca="1">_xll.YCI(A288,"detailed_security_type",TODAY())</f>
        <v/>
      </c>
      <c r="C288" t="str" cm="1">
        <f t="array" aca="1" ref="C288" ca="1">_xlfn.IFS(B288="etf", _xll.YCI(A288, "security_name",TODAY()),B288&lt;&gt;"etf",_xll.YCI("M:" &amp; A288, "security_name",TODAY()))</f>
        <v>ERR: INVALID ASSET</v>
      </c>
      <c r="D288" t="str" cm="1">
        <f t="array" aca="1" ref="D288" ca="1">_xlfn.IFS($B288="etf", _xll.YCI($A288, "ycharts_benchmark_category",TODAY()),$B288&lt;&gt;"etf",_xll.YCI("M:" &amp; $A288, "ycharts_benchmark_category",TODAY()))</f>
        <v>ERR: INVALID ASSET</v>
      </c>
      <c r="E288" t="str" cm="1">
        <f t="array" aca="1" ref="E288" ca="1">_xlfn.IFS($B288="etf", _xll.YCI($A288, "ycharts_benchmark_index_symbol",TODAY()),$B288&lt;&gt;"etf",_xll.YCI("M:" &amp; $A288, "ycharts_benchmark_index_symbol",TODAY()))</f>
        <v>ERR: INVALID ASSET</v>
      </c>
      <c r="F288" t="str" cm="1">
        <f t="array" aca="1" ref="F288" ca="1">_xlfn.IFS($B288="etf", _xll.YCI($E288, "security_name",TODAY()),$B288&lt;&gt;"etf",_xll.YCI( $E288, "security_name",TODAY()))</f>
        <v>ERR: INVALID ASSET</v>
      </c>
      <c r="G288" t="str" cm="1">
        <f t="array" aca="1" ref="G288" ca="1">_xlfn.IFS($B288="etf", _xll.YCI($A288, "prospectus_benchmark_index",TODAY()),$B288&lt;&gt;"etf",_xll.YCI("M:" &amp; $A288, "prospectus_benchmark_index",TODAY()))</f>
        <v>ERR: INVALID ASSET</v>
      </c>
      <c r="H288" s="2" t="str" cm="1">
        <f t="array" aca="1" ref="H288" ca="1">_xlfn.IFS($B288="etf", _xll.YCP($A288,"quarterly_total_return",'Database Query'!$E$14),$B288&lt;&gt;"etf",_xll.YCP("M:"&amp; $A288,"quarterly_total_return",'Database Query'!$E$14))</f>
        <v>ERR: INVALID ASSET</v>
      </c>
      <c r="I288" s="2" t="e" cm="1">
        <f t="array" aca="1" ref="I288" ca="1">-_xll.YCP($E288,"quarterly_return",'Database Query'!$E$14)+H288</f>
        <v>#VALUE!</v>
      </c>
      <c r="J288" s="2" t="str" cm="1">
        <f t="array" aca="1" ref="J288" ca="1">_xlfn.IFS($B288="etf", _xll.YCP($A288,"ytd_total_return",'Database Query'!$E$14),$B288&lt;&gt;"etf",_xll.YCP("M:"&amp; $A288,"ytd_total_return",'Database Query'!$E$14))</f>
        <v>ERR: INVALID ASSET</v>
      </c>
      <c r="K288" s="2" t="e" cm="1">
        <f t="array" aca="1" ref="K288" ca="1">-_xll.YCP($E288,"ytd_return",'Database Query'!$E$14)+J288</f>
        <v>#VALUE!</v>
      </c>
      <c r="L288" s="2" t="str" cm="1">
        <f t="array" aca="1" ref="L288" ca="1">_xlfn.IFS($B288="etf", _xll.YCP($A288,"one_year_total_return",'Database Query'!$E$14),$B288&lt;&gt;"etf",_xll.YCP("M:"&amp; $A288,"one_year_total_return",'Database Query'!$E$14))</f>
        <v>ERR: INVALID ASSET</v>
      </c>
      <c r="M288" s="2" t="e" cm="1">
        <f t="array" aca="1" ref="M288" ca="1">-_xll.YCP($E288,"one_year_return",'Database Query'!$E$14)+L288</f>
        <v>#VALUE!</v>
      </c>
      <c r="N288" s="2" t="str" cm="1">
        <f t="array" aca="1" ref="N288" ca="1">_xlfn.IFS($B288="etf", _xll.YCP($A288,"three_year_total_return",'Database Query'!$E$14),$B288&lt;&gt;"etf",_xll.YCP("M:"&amp; $A288,"three_year_total_return",'Database Query'!$E$14))</f>
        <v>ERR: INVALID ASSET</v>
      </c>
      <c r="O288" s="2" t="e" cm="1">
        <f t="array" aca="1" ref="O288" ca="1">-_xll.YCP($E288,"three_year_return",'Database Query'!$E$14)+N288</f>
        <v>#VALUE!</v>
      </c>
      <c r="P288" s="2" t="str" cm="1">
        <f t="array" aca="1" ref="P288" ca="1">_xlfn.IFS($B288="etf", _xll.YCP($A288,"five_year_total_return",'Database Query'!$E$14),$B288&lt;&gt;"etf",_xll.YCP("M:"&amp; $A288,"five_year_total_return",'Database Query'!$E$14))</f>
        <v>ERR: INVALID ASSET</v>
      </c>
      <c r="Q288" s="2" t="e" cm="1">
        <f t="array" aca="1" ref="Q288" ca="1">-_xll.YCP($E288,"five_year_return",'Database Query'!$E$14)+P288</f>
        <v>#VALUE!</v>
      </c>
    </row>
    <row r="289" spans="2:17" x14ac:dyDescent="0.25">
      <c r="B289" t="str" cm="1">
        <f t="array" aca="1" ref="B289" ca="1">_xll.YCI(A289,"detailed_security_type",TODAY())</f>
        <v/>
      </c>
      <c r="C289" t="str" cm="1">
        <f t="array" aca="1" ref="C289" ca="1">_xlfn.IFS(B289="etf", _xll.YCI(A289, "security_name",TODAY()),B289&lt;&gt;"etf",_xll.YCI("M:" &amp; A289, "security_name",TODAY()))</f>
        <v>ERR: INVALID ASSET</v>
      </c>
      <c r="D289" t="str" cm="1">
        <f t="array" aca="1" ref="D289" ca="1">_xlfn.IFS($B289="etf", _xll.YCI($A289, "ycharts_benchmark_category",TODAY()),$B289&lt;&gt;"etf",_xll.YCI("M:" &amp; $A289, "ycharts_benchmark_category",TODAY()))</f>
        <v>ERR: INVALID ASSET</v>
      </c>
      <c r="E289" t="str" cm="1">
        <f t="array" aca="1" ref="E289" ca="1">_xlfn.IFS($B289="etf", _xll.YCI($A289, "ycharts_benchmark_index_symbol",TODAY()),$B289&lt;&gt;"etf",_xll.YCI("M:" &amp; $A289, "ycharts_benchmark_index_symbol",TODAY()))</f>
        <v>ERR: INVALID ASSET</v>
      </c>
      <c r="F289" t="str" cm="1">
        <f t="array" aca="1" ref="F289" ca="1">_xlfn.IFS($B289="etf", _xll.YCI($E289, "security_name",TODAY()),$B289&lt;&gt;"etf",_xll.YCI( $E289, "security_name",TODAY()))</f>
        <v>ERR: INVALID ASSET</v>
      </c>
      <c r="G289" t="str" cm="1">
        <f t="array" aca="1" ref="G289" ca="1">_xlfn.IFS($B289="etf", _xll.YCI($A289, "prospectus_benchmark_index",TODAY()),$B289&lt;&gt;"etf",_xll.YCI("M:" &amp; $A289, "prospectus_benchmark_index",TODAY()))</f>
        <v>ERR: INVALID ASSET</v>
      </c>
      <c r="H289" s="2" t="str" cm="1">
        <f t="array" aca="1" ref="H289" ca="1">_xlfn.IFS($B289="etf", _xll.YCP($A289,"quarterly_total_return",'Database Query'!$E$14),$B289&lt;&gt;"etf",_xll.YCP("M:"&amp; $A289,"quarterly_total_return",'Database Query'!$E$14))</f>
        <v>ERR: INVALID ASSET</v>
      </c>
      <c r="I289" s="2" t="e" cm="1">
        <f t="array" aca="1" ref="I289" ca="1">-_xll.YCP($E289,"quarterly_return",'Database Query'!$E$14)+H289</f>
        <v>#VALUE!</v>
      </c>
      <c r="J289" s="2" t="str" cm="1">
        <f t="array" aca="1" ref="J289" ca="1">_xlfn.IFS($B289="etf", _xll.YCP($A289,"ytd_total_return",'Database Query'!$E$14),$B289&lt;&gt;"etf",_xll.YCP("M:"&amp; $A289,"ytd_total_return",'Database Query'!$E$14))</f>
        <v>ERR: INVALID ASSET</v>
      </c>
      <c r="K289" s="2" t="e" cm="1">
        <f t="array" aca="1" ref="K289" ca="1">-_xll.YCP($E289,"ytd_return",'Database Query'!$E$14)+J289</f>
        <v>#VALUE!</v>
      </c>
      <c r="L289" s="2" t="str" cm="1">
        <f t="array" aca="1" ref="L289" ca="1">_xlfn.IFS($B289="etf", _xll.YCP($A289,"one_year_total_return",'Database Query'!$E$14),$B289&lt;&gt;"etf",_xll.YCP("M:"&amp; $A289,"one_year_total_return",'Database Query'!$E$14))</f>
        <v>ERR: INVALID ASSET</v>
      </c>
      <c r="M289" s="2" t="e" cm="1">
        <f t="array" aca="1" ref="M289" ca="1">-_xll.YCP($E289,"one_year_return",'Database Query'!$E$14)+L289</f>
        <v>#VALUE!</v>
      </c>
      <c r="N289" s="2" t="str" cm="1">
        <f t="array" aca="1" ref="N289" ca="1">_xlfn.IFS($B289="etf", _xll.YCP($A289,"three_year_total_return",'Database Query'!$E$14),$B289&lt;&gt;"etf",_xll.YCP("M:"&amp; $A289,"three_year_total_return",'Database Query'!$E$14))</f>
        <v>ERR: INVALID ASSET</v>
      </c>
      <c r="O289" s="2" t="e" cm="1">
        <f t="array" aca="1" ref="O289" ca="1">-_xll.YCP($E289,"three_year_return",'Database Query'!$E$14)+N289</f>
        <v>#VALUE!</v>
      </c>
      <c r="P289" s="2" t="str" cm="1">
        <f t="array" aca="1" ref="P289" ca="1">_xlfn.IFS($B289="etf", _xll.YCP($A289,"five_year_total_return",'Database Query'!$E$14),$B289&lt;&gt;"etf",_xll.YCP("M:"&amp; $A289,"five_year_total_return",'Database Query'!$E$14))</f>
        <v>ERR: INVALID ASSET</v>
      </c>
      <c r="Q289" s="2" t="e" cm="1">
        <f t="array" aca="1" ref="Q289" ca="1">-_xll.YCP($E289,"five_year_return",'Database Query'!$E$14)+P289</f>
        <v>#VALUE!</v>
      </c>
    </row>
    <row r="290" spans="2:17" x14ac:dyDescent="0.25">
      <c r="B290" t="str" cm="1">
        <f t="array" aca="1" ref="B290" ca="1">_xll.YCI(A290,"detailed_security_type",TODAY())</f>
        <v/>
      </c>
      <c r="C290" t="str" cm="1">
        <f t="array" aca="1" ref="C290" ca="1">_xlfn.IFS(B290="etf", _xll.YCI(A290, "security_name",TODAY()),B290&lt;&gt;"etf",_xll.YCI("M:" &amp; A290, "security_name",TODAY()))</f>
        <v>ERR: INVALID ASSET</v>
      </c>
      <c r="D290" t="str" cm="1">
        <f t="array" aca="1" ref="D290" ca="1">_xlfn.IFS($B290="etf", _xll.YCI($A290, "ycharts_benchmark_category",TODAY()),$B290&lt;&gt;"etf",_xll.YCI("M:" &amp; $A290, "ycharts_benchmark_category",TODAY()))</f>
        <v>ERR: INVALID ASSET</v>
      </c>
      <c r="E290" t="str" cm="1">
        <f t="array" aca="1" ref="E290" ca="1">_xlfn.IFS($B290="etf", _xll.YCI($A290, "ycharts_benchmark_index_symbol",TODAY()),$B290&lt;&gt;"etf",_xll.YCI("M:" &amp; $A290, "ycharts_benchmark_index_symbol",TODAY()))</f>
        <v>ERR: INVALID ASSET</v>
      </c>
      <c r="F290" t="str" cm="1">
        <f t="array" aca="1" ref="F290" ca="1">_xlfn.IFS($B290="etf", _xll.YCI($E290, "security_name",TODAY()),$B290&lt;&gt;"etf",_xll.YCI( $E290, "security_name",TODAY()))</f>
        <v>ERR: INVALID ASSET</v>
      </c>
      <c r="G290" t="str" cm="1">
        <f t="array" aca="1" ref="G290" ca="1">_xlfn.IFS($B290="etf", _xll.YCI($A290, "prospectus_benchmark_index",TODAY()),$B290&lt;&gt;"etf",_xll.YCI("M:" &amp; $A290, "prospectus_benchmark_index",TODAY()))</f>
        <v>ERR: INVALID ASSET</v>
      </c>
      <c r="H290" s="2" t="str" cm="1">
        <f t="array" aca="1" ref="H290" ca="1">_xlfn.IFS($B290="etf", _xll.YCP($A290,"quarterly_total_return",'Database Query'!$E$14),$B290&lt;&gt;"etf",_xll.YCP("M:"&amp; $A290,"quarterly_total_return",'Database Query'!$E$14))</f>
        <v>ERR: INVALID ASSET</v>
      </c>
      <c r="I290" s="2" t="e" cm="1">
        <f t="array" aca="1" ref="I290" ca="1">-_xll.YCP($E290,"quarterly_return",'Database Query'!$E$14)+H290</f>
        <v>#VALUE!</v>
      </c>
      <c r="J290" s="2" t="str" cm="1">
        <f t="array" aca="1" ref="J290" ca="1">_xlfn.IFS($B290="etf", _xll.YCP($A290,"ytd_total_return",'Database Query'!$E$14),$B290&lt;&gt;"etf",_xll.YCP("M:"&amp; $A290,"ytd_total_return",'Database Query'!$E$14))</f>
        <v>ERR: INVALID ASSET</v>
      </c>
      <c r="K290" s="2" t="e" cm="1">
        <f t="array" aca="1" ref="K290" ca="1">-_xll.YCP($E290,"ytd_return",'Database Query'!$E$14)+J290</f>
        <v>#VALUE!</v>
      </c>
      <c r="L290" s="2" t="str" cm="1">
        <f t="array" aca="1" ref="L290" ca="1">_xlfn.IFS($B290="etf", _xll.YCP($A290,"one_year_total_return",'Database Query'!$E$14),$B290&lt;&gt;"etf",_xll.YCP("M:"&amp; $A290,"one_year_total_return",'Database Query'!$E$14))</f>
        <v>ERR: INVALID ASSET</v>
      </c>
      <c r="M290" s="2" t="e" cm="1">
        <f t="array" aca="1" ref="M290" ca="1">-_xll.YCP($E290,"one_year_return",'Database Query'!$E$14)+L290</f>
        <v>#VALUE!</v>
      </c>
      <c r="N290" s="2" t="str" cm="1">
        <f t="array" aca="1" ref="N290" ca="1">_xlfn.IFS($B290="etf", _xll.YCP($A290,"three_year_total_return",'Database Query'!$E$14),$B290&lt;&gt;"etf",_xll.YCP("M:"&amp; $A290,"three_year_total_return",'Database Query'!$E$14))</f>
        <v>ERR: INVALID ASSET</v>
      </c>
      <c r="O290" s="2" t="e" cm="1">
        <f t="array" aca="1" ref="O290" ca="1">-_xll.YCP($E290,"three_year_return",'Database Query'!$E$14)+N290</f>
        <v>#VALUE!</v>
      </c>
      <c r="P290" s="2" t="str" cm="1">
        <f t="array" aca="1" ref="P290" ca="1">_xlfn.IFS($B290="etf", _xll.YCP($A290,"five_year_total_return",'Database Query'!$E$14),$B290&lt;&gt;"etf",_xll.YCP("M:"&amp; $A290,"five_year_total_return",'Database Query'!$E$14))</f>
        <v>ERR: INVALID ASSET</v>
      </c>
      <c r="Q290" s="2" t="e" cm="1">
        <f t="array" aca="1" ref="Q290" ca="1">-_xll.YCP($E290,"five_year_return",'Database Query'!$E$14)+P290</f>
        <v>#VALUE!</v>
      </c>
    </row>
    <row r="291" spans="2:17" x14ac:dyDescent="0.25">
      <c r="B291" t="str" cm="1">
        <f t="array" aca="1" ref="B291" ca="1">_xll.YCI(A291,"detailed_security_type",TODAY())</f>
        <v/>
      </c>
      <c r="C291" t="str" cm="1">
        <f t="array" aca="1" ref="C291" ca="1">_xlfn.IFS(B291="etf", _xll.YCI(A291, "security_name",TODAY()),B291&lt;&gt;"etf",_xll.YCI("M:" &amp; A291, "security_name",TODAY()))</f>
        <v>ERR: INVALID ASSET</v>
      </c>
      <c r="D291" t="str" cm="1">
        <f t="array" aca="1" ref="D291" ca="1">_xlfn.IFS($B291="etf", _xll.YCI($A291, "ycharts_benchmark_category",TODAY()),$B291&lt;&gt;"etf",_xll.YCI("M:" &amp; $A291, "ycharts_benchmark_category",TODAY()))</f>
        <v>ERR: INVALID ASSET</v>
      </c>
      <c r="E291" t="str" cm="1">
        <f t="array" aca="1" ref="E291" ca="1">_xlfn.IFS($B291="etf", _xll.YCI($A291, "ycharts_benchmark_index_symbol",TODAY()),$B291&lt;&gt;"etf",_xll.YCI("M:" &amp; $A291, "ycharts_benchmark_index_symbol",TODAY()))</f>
        <v>ERR: INVALID ASSET</v>
      </c>
      <c r="F291" t="str" cm="1">
        <f t="array" aca="1" ref="F291" ca="1">_xlfn.IFS($B291="etf", _xll.YCI($E291, "security_name",TODAY()),$B291&lt;&gt;"etf",_xll.YCI( $E291, "security_name",TODAY()))</f>
        <v>ERR: INVALID ASSET</v>
      </c>
      <c r="G291" t="str" cm="1">
        <f t="array" aca="1" ref="G291" ca="1">_xlfn.IFS($B291="etf", _xll.YCI($A291, "prospectus_benchmark_index",TODAY()),$B291&lt;&gt;"etf",_xll.YCI("M:" &amp; $A291, "prospectus_benchmark_index",TODAY()))</f>
        <v>ERR: INVALID ASSET</v>
      </c>
      <c r="H291" s="2" t="str" cm="1">
        <f t="array" aca="1" ref="H291" ca="1">_xlfn.IFS($B291="etf", _xll.YCP($A291,"quarterly_total_return",'Database Query'!$E$14),$B291&lt;&gt;"etf",_xll.YCP("M:"&amp; $A291,"quarterly_total_return",'Database Query'!$E$14))</f>
        <v>ERR: INVALID ASSET</v>
      </c>
      <c r="I291" s="2" t="e" cm="1">
        <f t="array" aca="1" ref="I291" ca="1">-_xll.YCP($E291,"quarterly_return",'Database Query'!$E$14)+H291</f>
        <v>#VALUE!</v>
      </c>
      <c r="J291" s="2" t="str" cm="1">
        <f t="array" aca="1" ref="J291" ca="1">_xlfn.IFS($B291="etf", _xll.YCP($A291,"ytd_total_return",'Database Query'!$E$14),$B291&lt;&gt;"etf",_xll.YCP("M:"&amp; $A291,"ytd_total_return",'Database Query'!$E$14))</f>
        <v>ERR: INVALID ASSET</v>
      </c>
      <c r="K291" s="2" t="e" cm="1">
        <f t="array" aca="1" ref="K291" ca="1">-_xll.YCP($E291,"ytd_return",'Database Query'!$E$14)+J291</f>
        <v>#VALUE!</v>
      </c>
      <c r="L291" s="2" t="str" cm="1">
        <f t="array" aca="1" ref="L291" ca="1">_xlfn.IFS($B291="etf", _xll.YCP($A291,"one_year_total_return",'Database Query'!$E$14),$B291&lt;&gt;"etf",_xll.YCP("M:"&amp; $A291,"one_year_total_return",'Database Query'!$E$14))</f>
        <v>ERR: INVALID ASSET</v>
      </c>
      <c r="M291" s="2" t="e" cm="1">
        <f t="array" aca="1" ref="M291" ca="1">-_xll.YCP($E291,"one_year_return",'Database Query'!$E$14)+L291</f>
        <v>#VALUE!</v>
      </c>
      <c r="N291" s="2" t="str" cm="1">
        <f t="array" aca="1" ref="N291" ca="1">_xlfn.IFS($B291="etf", _xll.YCP($A291,"three_year_total_return",'Database Query'!$E$14),$B291&lt;&gt;"etf",_xll.YCP("M:"&amp; $A291,"three_year_total_return",'Database Query'!$E$14))</f>
        <v>ERR: INVALID ASSET</v>
      </c>
      <c r="O291" s="2" t="e" cm="1">
        <f t="array" aca="1" ref="O291" ca="1">-_xll.YCP($E291,"three_year_return",'Database Query'!$E$14)+N291</f>
        <v>#VALUE!</v>
      </c>
      <c r="P291" s="2" t="str" cm="1">
        <f t="array" aca="1" ref="P291" ca="1">_xlfn.IFS($B291="etf", _xll.YCP($A291,"five_year_total_return",'Database Query'!$E$14),$B291&lt;&gt;"etf",_xll.YCP("M:"&amp; $A291,"five_year_total_return",'Database Query'!$E$14))</f>
        <v>ERR: INVALID ASSET</v>
      </c>
      <c r="Q291" s="2" t="e" cm="1">
        <f t="array" aca="1" ref="Q291" ca="1">-_xll.YCP($E291,"five_year_return",'Database Query'!$E$14)+P291</f>
        <v>#VALUE!</v>
      </c>
    </row>
    <row r="292" spans="2:17" x14ac:dyDescent="0.25">
      <c r="B292" t="str" cm="1">
        <f t="array" aca="1" ref="B292" ca="1">_xll.YCI(A292,"detailed_security_type",TODAY())</f>
        <v/>
      </c>
      <c r="C292" t="str" cm="1">
        <f t="array" aca="1" ref="C292" ca="1">_xlfn.IFS(B292="etf", _xll.YCI(A292, "security_name",TODAY()),B292&lt;&gt;"etf",_xll.YCI("M:" &amp; A292, "security_name",TODAY()))</f>
        <v>ERR: INVALID ASSET</v>
      </c>
      <c r="D292" t="str" cm="1">
        <f t="array" aca="1" ref="D292" ca="1">_xlfn.IFS($B292="etf", _xll.YCI($A292, "ycharts_benchmark_category",TODAY()),$B292&lt;&gt;"etf",_xll.YCI("M:" &amp; $A292, "ycharts_benchmark_category",TODAY()))</f>
        <v>ERR: INVALID ASSET</v>
      </c>
      <c r="E292" t="str" cm="1">
        <f t="array" aca="1" ref="E292" ca="1">_xlfn.IFS($B292="etf", _xll.YCI($A292, "ycharts_benchmark_index_symbol",TODAY()),$B292&lt;&gt;"etf",_xll.YCI("M:" &amp; $A292, "ycharts_benchmark_index_symbol",TODAY()))</f>
        <v>ERR: INVALID ASSET</v>
      </c>
      <c r="F292" t="str" cm="1">
        <f t="array" aca="1" ref="F292" ca="1">_xlfn.IFS($B292="etf", _xll.YCI($E292, "security_name",TODAY()),$B292&lt;&gt;"etf",_xll.YCI( $E292, "security_name",TODAY()))</f>
        <v>ERR: INVALID ASSET</v>
      </c>
      <c r="G292" t="str" cm="1">
        <f t="array" aca="1" ref="G292" ca="1">_xlfn.IFS($B292="etf", _xll.YCI($A292, "prospectus_benchmark_index",TODAY()),$B292&lt;&gt;"etf",_xll.YCI("M:" &amp; $A292, "prospectus_benchmark_index",TODAY()))</f>
        <v>ERR: INVALID ASSET</v>
      </c>
      <c r="H292" s="2" t="str" cm="1">
        <f t="array" aca="1" ref="H292" ca="1">_xlfn.IFS($B292="etf", _xll.YCP($A292,"quarterly_total_return",'Database Query'!$E$14),$B292&lt;&gt;"etf",_xll.YCP("M:"&amp; $A292,"quarterly_total_return",'Database Query'!$E$14))</f>
        <v>ERR: INVALID ASSET</v>
      </c>
      <c r="I292" s="2" t="e" cm="1">
        <f t="array" aca="1" ref="I292" ca="1">-_xll.YCP($E292,"quarterly_return",'Database Query'!$E$14)+H292</f>
        <v>#VALUE!</v>
      </c>
      <c r="J292" s="2" t="str" cm="1">
        <f t="array" aca="1" ref="J292" ca="1">_xlfn.IFS($B292="etf", _xll.YCP($A292,"ytd_total_return",'Database Query'!$E$14),$B292&lt;&gt;"etf",_xll.YCP("M:"&amp; $A292,"ytd_total_return",'Database Query'!$E$14))</f>
        <v>ERR: INVALID ASSET</v>
      </c>
      <c r="K292" s="2" t="e" cm="1">
        <f t="array" aca="1" ref="K292" ca="1">-_xll.YCP($E292,"ytd_return",'Database Query'!$E$14)+J292</f>
        <v>#VALUE!</v>
      </c>
      <c r="L292" s="2" t="str" cm="1">
        <f t="array" aca="1" ref="L292" ca="1">_xlfn.IFS($B292="etf", _xll.YCP($A292,"one_year_total_return",'Database Query'!$E$14),$B292&lt;&gt;"etf",_xll.YCP("M:"&amp; $A292,"one_year_total_return",'Database Query'!$E$14))</f>
        <v>ERR: INVALID ASSET</v>
      </c>
      <c r="M292" s="2" t="e" cm="1">
        <f t="array" aca="1" ref="M292" ca="1">-_xll.YCP($E292,"one_year_return",'Database Query'!$E$14)+L292</f>
        <v>#VALUE!</v>
      </c>
      <c r="N292" s="2" t="str" cm="1">
        <f t="array" aca="1" ref="N292" ca="1">_xlfn.IFS($B292="etf", _xll.YCP($A292,"three_year_total_return",'Database Query'!$E$14),$B292&lt;&gt;"etf",_xll.YCP("M:"&amp; $A292,"three_year_total_return",'Database Query'!$E$14))</f>
        <v>ERR: INVALID ASSET</v>
      </c>
      <c r="O292" s="2" t="e" cm="1">
        <f t="array" aca="1" ref="O292" ca="1">-_xll.YCP($E292,"three_year_return",'Database Query'!$E$14)+N292</f>
        <v>#VALUE!</v>
      </c>
      <c r="P292" s="2" t="str" cm="1">
        <f t="array" aca="1" ref="P292" ca="1">_xlfn.IFS($B292="etf", _xll.YCP($A292,"five_year_total_return",'Database Query'!$E$14),$B292&lt;&gt;"etf",_xll.YCP("M:"&amp; $A292,"five_year_total_return",'Database Query'!$E$14))</f>
        <v>ERR: INVALID ASSET</v>
      </c>
      <c r="Q292" s="2" t="e" cm="1">
        <f t="array" aca="1" ref="Q292" ca="1">-_xll.YCP($E292,"five_year_return",'Database Query'!$E$14)+P292</f>
        <v>#VALUE!</v>
      </c>
    </row>
    <row r="293" spans="2:17" x14ac:dyDescent="0.25">
      <c r="B293" t="str" cm="1">
        <f t="array" aca="1" ref="B293" ca="1">_xll.YCI(A293,"detailed_security_type",TODAY())</f>
        <v/>
      </c>
      <c r="C293" t="str" cm="1">
        <f t="array" aca="1" ref="C293" ca="1">_xlfn.IFS(B293="etf", _xll.YCI(A293, "security_name",TODAY()),B293&lt;&gt;"etf",_xll.YCI("M:" &amp; A293, "security_name",TODAY()))</f>
        <v>ERR: INVALID ASSET</v>
      </c>
      <c r="D293" t="str" cm="1">
        <f t="array" aca="1" ref="D293" ca="1">_xlfn.IFS($B293="etf", _xll.YCI($A293, "ycharts_benchmark_category",TODAY()),$B293&lt;&gt;"etf",_xll.YCI("M:" &amp; $A293, "ycharts_benchmark_category",TODAY()))</f>
        <v>ERR: INVALID ASSET</v>
      </c>
      <c r="E293" t="str" cm="1">
        <f t="array" aca="1" ref="E293" ca="1">_xlfn.IFS($B293="etf", _xll.YCI($A293, "ycharts_benchmark_index_symbol",TODAY()),$B293&lt;&gt;"etf",_xll.YCI("M:" &amp; $A293, "ycharts_benchmark_index_symbol",TODAY()))</f>
        <v>ERR: INVALID ASSET</v>
      </c>
      <c r="F293" t="str" cm="1">
        <f t="array" aca="1" ref="F293" ca="1">_xlfn.IFS($B293="etf", _xll.YCI($E293, "security_name",TODAY()),$B293&lt;&gt;"etf",_xll.YCI( $E293, "security_name",TODAY()))</f>
        <v>ERR: INVALID ASSET</v>
      </c>
      <c r="G293" t="str" cm="1">
        <f t="array" aca="1" ref="G293" ca="1">_xlfn.IFS($B293="etf", _xll.YCI($A293, "prospectus_benchmark_index",TODAY()),$B293&lt;&gt;"etf",_xll.YCI("M:" &amp; $A293, "prospectus_benchmark_index",TODAY()))</f>
        <v>ERR: INVALID ASSET</v>
      </c>
      <c r="H293" s="2" t="str" cm="1">
        <f t="array" aca="1" ref="H293" ca="1">_xlfn.IFS($B293="etf", _xll.YCP($A293,"quarterly_total_return",'Database Query'!$E$14),$B293&lt;&gt;"etf",_xll.YCP("M:"&amp; $A293,"quarterly_total_return",'Database Query'!$E$14))</f>
        <v>ERR: INVALID ASSET</v>
      </c>
      <c r="I293" s="2" t="e" cm="1">
        <f t="array" aca="1" ref="I293" ca="1">-_xll.YCP($E293,"quarterly_return",'Database Query'!$E$14)+H293</f>
        <v>#VALUE!</v>
      </c>
      <c r="J293" s="2" t="str" cm="1">
        <f t="array" aca="1" ref="J293" ca="1">_xlfn.IFS($B293="etf", _xll.YCP($A293,"ytd_total_return",'Database Query'!$E$14),$B293&lt;&gt;"etf",_xll.YCP("M:"&amp; $A293,"ytd_total_return",'Database Query'!$E$14))</f>
        <v>ERR: INVALID ASSET</v>
      </c>
      <c r="K293" s="2" t="e" cm="1">
        <f t="array" aca="1" ref="K293" ca="1">-_xll.YCP($E293,"ytd_return",'Database Query'!$E$14)+J293</f>
        <v>#VALUE!</v>
      </c>
      <c r="L293" s="2" t="str" cm="1">
        <f t="array" aca="1" ref="L293" ca="1">_xlfn.IFS($B293="etf", _xll.YCP($A293,"one_year_total_return",'Database Query'!$E$14),$B293&lt;&gt;"etf",_xll.YCP("M:"&amp; $A293,"one_year_total_return",'Database Query'!$E$14))</f>
        <v>ERR: INVALID ASSET</v>
      </c>
      <c r="M293" s="2" t="e" cm="1">
        <f t="array" aca="1" ref="M293" ca="1">-_xll.YCP($E293,"one_year_return",'Database Query'!$E$14)+L293</f>
        <v>#VALUE!</v>
      </c>
      <c r="N293" s="2" t="str" cm="1">
        <f t="array" aca="1" ref="N293" ca="1">_xlfn.IFS($B293="etf", _xll.YCP($A293,"three_year_total_return",'Database Query'!$E$14),$B293&lt;&gt;"etf",_xll.YCP("M:"&amp; $A293,"three_year_total_return",'Database Query'!$E$14))</f>
        <v>ERR: INVALID ASSET</v>
      </c>
      <c r="O293" s="2" t="e" cm="1">
        <f t="array" aca="1" ref="O293" ca="1">-_xll.YCP($E293,"three_year_return",'Database Query'!$E$14)+N293</f>
        <v>#VALUE!</v>
      </c>
      <c r="P293" s="2" t="str" cm="1">
        <f t="array" aca="1" ref="P293" ca="1">_xlfn.IFS($B293="etf", _xll.YCP($A293,"five_year_total_return",'Database Query'!$E$14),$B293&lt;&gt;"etf",_xll.YCP("M:"&amp; $A293,"five_year_total_return",'Database Query'!$E$14))</f>
        <v>ERR: INVALID ASSET</v>
      </c>
      <c r="Q293" s="2" t="e" cm="1">
        <f t="array" aca="1" ref="Q293" ca="1">-_xll.YCP($E293,"five_year_return",'Database Query'!$E$14)+P293</f>
        <v>#VALUE!</v>
      </c>
    </row>
    <row r="294" spans="2:17" x14ac:dyDescent="0.25">
      <c r="B294" t="str" cm="1">
        <f t="array" aca="1" ref="B294" ca="1">_xll.YCI(A294,"detailed_security_type",TODAY())</f>
        <v/>
      </c>
      <c r="C294" t="str" cm="1">
        <f t="array" aca="1" ref="C294" ca="1">_xlfn.IFS(B294="etf", _xll.YCI(A294, "security_name",TODAY()),B294&lt;&gt;"etf",_xll.YCI("M:" &amp; A294, "security_name",TODAY()))</f>
        <v>ERR: INVALID ASSET</v>
      </c>
      <c r="D294" t="str" cm="1">
        <f t="array" aca="1" ref="D294" ca="1">_xlfn.IFS($B294="etf", _xll.YCI($A294, "ycharts_benchmark_category",TODAY()),$B294&lt;&gt;"etf",_xll.YCI("M:" &amp; $A294, "ycharts_benchmark_category",TODAY()))</f>
        <v>ERR: INVALID ASSET</v>
      </c>
      <c r="E294" t="str" cm="1">
        <f t="array" aca="1" ref="E294" ca="1">_xlfn.IFS($B294="etf", _xll.YCI($A294, "ycharts_benchmark_index_symbol",TODAY()),$B294&lt;&gt;"etf",_xll.YCI("M:" &amp; $A294, "ycharts_benchmark_index_symbol",TODAY()))</f>
        <v>ERR: INVALID ASSET</v>
      </c>
      <c r="F294" t="str" cm="1">
        <f t="array" aca="1" ref="F294" ca="1">_xlfn.IFS($B294="etf", _xll.YCI($E294, "security_name",TODAY()),$B294&lt;&gt;"etf",_xll.YCI( $E294, "security_name",TODAY()))</f>
        <v>ERR: INVALID ASSET</v>
      </c>
      <c r="G294" t="str" cm="1">
        <f t="array" aca="1" ref="G294" ca="1">_xlfn.IFS($B294="etf", _xll.YCI($A294, "prospectus_benchmark_index",TODAY()),$B294&lt;&gt;"etf",_xll.YCI("M:" &amp; $A294, "prospectus_benchmark_index",TODAY()))</f>
        <v>ERR: INVALID ASSET</v>
      </c>
      <c r="H294" s="2" t="str" cm="1">
        <f t="array" aca="1" ref="H294" ca="1">_xlfn.IFS($B294="etf", _xll.YCP($A294,"quarterly_total_return",'Database Query'!$E$14),$B294&lt;&gt;"etf",_xll.YCP("M:"&amp; $A294,"quarterly_total_return",'Database Query'!$E$14))</f>
        <v>ERR: INVALID ASSET</v>
      </c>
      <c r="I294" s="2" t="e" cm="1">
        <f t="array" aca="1" ref="I294" ca="1">-_xll.YCP($E294,"quarterly_return",'Database Query'!$E$14)+H294</f>
        <v>#VALUE!</v>
      </c>
      <c r="J294" s="2" t="str" cm="1">
        <f t="array" aca="1" ref="J294" ca="1">_xlfn.IFS($B294="etf", _xll.YCP($A294,"ytd_total_return",'Database Query'!$E$14),$B294&lt;&gt;"etf",_xll.YCP("M:"&amp; $A294,"ytd_total_return",'Database Query'!$E$14))</f>
        <v>ERR: INVALID ASSET</v>
      </c>
      <c r="K294" s="2" t="e" cm="1">
        <f t="array" aca="1" ref="K294" ca="1">-_xll.YCP($E294,"ytd_return",'Database Query'!$E$14)+J294</f>
        <v>#VALUE!</v>
      </c>
      <c r="L294" s="2" t="str" cm="1">
        <f t="array" aca="1" ref="L294" ca="1">_xlfn.IFS($B294="etf", _xll.YCP($A294,"one_year_total_return",'Database Query'!$E$14),$B294&lt;&gt;"etf",_xll.YCP("M:"&amp; $A294,"one_year_total_return",'Database Query'!$E$14))</f>
        <v>ERR: INVALID ASSET</v>
      </c>
      <c r="M294" s="2" t="e" cm="1">
        <f t="array" aca="1" ref="M294" ca="1">-_xll.YCP($E294,"one_year_return",'Database Query'!$E$14)+L294</f>
        <v>#VALUE!</v>
      </c>
      <c r="N294" s="2" t="str" cm="1">
        <f t="array" aca="1" ref="N294" ca="1">_xlfn.IFS($B294="etf", _xll.YCP($A294,"three_year_total_return",'Database Query'!$E$14),$B294&lt;&gt;"etf",_xll.YCP("M:"&amp; $A294,"three_year_total_return",'Database Query'!$E$14))</f>
        <v>ERR: INVALID ASSET</v>
      </c>
      <c r="O294" s="2" t="e" cm="1">
        <f t="array" aca="1" ref="O294" ca="1">-_xll.YCP($E294,"three_year_return",'Database Query'!$E$14)+N294</f>
        <v>#VALUE!</v>
      </c>
      <c r="P294" s="2" t="str" cm="1">
        <f t="array" aca="1" ref="P294" ca="1">_xlfn.IFS($B294="etf", _xll.YCP($A294,"five_year_total_return",'Database Query'!$E$14),$B294&lt;&gt;"etf",_xll.YCP("M:"&amp; $A294,"five_year_total_return",'Database Query'!$E$14))</f>
        <v>ERR: INVALID ASSET</v>
      </c>
      <c r="Q294" s="2" t="e" cm="1">
        <f t="array" aca="1" ref="Q294" ca="1">-_xll.YCP($E294,"five_year_return",'Database Query'!$E$14)+P294</f>
        <v>#VALUE!</v>
      </c>
    </row>
    <row r="295" spans="2:17" x14ac:dyDescent="0.25">
      <c r="B295" t="str" cm="1">
        <f t="array" aca="1" ref="B295" ca="1">_xll.YCI(A295,"detailed_security_type",TODAY())</f>
        <v/>
      </c>
      <c r="C295" t="str" cm="1">
        <f t="array" aca="1" ref="C295" ca="1">_xlfn.IFS(B295="etf", _xll.YCI(A295, "security_name",TODAY()),B295&lt;&gt;"etf",_xll.YCI("M:" &amp; A295, "security_name",TODAY()))</f>
        <v>ERR: INVALID ASSET</v>
      </c>
      <c r="D295" t="str" cm="1">
        <f t="array" aca="1" ref="D295" ca="1">_xlfn.IFS($B295="etf", _xll.YCI($A295, "ycharts_benchmark_category",TODAY()),$B295&lt;&gt;"etf",_xll.YCI("M:" &amp; $A295, "ycharts_benchmark_category",TODAY()))</f>
        <v>ERR: INVALID ASSET</v>
      </c>
      <c r="E295" t="str" cm="1">
        <f t="array" aca="1" ref="E295" ca="1">_xlfn.IFS($B295="etf", _xll.YCI($A295, "ycharts_benchmark_index_symbol",TODAY()),$B295&lt;&gt;"etf",_xll.YCI("M:" &amp; $A295, "ycharts_benchmark_index_symbol",TODAY()))</f>
        <v>ERR: INVALID ASSET</v>
      </c>
      <c r="F295" t="str" cm="1">
        <f t="array" aca="1" ref="F295" ca="1">_xlfn.IFS($B295="etf", _xll.YCI($E295, "security_name",TODAY()),$B295&lt;&gt;"etf",_xll.YCI( $E295, "security_name",TODAY()))</f>
        <v>ERR: INVALID ASSET</v>
      </c>
      <c r="G295" t="str" cm="1">
        <f t="array" aca="1" ref="G295" ca="1">_xlfn.IFS($B295="etf", _xll.YCI($A295, "prospectus_benchmark_index",TODAY()),$B295&lt;&gt;"etf",_xll.YCI("M:" &amp; $A295, "prospectus_benchmark_index",TODAY()))</f>
        <v>ERR: INVALID ASSET</v>
      </c>
      <c r="H295" s="2" t="str" cm="1">
        <f t="array" aca="1" ref="H295" ca="1">_xlfn.IFS($B295="etf", _xll.YCP($A295,"quarterly_total_return",'Database Query'!$E$14),$B295&lt;&gt;"etf",_xll.YCP("M:"&amp; $A295,"quarterly_total_return",'Database Query'!$E$14))</f>
        <v>ERR: INVALID ASSET</v>
      </c>
      <c r="I295" s="2" t="e" cm="1">
        <f t="array" aca="1" ref="I295" ca="1">-_xll.YCP($E295,"quarterly_return",'Database Query'!$E$14)+H295</f>
        <v>#VALUE!</v>
      </c>
      <c r="J295" s="2" t="str" cm="1">
        <f t="array" aca="1" ref="J295" ca="1">_xlfn.IFS($B295="etf", _xll.YCP($A295,"ytd_total_return",'Database Query'!$E$14),$B295&lt;&gt;"etf",_xll.YCP("M:"&amp; $A295,"ytd_total_return",'Database Query'!$E$14))</f>
        <v>ERR: INVALID ASSET</v>
      </c>
      <c r="K295" s="2" t="e" cm="1">
        <f t="array" aca="1" ref="K295" ca="1">-_xll.YCP($E295,"ytd_return",'Database Query'!$E$14)+J295</f>
        <v>#VALUE!</v>
      </c>
      <c r="L295" s="2" t="str" cm="1">
        <f t="array" aca="1" ref="L295" ca="1">_xlfn.IFS($B295="etf", _xll.YCP($A295,"one_year_total_return",'Database Query'!$E$14),$B295&lt;&gt;"etf",_xll.YCP("M:"&amp; $A295,"one_year_total_return",'Database Query'!$E$14))</f>
        <v>ERR: INVALID ASSET</v>
      </c>
      <c r="M295" s="2" t="e" cm="1">
        <f t="array" aca="1" ref="M295" ca="1">-_xll.YCP($E295,"one_year_return",'Database Query'!$E$14)+L295</f>
        <v>#VALUE!</v>
      </c>
      <c r="N295" s="2" t="str" cm="1">
        <f t="array" aca="1" ref="N295" ca="1">_xlfn.IFS($B295="etf", _xll.YCP($A295,"three_year_total_return",'Database Query'!$E$14),$B295&lt;&gt;"etf",_xll.YCP("M:"&amp; $A295,"three_year_total_return",'Database Query'!$E$14))</f>
        <v>ERR: INVALID ASSET</v>
      </c>
      <c r="O295" s="2" t="e" cm="1">
        <f t="array" aca="1" ref="O295" ca="1">-_xll.YCP($E295,"three_year_return",'Database Query'!$E$14)+N295</f>
        <v>#VALUE!</v>
      </c>
      <c r="P295" s="2" t="str" cm="1">
        <f t="array" aca="1" ref="P295" ca="1">_xlfn.IFS($B295="etf", _xll.YCP($A295,"five_year_total_return",'Database Query'!$E$14),$B295&lt;&gt;"etf",_xll.YCP("M:"&amp; $A295,"five_year_total_return",'Database Query'!$E$14))</f>
        <v>ERR: INVALID ASSET</v>
      </c>
      <c r="Q295" s="2" t="e" cm="1">
        <f t="array" aca="1" ref="Q295" ca="1">-_xll.YCP($E295,"five_year_return",'Database Query'!$E$14)+P295</f>
        <v>#VALUE!</v>
      </c>
    </row>
    <row r="296" spans="2:17" x14ac:dyDescent="0.25">
      <c r="B296" t="str" cm="1">
        <f t="array" aca="1" ref="B296" ca="1">_xll.YCI(A296,"detailed_security_type",TODAY())</f>
        <v/>
      </c>
      <c r="C296" t="str" cm="1">
        <f t="array" aca="1" ref="C296" ca="1">_xlfn.IFS(B296="etf", _xll.YCI(A296, "security_name",TODAY()),B296&lt;&gt;"etf",_xll.YCI("M:" &amp; A296, "security_name",TODAY()))</f>
        <v>ERR: INVALID ASSET</v>
      </c>
      <c r="D296" t="str" cm="1">
        <f t="array" aca="1" ref="D296" ca="1">_xlfn.IFS($B296="etf", _xll.YCI($A296, "ycharts_benchmark_category",TODAY()),$B296&lt;&gt;"etf",_xll.YCI("M:" &amp; $A296, "ycharts_benchmark_category",TODAY()))</f>
        <v>ERR: INVALID ASSET</v>
      </c>
      <c r="E296" t="str" cm="1">
        <f t="array" aca="1" ref="E296" ca="1">_xlfn.IFS($B296="etf", _xll.YCI($A296, "ycharts_benchmark_index_symbol",TODAY()),$B296&lt;&gt;"etf",_xll.YCI("M:" &amp; $A296, "ycharts_benchmark_index_symbol",TODAY()))</f>
        <v>ERR: INVALID ASSET</v>
      </c>
      <c r="F296" t="str" cm="1">
        <f t="array" aca="1" ref="F296" ca="1">_xlfn.IFS($B296="etf", _xll.YCI($E296, "security_name",TODAY()),$B296&lt;&gt;"etf",_xll.YCI( $E296, "security_name",TODAY()))</f>
        <v>ERR: INVALID ASSET</v>
      </c>
      <c r="G296" t="str" cm="1">
        <f t="array" aca="1" ref="G296" ca="1">_xlfn.IFS($B296="etf", _xll.YCI($A296, "prospectus_benchmark_index",TODAY()),$B296&lt;&gt;"etf",_xll.YCI("M:" &amp; $A296, "prospectus_benchmark_index",TODAY()))</f>
        <v>ERR: INVALID ASSET</v>
      </c>
      <c r="H296" s="2" t="str" cm="1">
        <f t="array" aca="1" ref="H296" ca="1">_xlfn.IFS($B296="etf", _xll.YCP($A296,"quarterly_total_return",'Database Query'!$E$14),$B296&lt;&gt;"etf",_xll.YCP("M:"&amp; $A296,"quarterly_total_return",'Database Query'!$E$14))</f>
        <v>ERR: INVALID ASSET</v>
      </c>
      <c r="I296" s="2" t="e" cm="1">
        <f t="array" aca="1" ref="I296" ca="1">-_xll.YCP($E296,"quarterly_return",'Database Query'!$E$14)+H296</f>
        <v>#VALUE!</v>
      </c>
      <c r="J296" s="2" t="str" cm="1">
        <f t="array" aca="1" ref="J296" ca="1">_xlfn.IFS($B296="etf", _xll.YCP($A296,"ytd_total_return",'Database Query'!$E$14),$B296&lt;&gt;"etf",_xll.YCP("M:"&amp; $A296,"ytd_total_return",'Database Query'!$E$14))</f>
        <v>ERR: INVALID ASSET</v>
      </c>
      <c r="K296" s="2" t="e" cm="1">
        <f t="array" aca="1" ref="K296" ca="1">-_xll.YCP($E296,"ytd_return",'Database Query'!$E$14)+J296</f>
        <v>#VALUE!</v>
      </c>
      <c r="L296" s="2" t="str" cm="1">
        <f t="array" aca="1" ref="L296" ca="1">_xlfn.IFS($B296="etf", _xll.YCP($A296,"one_year_total_return",'Database Query'!$E$14),$B296&lt;&gt;"etf",_xll.YCP("M:"&amp; $A296,"one_year_total_return",'Database Query'!$E$14))</f>
        <v>ERR: INVALID ASSET</v>
      </c>
      <c r="M296" s="2" t="e" cm="1">
        <f t="array" aca="1" ref="M296" ca="1">-_xll.YCP($E296,"one_year_return",'Database Query'!$E$14)+L296</f>
        <v>#VALUE!</v>
      </c>
      <c r="N296" s="2" t="str" cm="1">
        <f t="array" aca="1" ref="N296" ca="1">_xlfn.IFS($B296="etf", _xll.YCP($A296,"three_year_total_return",'Database Query'!$E$14),$B296&lt;&gt;"etf",_xll.YCP("M:"&amp; $A296,"three_year_total_return",'Database Query'!$E$14))</f>
        <v>ERR: INVALID ASSET</v>
      </c>
      <c r="O296" s="2" t="e" cm="1">
        <f t="array" aca="1" ref="O296" ca="1">-_xll.YCP($E296,"three_year_return",'Database Query'!$E$14)+N296</f>
        <v>#VALUE!</v>
      </c>
      <c r="P296" s="2" t="str" cm="1">
        <f t="array" aca="1" ref="P296" ca="1">_xlfn.IFS($B296="etf", _xll.YCP($A296,"five_year_total_return",'Database Query'!$E$14),$B296&lt;&gt;"etf",_xll.YCP("M:"&amp; $A296,"five_year_total_return",'Database Query'!$E$14))</f>
        <v>ERR: INVALID ASSET</v>
      </c>
      <c r="Q296" s="2" t="e" cm="1">
        <f t="array" aca="1" ref="Q296" ca="1">-_xll.YCP($E296,"five_year_return",'Database Query'!$E$14)+P296</f>
        <v>#VALUE!</v>
      </c>
    </row>
    <row r="297" spans="2:17" x14ac:dyDescent="0.25">
      <c r="B297" t="str" cm="1">
        <f t="array" aca="1" ref="B297" ca="1">_xll.YCI(A297,"detailed_security_type",TODAY())</f>
        <v/>
      </c>
      <c r="C297" t="str" cm="1">
        <f t="array" aca="1" ref="C297" ca="1">_xlfn.IFS(B297="etf", _xll.YCI(A297, "security_name",TODAY()),B297&lt;&gt;"etf",_xll.YCI("M:" &amp; A297, "security_name",TODAY()))</f>
        <v>ERR: INVALID ASSET</v>
      </c>
      <c r="D297" t="str" cm="1">
        <f t="array" aca="1" ref="D297" ca="1">_xlfn.IFS($B297="etf", _xll.YCI($A297, "ycharts_benchmark_category",TODAY()),$B297&lt;&gt;"etf",_xll.YCI("M:" &amp; $A297, "ycharts_benchmark_category",TODAY()))</f>
        <v>ERR: INVALID ASSET</v>
      </c>
      <c r="E297" t="str" cm="1">
        <f t="array" aca="1" ref="E297" ca="1">_xlfn.IFS($B297="etf", _xll.YCI($A297, "ycharts_benchmark_index_symbol",TODAY()),$B297&lt;&gt;"etf",_xll.YCI("M:" &amp; $A297, "ycharts_benchmark_index_symbol",TODAY()))</f>
        <v>ERR: INVALID ASSET</v>
      </c>
      <c r="F297" t="str" cm="1">
        <f t="array" aca="1" ref="F297" ca="1">_xlfn.IFS($B297="etf", _xll.YCI($E297, "security_name",TODAY()),$B297&lt;&gt;"etf",_xll.YCI( $E297, "security_name",TODAY()))</f>
        <v>ERR: INVALID ASSET</v>
      </c>
      <c r="G297" t="str" cm="1">
        <f t="array" aca="1" ref="G297" ca="1">_xlfn.IFS($B297="etf", _xll.YCI($A297, "prospectus_benchmark_index",TODAY()),$B297&lt;&gt;"etf",_xll.YCI("M:" &amp; $A297, "prospectus_benchmark_index",TODAY()))</f>
        <v>ERR: INVALID ASSET</v>
      </c>
      <c r="H297" s="2" t="str" cm="1">
        <f t="array" aca="1" ref="H297" ca="1">_xlfn.IFS($B297="etf", _xll.YCP($A297,"quarterly_total_return",'Database Query'!$E$14),$B297&lt;&gt;"etf",_xll.YCP("M:"&amp; $A297,"quarterly_total_return",'Database Query'!$E$14))</f>
        <v>ERR: INVALID ASSET</v>
      </c>
      <c r="I297" s="2" t="e" cm="1">
        <f t="array" aca="1" ref="I297" ca="1">-_xll.YCP($E297,"quarterly_return",'Database Query'!$E$14)+H297</f>
        <v>#VALUE!</v>
      </c>
      <c r="J297" s="2" t="str" cm="1">
        <f t="array" aca="1" ref="J297" ca="1">_xlfn.IFS($B297="etf", _xll.YCP($A297,"ytd_total_return",'Database Query'!$E$14),$B297&lt;&gt;"etf",_xll.YCP("M:"&amp; $A297,"ytd_total_return",'Database Query'!$E$14))</f>
        <v>ERR: INVALID ASSET</v>
      </c>
      <c r="K297" s="2" t="e" cm="1">
        <f t="array" aca="1" ref="K297" ca="1">-_xll.YCP($E297,"ytd_return",'Database Query'!$E$14)+J297</f>
        <v>#VALUE!</v>
      </c>
      <c r="L297" s="2" t="str" cm="1">
        <f t="array" aca="1" ref="L297" ca="1">_xlfn.IFS($B297="etf", _xll.YCP($A297,"one_year_total_return",'Database Query'!$E$14),$B297&lt;&gt;"etf",_xll.YCP("M:"&amp; $A297,"one_year_total_return",'Database Query'!$E$14))</f>
        <v>ERR: INVALID ASSET</v>
      </c>
      <c r="M297" s="2" t="e" cm="1">
        <f t="array" aca="1" ref="M297" ca="1">-_xll.YCP($E297,"one_year_return",'Database Query'!$E$14)+L297</f>
        <v>#VALUE!</v>
      </c>
      <c r="N297" s="2" t="str" cm="1">
        <f t="array" aca="1" ref="N297" ca="1">_xlfn.IFS($B297="etf", _xll.YCP($A297,"three_year_total_return",'Database Query'!$E$14),$B297&lt;&gt;"etf",_xll.YCP("M:"&amp; $A297,"three_year_total_return",'Database Query'!$E$14))</f>
        <v>ERR: INVALID ASSET</v>
      </c>
      <c r="O297" s="2" t="e" cm="1">
        <f t="array" aca="1" ref="O297" ca="1">-_xll.YCP($E297,"three_year_return",'Database Query'!$E$14)+N297</f>
        <v>#VALUE!</v>
      </c>
      <c r="P297" s="2" t="str" cm="1">
        <f t="array" aca="1" ref="P297" ca="1">_xlfn.IFS($B297="etf", _xll.YCP($A297,"five_year_total_return",'Database Query'!$E$14),$B297&lt;&gt;"etf",_xll.YCP("M:"&amp; $A297,"five_year_total_return",'Database Query'!$E$14))</f>
        <v>ERR: INVALID ASSET</v>
      </c>
      <c r="Q297" s="2" t="e" cm="1">
        <f t="array" aca="1" ref="Q297" ca="1">-_xll.YCP($E297,"five_year_return",'Database Query'!$E$14)+P297</f>
        <v>#VALUE!</v>
      </c>
    </row>
    <row r="298" spans="2:17" x14ac:dyDescent="0.25">
      <c r="B298" t="str" cm="1">
        <f t="array" aca="1" ref="B298" ca="1">_xll.YCI(A298,"detailed_security_type",TODAY())</f>
        <v/>
      </c>
      <c r="C298" t="str" cm="1">
        <f t="array" aca="1" ref="C298" ca="1">_xlfn.IFS(B298="etf", _xll.YCI(A298, "security_name",TODAY()),B298&lt;&gt;"etf",_xll.YCI("M:" &amp; A298, "security_name",TODAY()))</f>
        <v>ERR: INVALID ASSET</v>
      </c>
      <c r="D298" t="str" cm="1">
        <f t="array" aca="1" ref="D298" ca="1">_xlfn.IFS($B298="etf", _xll.YCI($A298, "ycharts_benchmark_category",TODAY()),$B298&lt;&gt;"etf",_xll.YCI("M:" &amp; $A298, "ycharts_benchmark_category",TODAY()))</f>
        <v>ERR: INVALID ASSET</v>
      </c>
      <c r="E298" t="str" cm="1">
        <f t="array" aca="1" ref="E298" ca="1">_xlfn.IFS($B298="etf", _xll.YCI($A298, "ycharts_benchmark_index_symbol",TODAY()),$B298&lt;&gt;"etf",_xll.YCI("M:" &amp; $A298, "ycharts_benchmark_index_symbol",TODAY()))</f>
        <v>ERR: INVALID ASSET</v>
      </c>
      <c r="F298" t="str" cm="1">
        <f t="array" aca="1" ref="F298" ca="1">_xlfn.IFS($B298="etf", _xll.YCI($E298, "security_name",TODAY()),$B298&lt;&gt;"etf",_xll.YCI( $E298, "security_name",TODAY()))</f>
        <v>ERR: INVALID ASSET</v>
      </c>
      <c r="G298" t="str" cm="1">
        <f t="array" aca="1" ref="G298" ca="1">_xlfn.IFS($B298="etf", _xll.YCI($A298, "prospectus_benchmark_index",TODAY()),$B298&lt;&gt;"etf",_xll.YCI("M:" &amp; $A298, "prospectus_benchmark_index",TODAY()))</f>
        <v>ERR: INVALID ASSET</v>
      </c>
      <c r="H298" s="2" t="str" cm="1">
        <f t="array" aca="1" ref="H298" ca="1">_xlfn.IFS($B298="etf", _xll.YCP($A298,"quarterly_total_return",'Database Query'!$E$14),$B298&lt;&gt;"etf",_xll.YCP("M:"&amp; $A298,"quarterly_total_return",'Database Query'!$E$14))</f>
        <v>ERR: INVALID ASSET</v>
      </c>
      <c r="I298" s="2" t="e" cm="1">
        <f t="array" aca="1" ref="I298" ca="1">-_xll.YCP($E298,"quarterly_return",'Database Query'!$E$14)+H298</f>
        <v>#VALUE!</v>
      </c>
      <c r="J298" s="2" t="str" cm="1">
        <f t="array" aca="1" ref="J298" ca="1">_xlfn.IFS($B298="etf", _xll.YCP($A298,"ytd_total_return",'Database Query'!$E$14),$B298&lt;&gt;"etf",_xll.YCP("M:"&amp; $A298,"ytd_total_return",'Database Query'!$E$14))</f>
        <v>ERR: INVALID ASSET</v>
      </c>
      <c r="K298" s="2" t="e" cm="1">
        <f t="array" aca="1" ref="K298" ca="1">-_xll.YCP($E298,"ytd_return",'Database Query'!$E$14)+J298</f>
        <v>#VALUE!</v>
      </c>
      <c r="L298" s="2" t="str" cm="1">
        <f t="array" aca="1" ref="L298" ca="1">_xlfn.IFS($B298="etf", _xll.YCP($A298,"one_year_total_return",'Database Query'!$E$14),$B298&lt;&gt;"etf",_xll.YCP("M:"&amp; $A298,"one_year_total_return",'Database Query'!$E$14))</f>
        <v>ERR: INVALID ASSET</v>
      </c>
      <c r="M298" s="2" t="e" cm="1">
        <f t="array" aca="1" ref="M298" ca="1">-_xll.YCP($E298,"one_year_return",'Database Query'!$E$14)+L298</f>
        <v>#VALUE!</v>
      </c>
      <c r="N298" s="2" t="str" cm="1">
        <f t="array" aca="1" ref="N298" ca="1">_xlfn.IFS($B298="etf", _xll.YCP($A298,"three_year_total_return",'Database Query'!$E$14),$B298&lt;&gt;"etf",_xll.YCP("M:"&amp; $A298,"three_year_total_return",'Database Query'!$E$14))</f>
        <v>ERR: INVALID ASSET</v>
      </c>
      <c r="O298" s="2" t="e" cm="1">
        <f t="array" aca="1" ref="O298" ca="1">-_xll.YCP($E298,"three_year_return",'Database Query'!$E$14)+N298</f>
        <v>#VALUE!</v>
      </c>
      <c r="P298" s="2" t="str" cm="1">
        <f t="array" aca="1" ref="P298" ca="1">_xlfn.IFS($B298="etf", _xll.YCP($A298,"five_year_total_return",'Database Query'!$E$14),$B298&lt;&gt;"etf",_xll.YCP("M:"&amp; $A298,"five_year_total_return",'Database Query'!$E$14))</f>
        <v>ERR: INVALID ASSET</v>
      </c>
      <c r="Q298" s="2" t="e" cm="1">
        <f t="array" aca="1" ref="Q298" ca="1">-_xll.YCP($E298,"five_year_return",'Database Query'!$E$14)+P298</f>
        <v>#VALUE!</v>
      </c>
    </row>
    <row r="299" spans="2:17" x14ac:dyDescent="0.25">
      <c r="B299" t="str" cm="1">
        <f t="array" aca="1" ref="B299" ca="1">_xll.YCI(A299,"detailed_security_type",TODAY())</f>
        <v/>
      </c>
      <c r="C299" t="str" cm="1">
        <f t="array" aca="1" ref="C299" ca="1">_xlfn.IFS(B299="etf", _xll.YCI(A299, "security_name",TODAY()),B299&lt;&gt;"etf",_xll.YCI("M:" &amp; A299, "security_name",TODAY()))</f>
        <v>ERR: INVALID ASSET</v>
      </c>
      <c r="D299" t="str" cm="1">
        <f t="array" aca="1" ref="D299" ca="1">_xlfn.IFS($B299="etf", _xll.YCI($A299, "ycharts_benchmark_category",TODAY()),$B299&lt;&gt;"etf",_xll.YCI("M:" &amp; $A299, "ycharts_benchmark_category",TODAY()))</f>
        <v>ERR: INVALID ASSET</v>
      </c>
      <c r="E299" t="str" cm="1">
        <f t="array" aca="1" ref="E299" ca="1">_xlfn.IFS($B299="etf", _xll.YCI($A299, "ycharts_benchmark_index_symbol",TODAY()),$B299&lt;&gt;"etf",_xll.YCI("M:" &amp; $A299, "ycharts_benchmark_index_symbol",TODAY()))</f>
        <v>ERR: INVALID ASSET</v>
      </c>
      <c r="F299" t="str" cm="1">
        <f t="array" aca="1" ref="F299" ca="1">_xlfn.IFS($B299="etf", _xll.YCI($E299, "security_name",TODAY()),$B299&lt;&gt;"etf",_xll.YCI( $E299, "security_name",TODAY()))</f>
        <v>ERR: INVALID ASSET</v>
      </c>
      <c r="G299" t="str" cm="1">
        <f t="array" aca="1" ref="G299" ca="1">_xlfn.IFS($B299="etf", _xll.YCI($A299, "prospectus_benchmark_index",TODAY()),$B299&lt;&gt;"etf",_xll.YCI("M:" &amp; $A299, "prospectus_benchmark_index",TODAY()))</f>
        <v>ERR: INVALID ASSET</v>
      </c>
      <c r="H299" s="2" t="str" cm="1">
        <f t="array" aca="1" ref="H299" ca="1">_xlfn.IFS($B299="etf", _xll.YCP($A299,"quarterly_total_return",'Database Query'!$E$14),$B299&lt;&gt;"etf",_xll.YCP("M:"&amp; $A299,"quarterly_total_return",'Database Query'!$E$14))</f>
        <v>ERR: INVALID ASSET</v>
      </c>
      <c r="I299" s="2" t="e" cm="1">
        <f t="array" aca="1" ref="I299" ca="1">-_xll.YCP($E299,"quarterly_return",'Database Query'!$E$14)+H299</f>
        <v>#VALUE!</v>
      </c>
      <c r="J299" s="2" t="str" cm="1">
        <f t="array" aca="1" ref="J299" ca="1">_xlfn.IFS($B299="etf", _xll.YCP($A299,"ytd_total_return",'Database Query'!$E$14),$B299&lt;&gt;"etf",_xll.YCP("M:"&amp; $A299,"ytd_total_return",'Database Query'!$E$14))</f>
        <v>ERR: INVALID ASSET</v>
      </c>
      <c r="K299" s="2" t="e" cm="1">
        <f t="array" aca="1" ref="K299" ca="1">-_xll.YCP($E299,"ytd_return",'Database Query'!$E$14)+J299</f>
        <v>#VALUE!</v>
      </c>
      <c r="L299" s="2" t="str" cm="1">
        <f t="array" aca="1" ref="L299" ca="1">_xlfn.IFS($B299="etf", _xll.YCP($A299,"one_year_total_return",'Database Query'!$E$14),$B299&lt;&gt;"etf",_xll.YCP("M:"&amp; $A299,"one_year_total_return",'Database Query'!$E$14))</f>
        <v>ERR: INVALID ASSET</v>
      </c>
      <c r="M299" s="2" t="e" cm="1">
        <f t="array" aca="1" ref="M299" ca="1">-_xll.YCP($E299,"one_year_return",'Database Query'!$E$14)+L299</f>
        <v>#VALUE!</v>
      </c>
      <c r="N299" s="2" t="str" cm="1">
        <f t="array" aca="1" ref="N299" ca="1">_xlfn.IFS($B299="etf", _xll.YCP($A299,"three_year_total_return",'Database Query'!$E$14),$B299&lt;&gt;"etf",_xll.YCP("M:"&amp; $A299,"three_year_total_return",'Database Query'!$E$14))</f>
        <v>ERR: INVALID ASSET</v>
      </c>
      <c r="O299" s="2" t="e" cm="1">
        <f t="array" aca="1" ref="O299" ca="1">-_xll.YCP($E299,"three_year_return",'Database Query'!$E$14)+N299</f>
        <v>#VALUE!</v>
      </c>
      <c r="P299" s="2" t="str" cm="1">
        <f t="array" aca="1" ref="P299" ca="1">_xlfn.IFS($B299="etf", _xll.YCP($A299,"five_year_total_return",'Database Query'!$E$14),$B299&lt;&gt;"etf",_xll.YCP("M:"&amp; $A299,"five_year_total_return",'Database Query'!$E$14))</f>
        <v>ERR: INVALID ASSET</v>
      </c>
      <c r="Q299" s="2" t="e" cm="1">
        <f t="array" aca="1" ref="Q299" ca="1">-_xll.YCP($E299,"five_year_return",'Database Query'!$E$14)+P299</f>
        <v>#VALUE!</v>
      </c>
    </row>
    <row r="300" spans="2:17" x14ac:dyDescent="0.25">
      <c r="B300" t="str" cm="1">
        <f t="array" aca="1" ref="B300" ca="1">_xll.YCI(A300,"detailed_security_type",TODAY())</f>
        <v/>
      </c>
      <c r="C300" t="str" cm="1">
        <f t="array" aca="1" ref="C300" ca="1">_xlfn.IFS(B300="etf", _xll.YCI(A300, "security_name",TODAY()),B300&lt;&gt;"etf",_xll.YCI("M:" &amp; A300, "security_name",TODAY()))</f>
        <v>ERR: INVALID ASSET</v>
      </c>
      <c r="D300" t="str" cm="1">
        <f t="array" aca="1" ref="D300" ca="1">_xlfn.IFS($B300="etf", _xll.YCI($A300, "ycharts_benchmark_category",TODAY()),$B300&lt;&gt;"etf",_xll.YCI("M:" &amp; $A300, "ycharts_benchmark_category",TODAY()))</f>
        <v>ERR: INVALID ASSET</v>
      </c>
      <c r="E300" t="str" cm="1">
        <f t="array" aca="1" ref="E300" ca="1">_xlfn.IFS($B300="etf", _xll.YCI($A300, "ycharts_benchmark_index_symbol",TODAY()),$B300&lt;&gt;"etf",_xll.YCI("M:" &amp; $A300, "ycharts_benchmark_index_symbol",TODAY()))</f>
        <v>ERR: INVALID ASSET</v>
      </c>
      <c r="F300" t="str" cm="1">
        <f t="array" aca="1" ref="F300" ca="1">_xlfn.IFS($B300="etf", _xll.YCI($E300, "security_name",TODAY()),$B300&lt;&gt;"etf",_xll.YCI( $E300, "security_name",TODAY()))</f>
        <v>ERR: INVALID ASSET</v>
      </c>
      <c r="G300" t="str" cm="1">
        <f t="array" aca="1" ref="G300" ca="1">_xlfn.IFS($B300="etf", _xll.YCI($A300, "prospectus_benchmark_index",TODAY()),$B300&lt;&gt;"etf",_xll.YCI("M:" &amp; $A300, "prospectus_benchmark_index",TODAY()))</f>
        <v>ERR: INVALID ASSET</v>
      </c>
      <c r="H300" s="2" t="str" cm="1">
        <f t="array" aca="1" ref="H300" ca="1">_xlfn.IFS($B300="etf", _xll.YCP($A300,"quarterly_total_return",'Database Query'!$E$14),$B300&lt;&gt;"etf",_xll.YCP("M:"&amp; $A300,"quarterly_total_return",'Database Query'!$E$14))</f>
        <v>ERR: INVALID ASSET</v>
      </c>
      <c r="I300" s="2" t="e" cm="1">
        <f t="array" aca="1" ref="I300" ca="1">-_xll.YCP($E300,"quarterly_return",'Database Query'!$E$14)+H300</f>
        <v>#VALUE!</v>
      </c>
      <c r="J300" s="2" t="str" cm="1">
        <f t="array" aca="1" ref="J300" ca="1">_xlfn.IFS($B300="etf", _xll.YCP($A300,"ytd_total_return",'Database Query'!$E$14),$B300&lt;&gt;"etf",_xll.YCP("M:"&amp; $A300,"ytd_total_return",'Database Query'!$E$14))</f>
        <v>ERR: INVALID ASSET</v>
      </c>
      <c r="K300" s="2" t="e" cm="1">
        <f t="array" aca="1" ref="K300" ca="1">-_xll.YCP($E300,"ytd_return",'Database Query'!$E$14)+J300</f>
        <v>#VALUE!</v>
      </c>
      <c r="L300" s="2" t="str" cm="1">
        <f t="array" aca="1" ref="L300" ca="1">_xlfn.IFS($B300="etf", _xll.YCP($A300,"one_year_total_return",'Database Query'!$E$14),$B300&lt;&gt;"etf",_xll.YCP("M:"&amp; $A300,"one_year_total_return",'Database Query'!$E$14))</f>
        <v>ERR: INVALID ASSET</v>
      </c>
      <c r="M300" s="2" t="e" cm="1">
        <f t="array" aca="1" ref="M300" ca="1">-_xll.YCP($E300,"one_year_return",'Database Query'!$E$14)+L300</f>
        <v>#VALUE!</v>
      </c>
      <c r="N300" s="2" t="str" cm="1">
        <f t="array" aca="1" ref="N300" ca="1">_xlfn.IFS($B300="etf", _xll.YCP($A300,"three_year_total_return",'Database Query'!$E$14),$B300&lt;&gt;"etf",_xll.YCP("M:"&amp; $A300,"three_year_total_return",'Database Query'!$E$14))</f>
        <v>ERR: INVALID ASSET</v>
      </c>
      <c r="O300" s="2" t="e" cm="1">
        <f t="array" aca="1" ref="O300" ca="1">-_xll.YCP($E300,"three_year_return",'Database Query'!$E$14)+N300</f>
        <v>#VALUE!</v>
      </c>
      <c r="P300" s="2" t="str" cm="1">
        <f t="array" aca="1" ref="P300" ca="1">_xlfn.IFS($B300="etf", _xll.YCP($A300,"five_year_total_return",'Database Query'!$E$14),$B300&lt;&gt;"etf",_xll.YCP("M:"&amp; $A300,"five_year_total_return",'Database Query'!$E$14))</f>
        <v>ERR: INVALID ASSET</v>
      </c>
      <c r="Q300" s="2" t="e" cm="1">
        <f t="array" aca="1" ref="Q300" ca="1">-_xll.YCP($E300,"five_year_return",'Database Query'!$E$14)+P300</f>
        <v>#VALUE!</v>
      </c>
    </row>
    <row r="301" spans="2:17" x14ac:dyDescent="0.25">
      <c r="B301" t="str" cm="1">
        <f t="array" aca="1" ref="B301" ca="1">_xll.YCI(A301,"detailed_security_type",TODAY())</f>
        <v/>
      </c>
      <c r="C301" t="str" cm="1">
        <f t="array" aca="1" ref="C301" ca="1">_xlfn.IFS(B301="etf", _xll.YCI(A301, "security_name",TODAY()),B301&lt;&gt;"etf",_xll.YCI("M:" &amp; A301, "security_name",TODAY()))</f>
        <v>ERR: INVALID ASSET</v>
      </c>
      <c r="D301" t="str" cm="1">
        <f t="array" aca="1" ref="D301" ca="1">_xlfn.IFS($B301="etf", _xll.YCI($A301, "ycharts_benchmark_category",TODAY()),$B301&lt;&gt;"etf",_xll.YCI("M:" &amp; $A301, "ycharts_benchmark_category",TODAY()))</f>
        <v>ERR: INVALID ASSET</v>
      </c>
      <c r="E301" t="str" cm="1">
        <f t="array" aca="1" ref="E301" ca="1">_xlfn.IFS($B301="etf", _xll.YCI($A301, "ycharts_benchmark_index_symbol",TODAY()),$B301&lt;&gt;"etf",_xll.YCI("M:" &amp; $A301, "ycharts_benchmark_index_symbol",TODAY()))</f>
        <v>ERR: INVALID ASSET</v>
      </c>
      <c r="F301" t="str" cm="1">
        <f t="array" aca="1" ref="F301" ca="1">_xlfn.IFS($B301="etf", _xll.YCI($E301, "security_name",TODAY()),$B301&lt;&gt;"etf",_xll.YCI( $E301, "security_name",TODAY()))</f>
        <v>ERR: INVALID ASSET</v>
      </c>
      <c r="G301" t="str" cm="1">
        <f t="array" aca="1" ref="G301" ca="1">_xlfn.IFS($B301="etf", _xll.YCI($A301, "prospectus_benchmark_index",TODAY()),$B301&lt;&gt;"etf",_xll.YCI("M:" &amp; $A301, "prospectus_benchmark_index",TODAY()))</f>
        <v>ERR: INVALID ASSET</v>
      </c>
      <c r="H301" s="2" t="str" cm="1">
        <f t="array" aca="1" ref="H301" ca="1">_xlfn.IFS($B301="etf", _xll.YCP($A301,"quarterly_total_return",'Database Query'!$E$14),$B301&lt;&gt;"etf",_xll.YCP("M:"&amp; $A301,"quarterly_total_return",'Database Query'!$E$14))</f>
        <v>ERR: INVALID ASSET</v>
      </c>
      <c r="I301" s="2" t="e" cm="1">
        <f t="array" aca="1" ref="I301" ca="1">-_xll.YCP($E301,"quarterly_return",'Database Query'!$E$14)+H301</f>
        <v>#VALUE!</v>
      </c>
      <c r="J301" s="2" t="str" cm="1">
        <f t="array" aca="1" ref="J301" ca="1">_xlfn.IFS($B301="etf", _xll.YCP($A301,"ytd_total_return",'Database Query'!$E$14),$B301&lt;&gt;"etf",_xll.YCP("M:"&amp; $A301,"ytd_total_return",'Database Query'!$E$14))</f>
        <v>ERR: INVALID ASSET</v>
      </c>
      <c r="K301" s="2" t="e" cm="1">
        <f t="array" aca="1" ref="K301" ca="1">-_xll.YCP($E301,"ytd_return",'Database Query'!$E$14)+J301</f>
        <v>#VALUE!</v>
      </c>
      <c r="L301" s="2" t="str" cm="1">
        <f t="array" aca="1" ref="L301" ca="1">_xlfn.IFS($B301="etf", _xll.YCP($A301,"one_year_total_return",'Database Query'!$E$14),$B301&lt;&gt;"etf",_xll.YCP("M:"&amp; $A301,"one_year_total_return",'Database Query'!$E$14))</f>
        <v>ERR: INVALID ASSET</v>
      </c>
      <c r="M301" s="2" t="e" cm="1">
        <f t="array" aca="1" ref="M301" ca="1">-_xll.YCP($E301,"one_year_return",'Database Query'!$E$14)+L301</f>
        <v>#VALUE!</v>
      </c>
      <c r="N301" s="2" t="str" cm="1">
        <f t="array" aca="1" ref="N301" ca="1">_xlfn.IFS($B301="etf", _xll.YCP($A301,"three_year_total_return",'Database Query'!$E$14),$B301&lt;&gt;"etf",_xll.YCP("M:"&amp; $A301,"three_year_total_return",'Database Query'!$E$14))</f>
        <v>ERR: INVALID ASSET</v>
      </c>
      <c r="O301" s="2" t="e" cm="1">
        <f t="array" aca="1" ref="O301" ca="1">-_xll.YCP($E301,"three_year_return",'Database Query'!$E$14)+N301</f>
        <v>#VALUE!</v>
      </c>
      <c r="P301" s="2" t="str" cm="1">
        <f t="array" aca="1" ref="P301" ca="1">_xlfn.IFS($B301="etf", _xll.YCP($A301,"five_year_total_return",'Database Query'!$E$14),$B301&lt;&gt;"etf",_xll.YCP("M:"&amp; $A301,"five_year_total_return",'Database Query'!$E$14))</f>
        <v>ERR: INVALID ASSET</v>
      </c>
      <c r="Q301" s="2" t="e" cm="1">
        <f t="array" aca="1" ref="Q301" ca="1">-_xll.YCP($E301,"five_year_return",'Database Query'!$E$14)+P301</f>
        <v>#VALUE!</v>
      </c>
    </row>
    <row r="302" spans="2:17" x14ac:dyDescent="0.25">
      <c r="B302" t="str" cm="1">
        <f t="array" aca="1" ref="B302" ca="1">_xll.YCI(A302,"detailed_security_type",TODAY())</f>
        <v/>
      </c>
      <c r="C302" t="str" cm="1">
        <f t="array" aca="1" ref="C302" ca="1">_xlfn.IFS(B302="etf", _xll.YCI(A302, "security_name",TODAY()),B302&lt;&gt;"etf",_xll.YCI("M:" &amp; A302, "security_name",TODAY()))</f>
        <v>ERR: INVALID ASSET</v>
      </c>
      <c r="D302" t="str" cm="1">
        <f t="array" aca="1" ref="D302" ca="1">_xlfn.IFS($B302="etf", _xll.YCI($A302, "ycharts_benchmark_category",TODAY()),$B302&lt;&gt;"etf",_xll.YCI("M:" &amp; $A302, "ycharts_benchmark_category",TODAY()))</f>
        <v>ERR: INVALID ASSET</v>
      </c>
      <c r="E302" t="str" cm="1">
        <f t="array" aca="1" ref="E302" ca="1">_xlfn.IFS($B302="etf", _xll.YCI($A302, "ycharts_benchmark_index_symbol",TODAY()),$B302&lt;&gt;"etf",_xll.YCI("M:" &amp; $A302, "ycharts_benchmark_index_symbol",TODAY()))</f>
        <v>ERR: INVALID ASSET</v>
      </c>
      <c r="F302" t="str" cm="1">
        <f t="array" aca="1" ref="F302" ca="1">_xlfn.IFS($B302="etf", _xll.YCI($E302, "security_name",TODAY()),$B302&lt;&gt;"etf",_xll.YCI( $E302, "security_name",TODAY()))</f>
        <v>ERR: INVALID ASSET</v>
      </c>
      <c r="G302" t="str" cm="1">
        <f t="array" aca="1" ref="G302" ca="1">_xlfn.IFS($B302="etf", _xll.YCI($A302, "prospectus_benchmark_index",TODAY()),$B302&lt;&gt;"etf",_xll.YCI("M:" &amp; $A302, "prospectus_benchmark_index",TODAY()))</f>
        <v>ERR: INVALID ASSET</v>
      </c>
      <c r="H302" s="2" t="str" cm="1">
        <f t="array" aca="1" ref="H302" ca="1">_xlfn.IFS($B302="etf", _xll.YCP($A302,"quarterly_total_return",'Database Query'!$E$14),$B302&lt;&gt;"etf",_xll.YCP("M:"&amp; $A302,"quarterly_total_return",'Database Query'!$E$14))</f>
        <v>ERR: INVALID ASSET</v>
      </c>
      <c r="I302" s="2" t="e" cm="1">
        <f t="array" aca="1" ref="I302" ca="1">-_xll.YCP($E302,"quarterly_return",'Database Query'!$E$14)+H302</f>
        <v>#VALUE!</v>
      </c>
      <c r="J302" s="2" t="str" cm="1">
        <f t="array" aca="1" ref="J302" ca="1">_xlfn.IFS($B302="etf", _xll.YCP($A302,"ytd_total_return",'Database Query'!$E$14),$B302&lt;&gt;"etf",_xll.YCP("M:"&amp; $A302,"ytd_total_return",'Database Query'!$E$14))</f>
        <v>ERR: INVALID ASSET</v>
      </c>
      <c r="K302" s="2" t="e" cm="1">
        <f t="array" aca="1" ref="K302" ca="1">-_xll.YCP($E302,"ytd_return",'Database Query'!$E$14)+J302</f>
        <v>#VALUE!</v>
      </c>
      <c r="L302" s="2" t="str" cm="1">
        <f t="array" aca="1" ref="L302" ca="1">_xlfn.IFS($B302="etf", _xll.YCP($A302,"one_year_total_return",'Database Query'!$E$14),$B302&lt;&gt;"etf",_xll.YCP("M:"&amp; $A302,"one_year_total_return",'Database Query'!$E$14))</f>
        <v>ERR: INVALID ASSET</v>
      </c>
      <c r="M302" s="2" t="e" cm="1">
        <f t="array" aca="1" ref="M302" ca="1">-_xll.YCP($E302,"one_year_return",'Database Query'!$E$14)+L302</f>
        <v>#VALUE!</v>
      </c>
      <c r="N302" s="2" t="str" cm="1">
        <f t="array" aca="1" ref="N302" ca="1">_xlfn.IFS($B302="etf", _xll.YCP($A302,"three_year_total_return",'Database Query'!$E$14),$B302&lt;&gt;"etf",_xll.YCP("M:"&amp; $A302,"three_year_total_return",'Database Query'!$E$14))</f>
        <v>ERR: INVALID ASSET</v>
      </c>
      <c r="O302" s="2" t="e" cm="1">
        <f t="array" aca="1" ref="O302" ca="1">-_xll.YCP($E302,"three_year_return",'Database Query'!$E$14)+N302</f>
        <v>#VALUE!</v>
      </c>
      <c r="P302" s="2" t="str" cm="1">
        <f t="array" aca="1" ref="P302" ca="1">_xlfn.IFS($B302="etf", _xll.YCP($A302,"five_year_total_return",'Database Query'!$E$14),$B302&lt;&gt;"etf",_xll.YCP("M:"&amp; $A302,"five_year_total_return",'Database Query'!$E$14))</f>
        <v>ERR: INVALID ASSET</v>
      </c>
      <c r="Q302" s="2" t="e" cm="1">
        <f t="array" aca="1" ref="Q302" ca="1">-_xll.YCP($E302,"five_year_return",'Database Query'!$E$14)+P302</f>
        <v>#VALUE!</v>
      </c>
    </row>
    <row r="303" spans="2:17" x14ac:dyDescent="0.25">
      <c r="B303" t="str" cm="1">
        <f t="array" aca="1" ref="B303" ca="1">_xll.YCI(A303,"detailed_security_type",TODAY())</f>
        <v/>
      </c>
      <c r="C303" t="str" cm="1">
        <f t="array" aca="1" ref="C303" ca="1">_xlfn.IFS(B303="etf", _xll.YCI(A303, "security_name",TODAY()),B303&lt;&gt;"etf",_xll.YCI("M:" &amp; A303, "security_name",TODAY()))</f>
        <v>ERR: INVALID ASSET</v>
      </c>
      <c r="D303" t="str" cm="1">
        <f t="array" aca="1" ref="D303" ca="1">_xlfn.IFS($B303="etf", _xll.YCI($A303, "ycharts_benchmark_category",TODAY()),$B303&lt;&gt;"etf",_xll.YCI("M:" &amp; $A303, "ycharts_benchmark_category",TODAY()))</f>
        <v>ERR: INVALID ASSET</v>
      </c>
      <c r="E303" t="str" cm="1">
        <f t="array" aca="1" ref="E303" ca="1">_xlfn.IFS($B303="etf", _xll.YCI($A303, "ycharts_benchmark_index_symbol",TODAY()),$B303&lt;&gt;"etf",_xll.YCI("M:" &amp; $A303, "ycharts_benchmark_index_symbol",TODAY()))</f>
        <v>ERR: INVALID ASSET</v>
      </c>
      <c r="F303" t="str" cm="1">
        <f t="array" aca="1" ref="F303" ca="1">_xlfn.IFS($B303="etf", _xll.YCI($E303, "security_name",TODAY()),$B303&lt;&gt;"etf",_xll.YCI( $E303, "security_name",TODAY()))</f>
        <v>ERR: INVALID ASSET</v>
      </c>
      <c r="G303" t="str" cm="1">
        <f t="array" aca="1" ref="G303" ca="1">_xlfn.IFS($B303="etf", _xll.YCI($A303, "prospectus_benchmark_index",TODAY()),$B303&lt;&gt;"etf",_xll.YCI("M:" &amp; $A303, "prospectus_benchmark_index",TODAY()))</f>
        <v>ERR: INVALID ASSET</v>
      </c>
      <c r="H303" s="2" t="str" cm="1">
        <f t="array" aca="1" ref="H303" ca="1">_xlfn.IFS($B303="etf", _xll.YCP($A303,"quarterly_total_return",'Database Query'!$E$14),$B303&lt;&gt;"etf",_xll.YCP("M:"&amp; $A303,"quarterly_total_return",'Database Query'!$E$14))</f>
        <v>ERR: INVALID ASSET</v>
      </c>
      <c r="I303" s="2" t="e" cm="1">
        <f t="array" aca="1" ref="I303" ca="1">-_xll.YCP($E303,"quarterly_return",'Database Query'!$E$14)+H303</f>
        <v>#VALUE!</v>
      </c>
      <c r="J303" s="2" t="str" cm="1">
        <f t="array" aca="1" ref="J303" ca="1">_xlfn.IFS($B303="etf", _xll.YCP($A303,"ytd_total_return",'Database Query'!$E$14),$B303&lt;&gt;"etf",_xll.YCP("M:"&amp; $A303,"ytd_total_return",'Database Query'!$E$14))</f>
        <v>ERR: INVALID ASSET</v>
      </c>
      <c r="K303" s="2" t="e" cm="1">
        <f t="array" aca="1" ref="K303" ca="1">-_xll.YCP($E303,"ytd_return",'Database Query'!$E$14)+J303</f>
        <v>#VALUE!</v>
      </c>
      <c r="L303" s="2" t="str" cm="1">
        <f t="array" aca="1" ref="L303" ca="1">_xlfn.IFS($B303="etf", _xll.YCP($A303,"one_year_total_return",'Database Query'!$E$14),$B303&lt;&gt;"etf",_xll.YCP("M:"&amp; $A303,"one_year_total_return",'Database Query'!$E$14))</f>
        <v>ERR: INVALID ASSET</v>
      </c>
      <c r="M303" s="2" t="e" cm="1">
        <f t="array" aca="1" ref="M303" ca="1">-_xll.YCP($E303,"one_year_return",'Database Query'!$E$14)+L303</f>
        <v>#VALUE!</v>
      </c>
      <c r="N303" s="2" t="str" cm="1">
        <f t="array" aca="1" ref="N303" ca="1">_xlfn.IFS($B303="etf", _xll.YCP($A303,"three_year_total_return",'Database Query'!$E$14),$B303&lt;&gt;"etf",_xll.YCP("M:"&amp; $A303,"three_year_total_return",'Database Query'!$E$14))</f>
        <v>ERR: INVALID ASSET</v>
      </c>
      <c r="O303" s="2" t="e" cm="1">
        <f t="array" aca="1" ref="O303" ca="1">-_xll.YCP($E303,"three_year_return",'Database Query'!$E$14)+N303</f>
        <v>#VALUE!</v>
      </c>
      <c r="P303" s="2" t="str" cm="1">
        <f t="array" aca="1" ref="P303" ca="1">_xlfn.IFS($B303="etf", _xll.YCP($A303,"five_year_total_return",'Database Query'!$E$14),$B303&lt;&gt;"etf",_xll.YCP("M:"&amp; $A303,"five_year_total_return",'Database Query'!$E$14))</f>
        <v>ERR: INVALID ASSET</v>
      </c>
      <c r="Q303" s="2" t="e" cm="1">
        <f t="array" aca="1" ref="Q303" ca="1">-_xll.YCP($E303,"five_year_return",'Database Query'!$E$14)+P303</f>
        <v>#VALUE!</v>
      </c>
    </row>
    <row r="304" spans="2:17" x14ac:dyDescent="0.25">
      <c r="B304" t="str" cm="1">
        <f t="array" aca="1" ref="B304" ca="1">_xll.YCI(A304,"detailed_security_type",TODAY())</f>
        <v/>
      </c>
      <c r="C304" t="str" cm="1">
        <f t="array" aca="1" ref="C304" ca="1">_xlfn.IFS(B304="etf", _xll.YCI(A304, "security_name",TODAY()),B304&lt;&gt;"etf",_xll.YCI("M:" &amp; A304, "security_name",TODAY()))</f>
        <v>ERR: INVALID ASSET</v>
      </c>
      <c r="D304" t="str" cm="1">
        <f t="array" aca="1" ref="D304" ca="1">_xlfn.IFS($B304="etf", _xll.YCI($A304, "ycharts_benchmark_category",TODAY()),$B304&lt;&gt;"etf",_xll.YCI("M:" &amp; $A304, "ycharts_benchmark_category",TODAY()))</f>
        <v>ERR: INVALID ASSET</v>
      </c>
      <c r="E304" t="str" cm="1">
        <f t="array" aca="1" ref="E304" ca="1">_xlfn.IFS($B304="etf", _xll.YCI($A304, "ycharts_benchmark_index_symbol",TODAY()),$B304&lt;&gt;"etf",_xll.YCI("M:" &amp; $A304, "ycharts_benchmark_index_symbol",TODAY()))</f>
        <v>ERR: INVALID ASSET</v>
      </c>
      <c r="F304" t="str" cm="1">
        <f t="array" aca="1" ref="F304" ca="1">_xlfn.IFS($B304="etf", _xll.YCI($E304, "security_name",TODAY()),$B304&lt;&gt;"etf",_xll.YCI( $E304, "security_name",TODAY()))</f>
        <v>ERR: INVALID ASSET</v>
      </c>
      <c r="G304" t="str" cm="1">
        <f t="array" aca="1" ref="G304" ca="1">_xlfn.IFS($B304="etf", _xll.YCI($A304, "prospectus_benchmark_index",TODAY()),$B304&lt;&gt;"etf",_xll.YCI("M:" &amp; $A304, "prospectus_benchmark_index",TODAY()))</f>
        <v>ERR: INVALID ASSET</v>
      </c>
      <c r="H304" s="2" t="str" cm="1">
        <f t="array" aca="1" ref="H304" ca="1">_xlfn.IFS($B304="etf", _xll.YCP($A304,"quarterly_total_return",'Database Query'!$E$14),$B304&lt;&gt;"etf",_xll.YCP("M:"&amp; $A304,"quarterly_total_return",'Database Query'!$E$14))</f>
        <v>ERR: INVALID ASSET</v>
      </c>
      <c r="I304" s="2" t="e" cm="1">
        <f t="array" aca="1" ref="I304" ca="1">-_xll.YCP($E304,"quarterly_return",'Database Query'!$E$14)+H304</f>
        <v>#VALUE!</v>
      </c>
      <c r="J304" s="2" t="str" cm="1">
        <f t="array" aca="1" ref="J304" ca="1">_xlfn.IFS($B304="etf", _xll.YCP($A304,"ytd_total_return",'Database Query'!$E$14),$B304&lt;&gt;"etf",_xll.YCP("M:"&amp; $A304,"ytd_total_return",'Database Query'!$E$14))</f>
        <v>ERR: INVALID ASSET</v>
      </c>
      <c r="K304" s="2" t="e" cm="1">
        <f t="array" aca="1" ref="K304" ca="1">-_xll.YCP($E304,"ytd_return",'Database Query'!$E$14)+J304</f>
        <v>#VALUE!</v>
      </c>
      <c r="L304" s="2" t="str" cm="1">
        <f t="array" aca="1" ref="L304" ca="1">_xlfn.IFS($B304="etf", _xll.YCP($A304,"one_year_total_return",'Database Query'!$E$14),$B304&lt;&gt;"etf",_xll.YCP("M:"&amp; $A304,"one_year_total_return",'Database Query'!$E$14))</f>
        <v>ERR: INVALID ASSET</v>
      </c>
      <c r="M304" s="2" t="e" cm="1">
        <f t="array" aca="1" ref="M304" ca="1">-_xll.YCP($E304,"one_year_return",'Database Query'!$E$14)+L304</f>
        <v>#VALUE!</v>
      </c>
      <c r="N304" s="2" t="str" cm="1">
        <f t="array" aca="1" ref="N304" ca="1">_xlfn.IFS($B304="etf", _xll.YCP($A304,"three_year_total_return",'Database Query'!$E$14),$B304&lt;&gt;"etf",_xll.YCP("M:"&amp; $A304,"three_year_total_return",'Database Query'!$E$14))</f>
        <v>ERR: INVALID ASSET</v>
      </c>
      <c r="O304" s="2" t="e" cm="1">
        <f t="array" aca="1" ref="O304" ca="1">-_xll.YCP($E304,"three_year_return",'Database Query'!$E$14)+N304</f>
        <v>#VALUE!</v>
      </c>
      <c r="P304" s="2" t="str" cm="1">
        <f t="array" aca="1" ref="P304" ca="1">_xlfn.IFS($B304="etf", _xll.YCP($A304,"five_year_total_return",'Database Query'!$E$14),$B304&lt;&gt;"etf",_xll.YCP("M:"&amp; $A304,"five_year_total_return",'Database Query'!$E$14))</f>
        <v>ERR: INVALID ASSET</v>
      </c>
      <c r="Q304" s="2" t="e" cm="1">
        <f t="array" aca="1" ref="Q304" ca="1">-_xll.YCP($E304,"five_year_return",'Database Query'!$E$14)+P304</f>
        <v>#VALUE!</v>
      </c>
    </row>
    <row r="305" spans="2:17" x14ac:dyDescent="0.25">
      <c r="B305" t="str" cm="1">
        <f t="array" aca="1" ref="B305" ca="1">_xll.YCI(A305,"detailed_security_type",TODAY())</f>
        <v/>
      </c>
      <c r="C305" t="str" cm="1">
        <f t="array" aca="1" ref="C305" ca="1">_xlfn.IFS(B305="etf", _xll.YCI(A305, "security_name",TODAY()),B305&lt;&gt;"etf",_xll.YCI("M:" &amp; A305, "security_name",TODAY()))</f>
        <v>ERR: INVALID ASSET</v>
      </c>
      <c r="D305" t="str" cm="1">
        <f t="array" aca="1" ref="D305" ca="1">_xlfn.IFS($B305="etf", _xll.YCI($A305, "ycharts_benchmark_category",TODAY()),$B305&lt;&gt;"etf",_xll.YCI("M:" &amp; $A305, "ycharts_benchmark_category",TODAY()))</f>
        <v>ERR: INVALID ASSET</v>
      </c>
      <c r="E305" t="str" cm="1">
        <f t="array" aca="1" ref="E305" ca="1">_xlfn.IFS($B305="etf", _xll.YCI($A305, "ycharts_benchmark_index_symbol",TODAY()),$B305&lt;&gt;"etf",_xll.YCI("M:" &amp; $A305, "ycharts_benchmark_index_symbol",TODAY()))</f>
        <v>ERR: INVALID ASSET</v>
      </c>
      <c r="F305" t="str" cm="1">
        <f t="array" aca="1" ref="F305" ca="1">_xlfn.IFS($B305="etf", _xll.YCI($E305, "security_name",TODAY()),$B305&lt;&gt;"etf",_xll.YCI( $E305, "security_name",TODAY()))</f>
        <v>ERR: INVALID ASSET</v>
      </c>
      <c r="G305" t="str" cm="1">
        <f t="array" aca="1" ref="G305" ca="1">_xlfn.IFS($B305="etf", _xll.YCI($A305, "prospectus_benchmark_index",TODAY()),$B305&lt;&gt;"etf",_xll.YCI("M:" &amp; $A305, "prospectus_benchmark_index",TODAY()))</f>
        <v>ERR: INVALID ASSET</v>
      </c>
      <c r="H305" s="2" t="str" cm="1">
        <f t="array" aca="1" ref="H305" ca="1">_xlfn.IFS($B305="etf", _xll.YCP($A305,"quarterly_total_return",'Database Query'!$E$14),$B305&lt;&gt;"etf",_xll.YCP("M:"&amp; $A305,"quarterly_total_return",'Database Query'!$E$14))</f>
        <v>ERR: INVALID ASSET</v>
      </c>
      <c r="I305" s="2" t="e" cm="1">
        <f t="array" aca="1" ref="I305" ca="1">-_xll.YCP($E305,"quarterly_return",'Database Query'!$E$14)+H305</f>
        <v>#VALUE!</v>
      </c>
      <c r="J305" s="2" t="str" cm="1">
        <f t="array" aca="1" ref="J305" ca="1">_xlfn.IFS($B305="etf", _xll.YCP($A305,"ytd_total_return",'Database Query'!$E$14),$B305&lt;&gt;"etf",_xll.YCP("M:"&amp; $A305,"ytd_total_return",'Database Query'!$E$14))</f>
        <v>ERR: INVALID ASSET</v>
      </c>
      <c r="K305" s="2" t="e" cm="1">
        <f t="array" aca="1" ref="K305" ca="1">-_xll.YCP($E305,"ytd_return",'Database Query'!$E$14)+J305</f>
        <v>#VALUE!</v>
      </c>
      <c r="L305" s="2" t="str" cm="1">
        <f t="array" aca="1" ref="L305" ca="1">_xlfn.IFS($B305="etf", _xll.YCP($A305,"one_year_total_return",'Database Query'!$E$14),$B305&lt;&gt;"etf",_xll.YCP("M:"&amp; $A305,"one_year_total_return",'Database Query'!$E$14))</f>
        <v>ERR: INVALID ASSET</v>
      </c>
      <c r="M305" s="2" t="e" cm="1">
        <f t="array" aca="1" ref="M305" ca="1">-_xll.YCP($E305,"one_year_return",'Database Query'!$E$14)+L305</f>
        <v>#VALUE!</v>
      </c>
      <c r="N305" s="2" t="str" cm="1">
        <f t="array" aca="1" ref="N305" ca="1">_xlfn.IFS($B305="etf", _xll.YCP($A305,"three_year_total_return",'Database Query'!$E$14),$B305&lt;&gt;"etf",_xll.YCP("M:"&amp; $A305,"three_year_total_return",'Database Query'!$E$14))</f>
        <v>ERR: INVALID ASSET</v>
      </c>
      <c r="O305" s="2" t="e" cm="1">
        <f t="array" aca="1" ref="O305" ca="1">-_xll.YCP($E305,"three_year_return",'Database Query'!$E$14)+N305</f>
        <v>#VALUE!</v>
      </c>
      <c r="P305" s="2" t="str" cm="1">
        <f t="array" aca="1" ref="P305" ca="1">_xlfn.IFS($B305="etf", _xll.YCP($A305,"five_year_total_return",'Database Query'!$E$14),$B305&lt;&gt;"etf",_xll.YCP("M:"&amp; $A305,"five_year_total_return",'Database Query'!$E$14))</f>
        <v>ERR: INVALID ASSET</v>
      </c>
      <c r="Q305" s="2" t="e" cm="1">
        <f t="array" aca="1" ref="Q305" ca="1">-_xll.YCP($E305,"five_year_return",'Database Query'!$E$14)+P305</f>
        <v>#VALUE!</v>
      </c>
    </row>
    <row r="306" spans="2:17" x14ac:dyDescent="0.25">
      <c r="B306" t="str" cm="1">
        <f t="array" aca="1" ref="B306" ca="1">_xll.YCI(A306,"detailed_security_type",TODAY())</f>
        <v/>
      </c>
      <c r="C306" t="str" cm="1">
        <f t="array" aca="1" ref="C306" ca="1">_xlfn.IFS(B306="etf", _xll.YCI(A306, "security_name",TODAY()),B306&lt;&gt;"etf",_xll.YCI("M:" &amp; A306, "security_name",TODAY()))</f>
        <v>ERR: INVALID ASSET</v>
      </c>
      <c r="D306" t="str" cm="1">
        <f t="array" aca="1" ref="D306" ca="1">_xlfn.IFS($B306="etf", _xll.YCI($A306, "ycharts_benchmark_category",TODAY()),$B306&lt;&gt;"etf",_xll.YCI("M:" &amp; $A306, "ycharts_benchmark_category",TODAY()))</f>
        <v>ERR: INVALID ASSET</v>
      </c>
      <c r="E306" t="str" cm="1">
        <f t="array" aca="1" ref="E306" ca="1">_xlfn.IFS($B306="etf", _xll.YCI($A306, "ycharts_benchmark_index_symbol",TODAY()),$B306&lt;&gt;"etf",_xll.YCI("M:" &amp; $A306, "ycharts_benchmark_index_symbol",TODAY()))</f>
        <v>ERR: INVALID ASSET</v>
      </c>
      <c r="F306" t="str" cm="1">
        <f t="array" aca="1" ref="F306" ca="1">_xlfn.IFS($B306="etf", _xll.YCI($E306, "security_name",TODAY()),$B306&lt;&gt;"etf",_xll.YCI( $E306, "security_name",TODAY()))</f>
        <v>ERR: INVALID ASSET</v>
      </c>
      <c r="G306" t="str" cm="1">
        <f t="array" aca="1" ref="G306" ca="1">_xlfn.IFS($B306="etf", _xll.YCI($A306, "prospectus_benchmark_index",TODAY()),$B306&lt;&gt;"etf",_xll.YCI("M:" &amp; $A306, "prospectus_benchmark_index",TODAY()))</f>
        <v>ERR: INVALID ASSET</v>
      </c>
      <c r="H306" s="2" t="str" cm="1">
        <f t="array" aca="1" ref="H306" ca="1">_xlfn.IFS($B306="etf", _xll.YCP($A306,"quarterly_total_return",'Database Query'!$E$14),$B306&lt;&gt;"etf",_xll.YCP("M:"&amp; $A306,"quarterly_total_return",'Database Query'!$E$14))</f>
        <v>ERR: INVALID ASSET</v>
      </c>
      <c r="I306" s="2" t="e" cm="1">
        <f t="array" aca="1" ref="I306" ca="1">-_xll.YCP($E306,"quarterly_return",'Database Query'!$E$14)+H306</f>
        <v>#VALUE!</v>
      </c>
      <c r="J306" s="2" t="str" cm="1">
        <f t="array" aca="1" ref="J306" ca="1">_xlfn.IFS($B306="etf", _xll.YCP($A306,"ytd_total_return",'Database Query'!$E$14),$B306&lt;&gt;"etf",_xll.YCP("M:"&amp; $A306,"ytd_total_return",'Database Query'!$E$14))</f>
        <v>ERR: INVALID ASSET</v>
      </c>
      <c r="K306" s="2" t="e" cm="1">
        <f t="array" aca="1" ref="K306" ca="1">-_xll.YCP($E306,"ytd_return",'Database Query'!$E$14)+J306</f>
        <v>#VALUE!</v>
      </c>
      <c r="L306" s="2" t="str" cm="1">
        <f t="array" aca="1" ref="L306" ca="1">_xlfn.IFS($B306="etf", _xll.YCP($A306,"one_year_total_return",'Database Query'!$E$14),$B306&lt;&gt;"etf",_xll.YCP("M:"&amp; $A306,"one_year_total_return",'Database Query'!$E$14))</f>
        <v>ERR: INVALID ASSET</v>
      </c>
      <c r="M306" s="2" t="e" cm="1">
        <f t="array" aca="1" ref="M306" ca="1">-_xll.YCP($E306,"one_year_return",'Database Query'!$E$14)+L306</f>
        <v>#VALUE!</v>
      </c>
      <c r="N306" s="2" t="str" cm="1">
        <f t="array" aca="1" ref="N306" ca="1">_xlfn.IFS($B306="etf", _xll.YCP($A306,"three_year_total_return",'Database Query'!$E$14),$B306&lt;&gt;"etf",_xll.YCP("M:"&amp; $A306,"three_year_total_return",'Database Query'!$E$14))</f>
        <v>ERR: INVALID ASSET</v>
      </c>
      <c r="O306" s="2" t="e" cm="1">
        <f t="array" aca="1" ref="O306" ca="1">-_xll.YCP($E306,"three_year_return",'Database Query'!$E$14)+N306</f>
        <v>#VALUE!</v>
      </c>
      <c r="P306" s="2" t="str" cm="1">
        <f t="array" aca="1" ref="P306" ca="1">_xlfn.IFS($B306="etf", _xll.YCP($A306,"five_year_total_return",'Database Query'!$E$14),$B306&lt;&gt;"etf",_xll.YCP("M:"&amp; $A306,"five_year_total_return",'Database Query'!$E$14))</f>
        <v>ERR: INVALID ASSET</v>
      </c>
      <c r="Q306" s="2" t="e" cm="1">
        <f t="array" aca="1" ref="Q306" ca="1">-_xll.YCP($E306,"five_year_return",'Database Query'!$E$14)+P306</f>
        <v>#VALUE!</v>
      </c>
    </row>
    <row r="307" spans="2:17" x14ac:dyDescent="0.25">
      <c r="B307" t="str" cm="1">
        <f t="array" aca="1" ref="B307" ca="1">_xll.YCI(A307,"detailed_security_type",TODAY())</f>
        <v/>
      </c>
      <c r="C307" t="str" cm="1">
        <f t="array" aca="1" ref="C307" ca="1">_xlfn.IFS(B307="etf", _xll.YCI(A307, "security_name",TODAY()),B307&lt;&gt;"etf",_xll.YCI("M:" &amp; A307, "security_name",TODAY()))</f>
        <v>ERR: INVALID ASSET</v>
      </c>
      <c r="D307" t="str" cm="1">
        <f t="array" aca="1" ref="D307" ca="1">_xlfn.IFS($B307="etf", _xll.YCI($A307, "ycharts_benchmark_category",TODAY()),$B307&lt;&gt;"etf",_xll.YCI("M:" &amp; $A307, "ycharts_benchmark_category",TODAY()))</f>
        <v>ERR: INVALID ASSET</v>
      </c>
      <c r="E307" t="str" cm="1">
        <f t="array" aca="1" ref="E307" ca="1">_xlfn.IFS($B307="etf", _xll.YCI($A307, "ycharts_benchmark_index_symbol",TODAY()),$B307&lt;&gt;"etf",_xll.YCI("M:" &amp; $A307, "ycharts_benchmark_index_symbol",TODAY()))</f>
        <v>ERR: INVALID ASSET</v>
      </c>
      <c r="F307" t="str" cm="1">
        <f t="array" aca="1" ref="F307" ca="1">_xlfn.IFS($B307="etf", _xll.YCI($E307, "security_name",TODAY()),$B307&lt;&gt;"etf",_xll.YCI( $E307, "security_name",TODAY()))</f>
        <v>ERR: INVALID ASSET</v>
      </c>
      <c r="G307" t="str" cm="1">
        <f t="array" aca="1" ref="G307" ca="1">_xlfn.IFS($B307="etf", _xll.YCI($A307, "prospectus_benchmark_index",TODAY()),$B307&lt;&gt;"etf",_xll.YCI("M:" &amp; $A307, "prospectus_benchmark_index",TODAY()))</f>
        <v>ERR: INVALID ASSET</v>
      </c>
      <c r="H307" s="2" t="str" cm="1">
        <f t="array" aca="1" ref="H307" ca="1">_xlfn.IFS($B307="etf", _xll.YCP($A307,"quarterly_total_return",'Database Query'!$E$14),$B307&lt;&gt;"etf",_xll.YCP("M:"&amp; $A307,"quarterly_total_return",'Database Query'!$E$14))</f>
        <v>ERR: INVALID ASSET</v>
      </c>
      <c r="I307" s="2" t="e" cm="1">
        <f t="array" aca="1" ref="I307" ca="1">-_xll.YCP($E307,"quarterly_return",'Database Query'!$E$14)+H307</f>
        <v>#VALUE!</v>
      </c>
      <c r="J307" s="2" t="str" cm="1">
        <f t="array" aca="1" ref="J307" ca="1">_xlfn.IFS($B307="etf", _xll.YCP($A307,"ytd_total_return",'Database Query'!$E$14),$B307&lt;&gt;"etf",_xll.YCP("M:"&amp; $A307,"ytd_total_return",'Database Query'!$E$14))</f>
        <v>ERR: INVALID ASSET</v>
      </c>
      <c r="K307" s="2" t="e" cm="1">
        <f t="array" aca="1" ref="K307" ca="1">-_xll.YCP($E307,"ytd_return",'Database Query'!$E$14)+J307</f>
        <v>#VALUE!</v>
      </c>
      <c r="L307" s="2" t="str" cm="1">
        <f t="array" aca="1" ref="L307" ca="1">_xlfn.IFS($B307="etf", _xll.YCP($A307,"one_year_total_return",'Database Query'!$E$14),$B307&lt;&gt;"etf",_xll.YCP("M:"&amp; $A307,"one_year_total_return",'Database Query'!$E$14))</f>
        <v>ERR: INVALID ASSET</v>
      </c>
      <c r="M307" s="2" t="e" cm="1">
        <f t="array" aca="1" ref="M307" ca="1">-_xll.YCP($E307,"one_year_return",'Database Query'!$E$14)+L307</f>
        <v>#VALUE!</v>
      </c>
      <c r="N307" s="2" t="str" cm="1">
        <f t="array" aca="1" ref="N307" ca="1">_xlfn.IFS($B307="etf", _xll.YCP($A307,"three_year_total_return",'Database Query'!$E$14),$B307&lt;&gt;"etf",_xll.YCP("M:"&amp; $A307,"three_year_total_return",'Database Query'!$E$14))</f>
        <v>ERR: INVALID ASSET</v>
      </c>
      <c r="O307" s="2" t="e" cm="1">
        <f t="array" aca="1" ref="O307" ca="1">-_xll.YCP($E307,"three_year_return",'Database Query'!$E$14)+N307</f>
        <v>#VALUE!</v>
      </c>
      <c r="P307" s="2" t="str" cm="1">
        <f t="array" aca="1" ref="P307" ca="1">_xlfn.IFS($B307="etf", _xll.YCP($A307,"five_year_total_return",'Database Query'!$E$14),$B307&lt;&gt;"etf",_xll.YCP("M:"&amp; $A307,"five_year_total_return",'Database Query'!$E$14))</f>
        <v>ERR: INVALID ASSET</v>
      </c>
      <c r="Q307" s="2" t="e" cm="1">
        <f t="array" aca="1" ref="Q307" ca="1">-_xll.YCP($E307,"five_year_return",'Database Query'!$E$14)+P307</f>
        <v>#VALUE!</v>
      </c>
    </row>
    <row r="308" spans="2:17" x14ac:dyDescent="0.25">
      <c r="B308" t="str" cm="1">
        <f t="array" aca="1" ref="B308" ca="1">_xll.YCI(A308,"detailed_security_type",TODAY())</f>
        <v/>
      </c>
      <c r="C308" t="str" cm="1">
        <f t="array" aca="1" ref="C308" ca="1">_xlfn.IFS(B308="etf", _xll.YCI(A308, "security_name",TODAY()),B308&lt;&gt;"etf",_xll.YCI("M:" &amp; A308, "security_name",TODAY()))</f>
        <v>ERR: INVALID ASSET</v>
      </c>
      <c r="D308" t="str" cm="1">
        <f t="array" aca="1" ref="D308" ca="1">_xlfn.IFS($B308="etf", _xll.YCI($A308, "ycharts_benchmark_category",TODAY()),$B308&lt;&gt;"etf",_xll.YCI("M:" &amp; $A308, "ycharts_benchmark_category",TODAY()))</f>
        <v>ERR: INVALID ASSET</v>
      </c>
      <c r="E308" t="str" cm="1">
        <f t="array" aca="1" ref="E308" ca="1">_xlfn.IFS($B308="etf", _xll.YCI($A308, "ycharts_benchmark_index_symbol",TODAY()),$B308&lt;&gt;"etf",_xll.YCI("M:" &amp; $A308, "ycharts_benchmark_index_symbol",TODAY()))</f>
        <v>ERR: INVALID ASSET</v>
      </c>
      <c r="F308" t="str" cm="1">
        <f t="array" aca="1" ref="F308" ca="1">_xlfn.IFS($B308="etf", _xll.YCI($E308, "security_name",TODAY()),$B308&lt;&gt;"etf",_xll.YCI( $E308, "security_name",TODAY()))</f>
        <v>ERR: INVALID ASSET</v>
      </c>
      <c r="G308" t="str" cm="1">
        <f t="array" aca="1" ref="G308" ca="1">_xlfn.IFS($B308="etf", _xll.YCI($A308, "prospectus_benchmark_index",TODAY()),$B308&lt;&gt;"etf",_xll.YCI("M:" &amp; $A308, "prospectus_benchmark_index",TODAY()))</f>
        <v>ERR: INVALID ASSET</v>
      </c>
      <c r="H308" s="2" t="str" cm="1">
        <f t="array" aca="1" ref="H308" ca="1">_xlfn.IFS($B308="etf", _xll.YCP($A308,"quarterly_total_return",'Database Query'!$E$14),$B308&lt;&gt;"etf",_xll.YCP("M:"&amp; $A308,"quarterly_total_return",'Database Query'!$E$14))</f>
        <v>ERR: INVALID ASSET</v>
      </c>
      <c r="I308" s="2" t="e" cm="1">
        <f t="array" aca="1" ref="I308" ca="1">-_xll.YCP($E308,"quarterly_return",'Database Query'!$E$14)+H308</f>
        <v>#VALUE!</v>
      </c>
      <c r="J308" s="2" t="str" cm="1">
        <f t="array" aca="1" ref="J308" ca="1">_xlfn.IFS($B308="etf", _xll.YCP($A308,"ytd_total_return",'Database Query'!$E$14),$B308&lt;&gt;"etf",_xll.YCP("M:"&amp; $A308,"ytd_total_return",'Database Query'!$E$14))</f>
        <v>ERR: INVALID ASSET</v>
      </c>
      <c r="K308" s="2" t="e" cm="1">
        <f t="array" aca="1" ref="K308" ca="1">-_xll.YCP($E308,"ytd_return",'Database Query'!$E$14)+J308</f>
        <v>#VALUE!</v>
      </c>
      <c r="L308" s="2" t="str" cm="1">
        <f t="array" aca="1" ref="L308" ca="1">_xlfn.IFS($B308="etf", _xll.YCP($A308,"one_year_total_return",'Database Query'!$E$14),$B308&lt;&gt;"etf",_xll.YCP("M:"&amp; $A308,"one_year_total_return",'Database Query'!$E$14))</f>
        <v>ERR: INVALID ASSET</v>
      </c>
      <c r="M308" s="2" t="e" cm="1">
        <f t="array" aca="1" ref="M308" ca="1">-_xll.YCP($E308,"one_year_return",'Database Query'!$E$14)+L308</f>
        <v>#VALUE!</v>
      </c>
      <c r="N308" s="2" t="str" cm="1">
        <f t="array" aca="1" ref="N308" ca="1">_xlfn.IFS($B308="etf", _xll.YCP($A308,"three_year_total_return",'Database Query'!$E$14),$B308&lt;&gt;"etf",_xll.YCP("M:"&amp; $A308,"three_year_total_return",'Database Query'!$E$14))</f>
        <v>ERR: INVALID ASSET</v>
      </c>
      <c r="O308" s="2" t="e" cm="1">
        <f t="array" aca="1" ref="O308" ca="1">-_xll.YCP($E308,"three_year_return",'Database Query'!$E$14)+N308</f>
        <v>#VALUE!</v>
      </c>
      <c r="P308" s="2" t="str" cm="1">
        <f t="array" aca="1" ref="P308" ca="1">_xlfn.IFS($B308="etf", _xll.YCP($A308,"five_year_total_return",'Database Query'!$E$14),$B308&lt;&gt;"etf",_xll.YCP("M:"&amp; $A308,"five_year_total_return",'Database Query'!$E$14))</f>
        <v>ERR: INVALID ASSET</v>
      </c>
      <c r="Q308" s="2" t="e" cm="1">
        <f t="array" aca="1" ref="Q308" ca="1">-_xll.YCP($E308,"five_year_return",'Database Query'!$E$14)+P308</f>
        <v>#VALUE!</v>
      </c>
    </row>
    <row r="309" spans="2:17" x14ac:dyDescent="0.25">
      <c r="B309" t="str" cm="1">
        <f t="array" aca="1" ref="B309" ca="1">_xll.YCI(A309,"detailed_security_type",TODAY())</f>
        <v/>
      </c>
      <c r="C309" t="str" cm="1">
        <f t="array" aca="1" ref="C309" ca="1">_xlfn.IFS(B309="etf", _xll.YCI(A309, "security_name",TODAY()),B309&lt;&gt;"etf",_xll.YCI("M:" &amp; A309, "security_name",TODAY()))</f>
        <v>ERR: INVALID ASSET</v>
      </c>
      <c r="D309" t="str" cm="1">
        <f t="array" aca="1" ref="D309" ca="1">_xlfn.IFS($B309="etf", _xll.YCI($A309, "ycharts_benchmark_category",TODAY()),$B309&lt;&gt;"etf",_xll.YCI("M:" &amp; $A309, "ycharts_benchmark_category",TODAY()))</f>
        <v>ERR: INVALID ASSET</v>
      </c>
      <c r="E309" t="str" cm="1">
        <f t="array" aca="1" ref="E309" ca="1">_xlfn.IFS($B309="etf", _xll.YCI($A309, "ycharts_benchmark_index_symbol",TODAY()),$B309&lt;&gt;"etf",_xll.YCI("M:" &amp; $A309, "ycharts_benchmark_index_symbol",TODAY()))</f>
        <v>ERR: INVALID ASSET</v>
      </c>
      <c r="F309" t="str" cm="1">
        <f t="array" aca="1" ref="F309" ca="1">_xlfn.IFS($B309="etf", _xll.YCI($E309, "security_name",TODAY()),$B309&lt;&gt;"etf",_xll.YCI( $E309, "security_name",TODAY()))</f>
        <v>ERR: INVALID ASSET</v>
      </c>
      <c r="G309" t="str" cm="1">
        <f t="array" aca="1" ref="G309" ca="1">_xlfn.IFS($B309="etf", _xll.YCI($A309, "prospectus_benchmark_index",TODAY()),$B309&lt;&gt;"etf",_xll.YCI("M:" &amp; $A309, "prospectus_benchmark_index",TODAY()))</f>
        <v>ERR: INVALID ASSET</v>
      </c>
      <c r="H309" s="2" t="str" cm="1">
        <f t="array" aca="1" ref="H309" ca="1">_xlfn.IFS($B309="etf", _xll.YCP($A309,"quarterly_total_return",'Database Query'!$E$14),$B309&lt;&gt;"etf",_xll.YCP("M:"&amp; $A309,"quarterly_total_return",'Database Query'!$E$14))</f>
        <v>ERR: INVALID ASSET</v>
      </c>
      <c r="I309" s="2" t="e" cm="1">
        <f t="array" aca="1" ref="I309" ca="1">-_xll.YCP($E309,"quarterly_return",'Database Query'!$E$14)+H309</f>
        <v>#VALUE!</v>
      </c>
      <c r="J309" s="2" t="str" cm="1">
        <f t="array" aca="1" ref="J309" ca="1">_xlfn.IFS($B309="etf", _xll.YCP($A309,"ytd_total_return",'Database Query'!$E$14),$B309&lt;&gt;"etf",_xll.YCP("M:"&amp; $A309,"ytd_total_return",'Database Query'!$E$14))</f>
        <v>ERR: INVALID ASSET</v>
      </c>
      <c r="K309" s="2" t="e" cm="1">
        <f t="array" aca="1" ref="K309" ca="1">-_xll.YCP($E309,"ytd_return",'Database Query'!$E$14)+J309</f>
        <v>#VALUE!</v>
      </c>
      <c r="L309" s="2" t="str" cm="1">
        <f t="array" aca="1" ref="L309" ca="1">_xlfn.IFS($B309="etf", _xll.YCP($A309,"one_year_total_return",'Database Query'!$E$14),$B309&lt;&gt;"etf",_xll.YCP("M:"&amp; $A309,"one_year_total_return",'Database Query'!$E$14))</f>
        <v>ERR: INVALID ASSET</v>
      </c>
      <c r="M309" s="2" t="e" cm="1">
        <f t="array" aca="1" ref="M309" ca="1">-_xll.YCP($E309,"one_year_return",'Database Query'!$E$14)+L309</f>
        <v>#VALUE!</v>
      </c>
      <c r="N309" s="2" t="str" cm="1">
        <f t="array" aca="1" ref="N309" ca="1">_xlfn.IFS($B309="etf", _xll.YCP($A309,"three_year_total_return",'Database Query'!$E$14),$B309&lt;&gt;"etf",_xll.YCP("M:"&amp; $A309,"three_year_total_return",'Database Query'!$E$14))</f>
        <v>ERR: INVALID ASSET</v>
      </c>
      <c r="O309" s="2" t="e" cm="1">
        <f t="array" aca="1" ref="O309" ca="1">-_xll.YCP($E309,"three_year_return",'Database Query'!$E$14)+N309</f>
        <v>#VALUE!</v>
      </c>
      <c r="P309" s="2" t="str" cm="1">
        <f t="array" aca="1" ref="P309" ca="1">_xlfn.IFS($B309="etf", _xll.YCP($A309,"five_year_total_return",'Database Query'!$E$14),$B309&lt;&gt;"etf",_xll.YCP("M:"&amp; $A309,"five_year_total_return",'Database Query'!$E$14))</f>
        <v>ERR: INVALID ASSET</v>
      </c>
      <c r="Q309" s="2" t="e" cm="1">
        <f t="array" aca="1" ref="Q309" ca="1">-_xll.YCP($E309,"five_year_return",'Database Query'!$E$14)+P309</f>
        <v>#VALUE!</v>
      </c>
    </row>
    <row r="310" spans="2:17" x14ac:dyDescent="0.25">
      <c r="B310" t="str" cm="1">
        <f t="array" aca="1" ref="B310" ca="1">_xll.YCI(A310,"detailed_security_type",TODAY())</f>
        <v/>
      </c>
      <c r="C310" t="str" cm="1">
        <f t="array" aca="1" ref="C310" ca="1">_xlfn.IFS(B310="etf", _xll.YCI(A310, "security_name",TODAY()),B310&lt;&gt;"etf",_xll.YCI("M:" &amp; A310, "security_name",TODAY()))</f>
        <v>ERR: INVALID ASSET</v>
      </c>
      <c r="D310" t="str" cm="1">
        <f t="array" aca="1" ref="D310" ca="1">_xlfn.IFS($B310="etf", _xll.YCI($A310, "ycharts_benchmark_category",TODAY()),$B310&lt;&gt;"etf",_xll.YCI("M:" &amp; $A310, "ycharts_benchmark_category",TODAY()))</f>
        <v>ERR: INVALID ASSET</v>
      </c>
      <c r="E310" t="str" cm="1">
        <f t="array" aca="1" ref="E310" ca="1">_xlfn.IFS($B310="etf", _xll.YCI($A310, "ycharts_benchmark_index_symbol",TODAY()),$B310&lt;&gt;"etf",_xll.YCI("M:" &amp; $A310, "ycharts_benchmark_index_symbol",TODAY()))</f>
        <v>ERR: INVALID ASSET</v>
      </c>
      <c r="F310" t="str" cm="1">
        <f t="array" aca="1" ref="F310" ca="1">_xlfn.IFS($B310="etf", _xll.YCI($E310, "security_name",TODAY()),$B310&lt;&gt;"etf",_xll.YCI( $E310, "security_name",TODAY()))</f>
        <v>ERR: INVALID ASSET</v>
      </c>
      <c r="G310" t="str" cm="1">
        <f t="array" aca="1" ref="G310" ca="1">_xlfn.IFS($B310="etf", _xll.YCI($A310, "prospectus_benchmark_index",TODAY()),$B310&lt;&gt;"etf",_xll.YCI("M:" &amp; $A310, "prospectus_benchmark_index",TODAY()))</f>
        <v>ERR: INVALID ASSET</v>
      </c>
      <c r="H310" s="2" t="str" cm="1">
        <f t="array" aca="1" ref="H310" ca="1">_xlfn.IFS($B310="etf", _xll.YCP($A310,"quarterly_total_return",'Database Query'!$E$14),$B310&lt;&gt;"etf",_xll.YCP("M:"&amp; $A310,"quarterly_total_return",'Database Query'!$E$14))</f>
        <v>ERR: INVALID ASSET</v>
      </c>
      <c r="I310" s="2" t="e" cm="1">
        <f t="array" aca="1" ref="I310" ca="1">-_xll.YCP($E310,"quarterly_return",'Database Query'!$E$14)+H310</f>
        <v>#VALUE!</v>
      </c>
      <c r="J310" s="2" t="str" cm="1">
        <f t="array" aca="1" ref="J310" ca="1">_xlfn.IFS($B310="etf", _xll.YCP($A310,"ytd_total_return",'Database Query'!$E$14),$B310&lt;&gt;"etf",_xll.YCP("M:"&amp; $A310,"ytd_total_return",'Database Query'!$E$14))</f>
        <v>ERR: INVALID ASSET</v>
      </c>
      <c r="K310" s="2" t="e" cm="1">
        <f t="array" aca="1" ref="K310" ca="1">-_xll.YCP($E310,"ytd_return",'Database Query'!$E$14)+J310</f>
        <v>#VALUE!</v>
      </c>
      <c r="L310" s="2" t="str" cm="1">
        <f t="array" aca="1" ref="L310" ca="1">_xlfn.IFS($B310="etf", _xll.YCP($A310,"one_year_total_return",'Database Query'!$E$14),$B310&lt;&gt;"etf",_xll.YCP("M:"&amp; $A310,"one_year_total_return",'Database Query'!$E$14))</f>
        <v>ERR: INVALID ASSET</v>
      </c>
      <c r="M310" s="2" t="e" cm="1">
        <f t="array" aca="1" ref="M310" ca="1">-_xll.YCP($E310,"one_year_return",'Database Query'!$E$14)+L310</f>
        <v>#VALUE!</v>
      </c>
      <c r="N310" s="2" t="str" cm="1">
        <f t="array" aca="1" ref="N310" ca="1">_xlfn.IFS($B310="etf", _xll.YCP($A310,"three_year_total_return",'Database Query'!$E$14),$B310&lt;&gt;"etf",_xll.YCP("M:"&amp; $A310,"three_year_total_return",'Database Query'!$E$14))</f>
        <v>ERR: INVALID ASSET</v>
      </c>
      <c r="O310" s="2" t="e" cm="1">
        <f t="array" aca="1" ref="O310" ca="1">-_xll.YCP($E310,"three_year_return",'Database Query'!$E$14)+N310</f>
        <v>#VALUE!</v>
      </c>
      <c r="P310" s="2" t="str" cm="1">
        <f t="array" aca="1" ref="P310" ca="1">_xlfn.IFS($B310="etf", _xll.YCP($A310,"five_year_total_return",'Database Query'!$E$14),$B310&lt;&gt;"etf",_xll.YCP("M:"&amp; $A310,"five_year_total_return",'Database Query'!$E$14))</f>
        <v>ERR: INVALID ASSET</v>
      </c>
      <c r="Q310" s="2" t="e" cm="1">
        <f t="array" aca="1" ref="Q310" ca="1">-_xll.YCP($E310,"five_year_return",'Database Query'!$E$14)+P310</f>
        <v>#VALUE!</v>
      </c>
    </row>
    <row r="311" spans="2:17" x14ac:dyDescent="0.25">
      <c r="B311" t="str" cm="1">
        <f t="array" aca="1" ref="B311" ca="1">_xll.YCI(A311,"detailed_security_type",TODAY())</f>
        <v/>
      </c>
      <c r="C311" t="str" cm="1">
        <f t="array" aca="1" ref="C311" ca="1">_xlfn.IFS(B311="etf", _xll.YCI(A311, "security_name",TODAY()),B311&lt;&gt;"etf",_xll.YCI("M:" &amp; A311, "security_name",TODAY()))</f>
        <v>ERR: INVALID ASSET</v>
      </c>
      <c r="D311" t="str" cm="1">
        <f t="array" aca="1" ref="D311" ca="1">_xlfn.IFS($B311="etf", _xll.YCI($A311, "ycharts_benchmark_category",TODAY()),$B311&lt;&gt;"etf",_xll.YCI("M:" &amp; $A311, "ycharts_benchmark_category",TODAY()))</f>
        <v>ERR: INVALID ASSET</v>
      </c>
      <c r="E311" t="str" cm="1">
        <f t="array" aca="1" ref="E311" ca="1">_xlfn.IFS($B311="etf", _xll.YCI($A311, "ycharts_benchmark_index_symbol",TODAY()),$B311&lt;&gt;"etf",_xll.YCI("M:" &amp; $A311, "ycharts_benchmark_index_symbol",TODAY()))</f>
        <v>ERR: INVALID ASSET</v>
      </c>
      <c r="F311" t="str" cm="1">
        <f t="array" aca="1" ref="F311" ca="1">_xlfn.IFS($B311="etf", _xll.YCI($E311, "security_name",TODAY()),$B311&lt;&gt;"etf",_xll.YCI( $E311, "security_name",TODAY()))</f>
        <v>ERR: INVALID ASSET</v>
      </c>
      <c r="G311" t="str" cm="1">
        <f t="array" aca="1" ref="G311" ca="1">_xlfn.IFS($B311="etf", _xll.YCI($A311, "prospectus_benchmark_index",TODAY()),$B311&lt;&gt;"etf",_xll.YCI("M:" &amp; $A311, "prospectus_benchmark_index",TODAY()))</f>
        <v>ERR: INVALID ASSET</v>
      </c>
      <c r="H311" s="2" t="str" cm="1">
        <f t="array" aca="1" ref="H311" ca="1">_xlfn.IFS($B311="etf", _xll.YCP($A311,"quarterly_total_return",'Database Query'!$E$14),$B311&lt;&gt;"etf",_xll.YCP("M:"&amp; $A311,"quarterly_total_return",'Database Query'!$E$14))</f>
        <v>ERR: INVALID ASSET</v>
      </c>
      <c r="I311" s="2" t="e" cm="1">
        <f t="array" aca="1" ref="I311" ca="1">-_xll.YCP($E311,"quarterly_return",'Database Query'!$E$14)+H311</f>
        <v>#VALUE!</v>
      </c>
      <c r="J311" s="2" t="str" cm="1">
        <f t="array" aca="1" ref="J311" ca="1">_xlfn.IFS($B311="etf", _xll.YCP($A311,"ytd_total_return",'Database Query'!$E$14),$B311&lt;&gt;"etf",_xll.YCP("M:"&amp; $A311,"ytd_total_return",'Database Query'!$E$14))</f>
        <v>ERR: INVALID ASSET</v>
      </c>
      <c r="K311" s="2" t="e" cm="1">
        <f t="array" aca="1" ref="K311" ca="1">-_xll.YCP($E311,"ytd_return",'Database Query'!$E$14)+J311</f>
        <v>#VALUE!</v>
      </c>
      <c r="L311" s="2" t="str" cm="1">
        <f t="array" aca="1" ref="L311" ca="1">_xlfn.IFS($B311="etf", _xll.YCP($A311,"one_year_total_return",'Database Query'!$E$14),$B311&lt;&gt;"etf",_xll.YCP("M:"&amp; $A311,"one_year_total_return",'Database Query'!$E$14))</f>
        <v>ERR: INVALID ASSET</v>
      </c>
      <c r="M311" s="2" t="e" cm="1">
        <f t="array" aca="1" ref="M311" ca="1">-_xll.YCP($E311,"one_year_return",'Database Query'!$E$14)+L311</f>
        <v>#VALUE!</v>
      </c>
      <c r="N311" s="2" t="str" cm="1">
        <f t="array" aca="1" ref="N311" ca="1">_xlfn.IFS($B311="etf", _xll.YCP($A311,"three_year_total_return",'Database Query'!$E$14),$B311&lt;&gt;"etf",_xll.YCP("M:"&amp; $A311,"three_year_total_return",'Database Query'!$E$14))</f>
        <v>ERR: INVALID ASSET</v>
      </c>
      <c r="O311" s="2" t="e" cm="1">
        <f t="array" aca="1" ref="O311" ca="1">-_xll.YCP($E311,"three_year_return",'Database Query'!$E$14)+N311</f>
        <v>#VALUE!</v>
      </c>
      <c r="P311" s="2" t="str" cm="1">
        <f t="array" aca="1" ref="P311" ca="1">_xlfn.IFS($B311="etf", _xll.YCP($A311,"five_year_total_return",'Database Query'!$E$14),$B311&lt;&gt;"etf",_xll.YCP("M:"&amp; $A311,"five_year_total_return",'Database Query'!$E$14))</f>
        <v>ERR: INVALID ASSET</v>
      </c>
      <c r="Q311" s="2" t="e" cm="1">
        <f t="array" aca="1" ref="Q311" ca="1">-_xll.YCP($E311,"five_year_return",'Database Query'!$E$14)+P311</f>
        <v>#VALUE!</v>
      </c>
    </row>
    <row r="312" spans="2:17" x14ac:dyDescent="0.25">
      <c r="B312" t="str" cm="1">
        <f t="array" aca="1" ref="B312" ca="1">_xll.YCI(A312,"detailed_security_type",TODAY())</f>
        <v/>
      </c>
      <c r="C312" t="str" cm="1">
        <f t="array" aca="1" ref="C312" ca="1">_xlfn.IFS(B312="etf", _xll.YCI(A312, "security_name",TODAY()),B312&lt;&gt;"etf",_xll.YCI("M:" &amp; A312, "security_name",TODAY()))</f>
        <v>ERR: INVALID ASSET</v>
      </c>
      <c r="D312" t="str" cm="1">
        <f t="array" aca="1" ref="D312" ca="1">_xlfn.IFS($B312="etf", _xll.YCI($A312, "ycharts_benchmark_category",TODAY()),$B312&lt;&gt;"etf",_xll.YCI("M:" &amp; $A312, "ycharts_benchmark_category",TODAY()))</f>
        <v>ERR: INVALID ASSET</v>
      </c>
      <c r="E312" t="str" cm="1">
        <f t="array" aca="1" ref="E312" ca="1">_xlfn.IFS($B312="etf", _xll.YCI($A312, "ycharts_benchmark_index_symbol",TODAY()),$B312&lt;&gt;"etf",_xll.YCI("M:" &amp; $A312, "ycharts_benchmark_index_symbol",TODAY()))</f>
        <v>ERR: INVALID ASSET</v>
      </c>
      <c r="F312" t="str" cm="1">
        <f t="array" aca="1" ref="F312" ca="1">_xlfn.IFS($B312="etf", _xll.YCI($E312, "security_name",TODAY()),$B312&lt;&gt;"etf",_xll.YCI( $E312, "security_name",TODAY()))</f>
        <v>ERR: INVALID ASSET</v>
      </c>
      <c r="G312" t="str" cm="1">
        <f t="array" aca="1" ref="G312" ca="1">_xlfn.IFS($B312="etf", _xll.YCI($A312, "prospectus_benchmark_index",TODAY()),$B312&lt;&gt;"etf",_xll.YCI("M:" &amp; $A312, "prospectus_benchmark_index",TODAY()))</f>
        <v>ERR: INVALID ASSET</v>
      </c>
      <c r="H312" s="2" t="str" cm="1">
        <f t="array" aca="1" ref="H312" ca="1">_xlfn.IFS($B312="etf", _xll.YCP($A312,"quarterly_total_return",'Database Query'!$E$14),$B312&lt;&gt;"etf",_xll.YCP("M:"&amp; $A312,"quarterly_total_return",'Database Query'!$E$14))</f>
        <v>ERR: INVALID ASSET</v>
      </c>
      <c r="I312" s="2" t="e" cm="1">
        <f t="array" aca="1" ref="I312" ca="1">-_xll.YCP($E312,"quarterly_return",'Database Query'!$E$14)+H312</f>
        <v>#VALUE!</v>
      </c>
      <c r="J312" s="2" t="str" cm="1">
        <f t="array" aca="1" ref="J312" ca="1">_xlfn.IFS($B312="etf", _xll.YCP($A312,"ytd_total_return",'Database Query'!$E$14),$B312&lt;&gt;"etf",_xll.YCP("M:"&amp; $A312,"ytd_total_return",'Database Query'!$E$14))</f>
        <v>ERR: INVALID ASSET</v>
      </c>
      <c r="K312" s="2" t="e" cm="1">
        <f t="array" aca="1" ref="K312" ca="1">-_xll.YCP($E312,"ytd_return",'Database Query'!$E$14)+J312</f>
        <v>#VALUE!</v>
      </c>
      <c r="L312" s="2" t="str" cm="1">
        <f t="array" aca="1" ref="L312" ca="1">_xlfn.IFS($B312="etf", _xll.YCP($A312,"one_year_total_return",'Database Query'!$E$14),$B312&lt;&gt;"etf",_xll.YCP("M:"&amp; $A312,"one_year_total_return",'Database Query'!$E$14))</f>
        <v>ERR: INVALID ASSET</v>
      </c>
      <c r="M312" s="2" t="e" cm="1">
        <f t="array" aca="1" ref="M312" ca="1">-_xll.YCP($E312,"one_year_return",'Database Query'!$E$14)+L312</f>
        <v>#VALUE!</v>
      </c>
      <c r="N312" s="2" t="str" cm="1">
        <f t="array" aca="1" ref="N312" ca="1">_xlfn.IFS($B312="etf", _xll.YCP($A312,"three_year_total_return",'Database Query'!$E$14),$B312&lt;&gt;"etf",_xll.YCP("M:"&amp; $A312,"three_year_total_return",'Database Query'!$E$14))</f>
        <v>ERR: INVALID ASSET</v>
      </c>
      <c r="O312" s="2" t="e" cm="1">
        <f t="array" aca="1" ref="O312" ca="1">-_xll.YCP($E312,"three_year_return",'Database Query'!$E$14)+N312</f>
        <v>#VALUE!</v>
      </c>
      <c r="P312" s="2" t="str" cm="1">
        <f t="array" aca="1" ref="P312" ca="1">_xlfn.IFS($B312="etf", _xll.YCP($A312,"five_year_total_return",'Database Query'!$E$14),$B312&lt;&gt;"etf",_xll.YCP("M:"&amp; $A312,"five_year_total_return",'Database Query'!$E$14))</f>
        <v>ERR: INVALID ASSET</v>
      </c>
      <c r="Q312" s="2" t="e" cm="1">
        <f t="array" aca="1" ref="Q312" ca="1">-_xll.YCP($E312,"five_year_return",'Database Query'!$E$14)+P312</f>
        <v>#VALUE!</v>
      </c>
    </row>
    <row r="313" spans="2:17" x14ac:dyDescent="0.25">
      <c r="B313" t="str" cm="1">
        <f t="array" aca="1" ref="B313" ca="1">_xll.YCI(A313,"detailed_security_type",TODAY())</f>
        <v/>
      </c>
      <c r="C313" t="str" cm="1">
        <f t="array" aca="1" ref="C313" ca="1">_xlfn.IFS(B313="etf", _xll.YCI(A313, "security_name",TODAY()),B313&lt;&gt;"etf",_xll.YCI("M:" &amp; A313, "security_name",TODAY()))</f>
        <v>ERR: INVALID ASSET</v>
      </c>
      <c r="D313" t="str" cm="1">
        <f t="array" aca="1" ref="D313" ca="1">_xlfn.IFS($B313="etf", _xll.YCI($A313, "ycharts_benchmark_category",TODAY()),$B313&lt;&gt;"etf",_xll.YCI("M:" &amp; $A313, "ycharts_benchmark_category",TODAY()))</f>
        <v>ERR: INVALID ASSET</v>
      </c>
      <c r="E313" t="str" cm="1">
        <f t="array" aca="1" ref="E313" ca="1">_xlfn.IFS($B313="etf", _xll.YCI($A313, "ycharts_benchmark_index_symbol",TODAY()),$B313&lt;&gt;"etf",_xll.YCI("M:" &amp; $A313, "ycharts_benchmark_index_symbol",TODAY()))</f>
        <v>ERR: INVALID ASSET</v>
      </c>
      <c r="F313" t="str" cm="1">
        <f t="array" aca="1" ref="F313" ca="1">_xlfn.IFS($B313="etf", _xll.YCI($E313, "security_name",TODAY()),$B313&lt;&gt;"etf",_xll.YCI( $E313, "security_name",TODAY()))</f>
        <v>ERR: INVALID ASSET</v>
      </c>
      <c r="G313" t="str" cm="1">
        <f t="array" aca="1" ref="G313" ca="1">_xlfn.IFS($B313="etf", _xll.YCI($A313, "prospectus_benchmark_index",TODAY()),$B313&lt;&gt;"etf",_xll.YCI("M:" &amp; $A313, "prospectus_benchmark_index",TODAY()))</f>
        <v>ERR: INVALID ASSET</v>
      </c>
      <c r="H313" s="2" t="str" cm="1">
        <f t="array" aca="1" ref="H313" ca="1">_xlfn.IFS($B313="etf", _xll.YCP($A313,"quarterly_total_return",'Database Query'!$E$14),$B313&lt;&gt;"etf",_xll.YCP("M:"&amp; $A313,"quarterly_total_return",'Database Query'!$E$14))</f>
        <v>ERR: INVALID ASSET</v>
      </c>
      <c r="I313" s="2" t="e" cm="1">
        <f t="array" aca="1" ref="I313" ca="1">-_xll.YCP($E313,"quarterly_return",'Database Query'!$E$14)+H313</f>
        <v>#VALUE!</v>
      </c>
      <c r="J313" s="2" t="str" cm="1">
        <f t="array" aca="1" ref="J313" ca="1">_xlfn.IFS($B313="etf", _xll.YCP($A313,"ytd_total_return",'Database Query'!$E$14),$B313&lt;&gt;"etf",_xll.YCP("M:"&amp; $A313,"ytd_total_return",'Database Query'!$E$14))</f>
        <v>ERR: INVALID ASSET</v>
      </c>
      <c r="K313" s="2" t="e" cm="1">
        <f t="array" aca="1" ref="K313" ca="1">-_xll.YCP($E313,"ytd_return",'Database Query'!$E$14)+J313</f>
        <v>#VALUE!</v>
      </c>
      <c r="L313" s="2" t="str" cm="1">
        <f t="array" aca="1" ref="L313" ca="1">_xlfn.IFS($B313="etf", _xll.YCP($A313,"one_year_total_return",'Database Query'!$E$14),$B313&lt;&gt;"etf",_xll.YCP("M:"&amp; $A313,"one_year_total_return",'Database Query'!$E$14))</f>
        <v>ERR: INVALID ASSET</v>
      </c>
      <c r="M313" s="2" t="e" cm="1">
        <f t="array" aca="1" ref="M313" ca="1">-_xll.YCP($E313,"one_year_return",'Database Query'!$E$14)+L313</f>
        <v>#VALUE!</v>
      </c>
      <c r="N313" s="2" t="str" cm="1">
        <f t="array" aca="1" ref="N313" ca="1">_xlfn.IFS($B313="etf", _xll.YCP($A313,"three_year_total_return",'Database Query'!$E$14),$B313&lt;&gt;"etf",_xll.YCP("M:"&amp; $A313,"three_year_total_return",'Database Query'!$E$14))</f>
        <v>ERR: INVALID ASSET</v>
      </c>
      <c r="O313" s="2" t="e" cm="1">
        <f t="array" aca="1" ref="O313" ca="1">-_xll.YCP($E313,"three_year_return",'Database Query'!$E$14)+N313</f>
        <v>#VALUE!</v>
      </c>
      <c r="P313" s="2" t="str" cm="1">
        <f t="array" aca="1" ref="P313" ca="1">_xlfn.IFS($B313="etf", _xll.YCP($A313,"five_year_total_return",'Database Query'!$E$14),$B313&lt;&gt;"etf",_xll.YCP("M:"&amp; $A313,"five_year_total_return",'Database Query'!$E$14))</f>
        <v>ERR: INVALID ASSET</v>
      </c>
      <c r="Q313" s="2" t="e" cm="1">
        <f t="array" aca="1" ref="Q313" ca="1">-_xll.YCP($E313,"five_year_return",'Database Query'!$E$14)+P313</f>
        <v>#VALUE!</v>
      </c>
    </row>
    <row r="314" spans="2:17" x14ac:dyDescent="0.25">
      <c r="B314" t="str" cm="1">
        <f t="array" aca="1" ref="B314" ca="1">_xll.YCI(A314,"detailed_security_type",TODAY())</f>
        <v/>
      </c>
      <c r="C314" t="str" cm="1">
        <f t="array" aca="1" ref="C314" ca="1">_xlfn.IFS(B314="etf", _xll.YCI(A314, "security_name",TODAY()),B314&lt;&gt;"etf",_xll.YCI("M:" &amp; A314, "security_name",TODAY()))</f>
        <v>ERR: INVALID ASSET</v>
      </c>
      <c r="D314" t="str" cm="1">
        <f t="array" aca="1" ref="D314" ca="1">_xlfn.IFS($B314="etf", _xll.YCI($A314, "ycharts_benchmark_category",TODAY()),$B314&lt;&gt;"etf",_xll.YCI("M:" &amp; $A314, "ycharts_benchmark_category",TODAY()))</f>
        <v>ERR: INVALID ASSET</v>
      </c>
      <c r="E314" t="str" cm="1">
        <f t="array" aca="1" ref="E314" ca="1">_xlfn.IFS($B314="etf", _xll.YCI($A314, "ycharts_benchmark_index_symbol",TODAY()),$B314&lt;&gt;"etf",_xll.YCI("M:" &amp; $A314, "ycharts_benchmark_index_symbol",TODAY()))</f>
        <v>ERR: INVALID ASSET</v>
      </c>
      <c r="F314" t="str" cm="1">
        <f t="array" aca="1" ref="F314" ca="1">_xlfn.IFS($B314="etf", _xll.YCI($E314, "security_name",TODAY()),$B314&lt;&gt;"etf",_xll.YCI( $E314, "security_name",TODAY()))</f>
        <v>ERR: INVALID ASSET</v>
      </c>
      <c r="G314" t="str" cm="1">
        <f t="array" aca="1" ref="G314" ca="1">_xlfn.IFS($B314="etf", _xll.YCI($A314, "prospectus_benchmark_index",TODAY()),$B314&lt;&gt;"etf",_xll.YCI("M:" &amp; $A314, "prospectus_benchmark_index",TODAY()))</f>
        <v>ERR: INVALID ASSET</v>
      </c>
      <c r="H314" s="2" t="str" cm="1">
        <f t="array" aca="1" ref="H314" ca="1">_xlfn.IFS($B314="etf", _xll.YCP($A314,"quarterly_total_return",'Database Query'!$E$14),$B314&lt;&gt;"etf",_xll.YCP("M:"&amp; $A314,"quarterly_total_return",'Database Query'!$E$14))</f>
        <v>ERR: INVALID ASSET</v>
      </c>
      <c r="I314" s="2" t="e" cm="1">
        <f t="array" aca="1" ref="I314" ca="1">-_xll.YCP($E314,"quarterly_return",'Database Query'!$E$14)+H314</f>
        <v>#VALUE!</v>
      </c>
      <c r="J314" s="2" t="str" cm="1">
        <f t="array" aca="1" ref="J314" ca="1">_xlfn.IFS($B314="etf", _xll.YCP($A314,"ytd_total_return",'Database Query'!$E$14),$B314&lt;&gt;"etf",_xll.YCP("M:"&amp; $A314,"ytd_total_return",'Database Query'!$E$14))</f>
        <v>ERR: INVALID ASSET</v>
      </c>
      <c r="K314" s="2" t="e" cm="1">
        <f t="array" aca="1" ref="K314" ca="1">-_xll.YCP($E314,"ytd_return",'Database Query'!$E$14)+J314</f>
        <v>#VALUE!</v>
      </c>
      <c r="L314" s="2" t="str" cm="1">
        <f t="array" aca="1" ref="L314" ca="1">_xlfn.IFS($B314="etf", _xll.YCP($A314,"one_year_total_return",'Database Query'!$E$14),$B314&lt;&gt;"etf",_xll.YCP("M:"&amp; $A314,"one_year_total_return",'Database Query'!$E$14))</f>
        <v>ERR: INVALID ASSET</v>
      </c>
      <c r="M314" s="2" t="e" cm="1">
        <f t="array" aca="1" ref="M314" ca="1">-_xll.YCP($E314,"one_year_return",'Database Query'!$E$14)+L314</f>
        <v>#VALUE!</v>
      </c>
      <c r="N314" s="2" t="str" cm="1">
        <f t="array" aca="1" ref="N314" ca="1">_xlfn.IFS($B314="etf", _xll.YCP($A314,"three_year_total_return",'Database Query'!$E$14),$B314&lt;&gt;"etf",_xll.YCP("M:"&amp; $A314,"three_year_total_return",'Database Query'!$E$14))</f>
        <v>ERR: INVALID ASSET</v>
      </c>
      <c r="O314" s="2" t="e" cm="1">
        <f t="array" aca="1" ref="O314" ca="1">-_xll.YCP($E314,"three_year_return",'Database Query'!$E$14)+N314</f>
        <v>#VALUE!</v>
      </c>
      <c r="P314" s="2" t="str" cm="1">
        <f t="array" aca="1" ref="P314" ca="1">_xlfn.IFS($B314="etf", _xll.YCP($A314,"five_year_total_return",'Database Query'!$E$14),$B314&lt;&gt;"etf",_xll.YCP("M:"&amp; $A314,"five_year_total_return",'Database Query'!$E$14))</f>
        <v>ERR: INVALID ASSET</v>
      </c>
      <c r="Q314" s="2" t="e" cm="1">
        <f t="array" aca="1" ref="Q314" ca="1">-_xll.YCP($E314,"five_year_return",'Database Query'!$E$14)+P314</f>
        <v>#VALUE!</v>
      </c>
    </row>
    <row r="315" spans="2:17" x14ac:dyDescent="0.25">
      <c r="B315" t="str" cm="1">
        <f t="array" aca="1" ref="B315" ca="1">_xll.YCI(A315,"detailed_security_type",TODAY())</f>
        <v/>
      </c>
      <c r="C315" t="str" cm="1">
        <f t="array" aca="1" ref="C315" ca="1">_xlfn.IFS(B315="etf", _xll.YCI(A315, "security_name",TODAY()),B315&lt;&gt;"etf",_xll.YCI("M:" &amp; A315, "security_name",TODAY()))</f>
        <v>ERR: INVALID ASSET</v>
      </c>
      <c r="D315" t="str" cm="1">
        <f t="array" aca="1" ref="D315" ca="1">_xlfn.IFS($B315="etf", _xll.YCI($A315, "ycharts_benchmark_category",TODAY()),$B315&lt;&gt;"etf",_xll.YCI("M:" &amp; $A315, "ycharts_benchmark_category",TODAY()))</f>
        <v>ERR: INVALID ASSET</v>
      </c>
      <c r="E315" t="str" cm="1">
        <f t="array" aca="1" ref="E315" ca="1">_xlfn.IFS($B315="etf", _xll.YCI($A315, "ycharts_benchmark_index_symbol",TODAY()),$B315&lt;&gt;"etf",_xll.YCI("M:" &amp; $A315, "ycharts_benchmark_index_symbol",TODAY()))</f>
        <v>ERR: INVALID ASSET</v>
      </c>
      <c r="F315" t="str" cm="1">
        <f t="array" aca="1" ref="F315" ca="1">_xlfn.IFS($B315="etf", _xll.YCI($E315, "security_name",TODAY()),$B315&lt;&gt;"etf",_xll.YCI( $E315, "security_name",TODAY()))</f>
        <v>ERR: INVALID ASSET</v>
      </c>
      <c r="G315" t="str" cm="1">
        <f t="array" aca="1" ref="G315" ca="1">_xlfn.IFS($B315="etf", _xll.YCI($A315, "prospectus_benchmark_index",TODAY()),$B315&lt;&gt;"etf",_xll.YCI("M:" &amp; $A315, "prospectus_benchmark_index",TODAY()))</f>
        <v>ERR: INVALID ASSET</v>
      </c>
      <c r="H315" s="2" t="str" cm="1">
        <f t="array" aca="1" ref="H315" ca="1">_xlfn.IFS($B315="etf", _xll.YCP($A315,"quarterly_total_return",'Database Query'!$E$14),$B315&lt;&gt;"etf",_xll.YCP("M:"&amp; $A315,"quarterly_total_return",'Database Query'!$E$14))</f>
        <v>ERR: INVALID ASSET</v>
      </c>
      <c r="I315" s="2" t="e" cm="1">
        <f t="array" aca="1" ref="I315" ca="1">-_xll.YCP($E315,"quarterly_return",'Database Query'!$E$14)+H315</f>
        <v>#VALUE!</v>
      </c>
      <c r="J315" s="2" t="str" cm="1">
        <f t="array" aca="1" ref="J315" ca="1">_xlfn.IFS($B315="etf", _xll.YCP($A315,"ytd_total_return",'Database Query'!$E$14),$B315&lt;&gt;"etf",_xll.YCP("M:"&amp; $A315,"ytd_total_return",'Database Query'!$E$14))</f>
        <v>ERR: INVALID ASSET</v>
      </c>
      <c r="K315" s="2" t="e" cm="1">
        <f t="array" aca="1" ref="K315" ca="1">-_xll.YCP($E315,"ytd_return",'Database Query'!$E$14)+J315</f>
        <v>#VALUE!</v>
      </c>
      <c r="L315" s="2" t="str" cm="1">
        <f t="array" aca="1" ref="L315" ca="1">_xlfn.IFS($B315="etf", _xll.YCP($A315,"one_year_total_return",'Database Query'!$E$14),$B315&lt;&gt;"etf",_xll.YCP("M:"&amp; $A315,"one_year_total_return",'Database Query'!$E$14))</f>
        <v>ERR: INVALID ASSET</v>
      </c>
      <c r="M315" s="2" t="e" cm="1">
        <f t="array" aca="1" ref="M315" ca="1">-_xll.YCP($E315,"one_year_return",'Database Query'!$E$14)+L315</f>
        <v>#VALUE!</v>
      </c>
      <c r="N315" s="2" t="str" cm="1">
        <f t="array" aca="1" ref="N315" ca="1">_xlfn.IFS($B315="etf", _xll.YCP($A315,"three_year_total_return",'Database Query'!$E$14),$B315&lt;&gt;"etf",_xll.YCP("M:"&amp; $A315,"three_year_total_return",'Database Query'!$E$14))</f>
        <v>ERR: INVALID ASSET</v>
      </c>
      <c r="O315" s="2" t="e" cm="1">
        <f t="array" aca="1" ref="O315" ca="1">-_xll.YCP($E315,"three_year_return",'Database Query'!$E$14)+N315</f>
        <v>#VALUE!</v>
      </c>
      <c r="P315" s="2" t="str" cm="1">
        <f t="array" aca="1" ref="P315" ca="1">_xlfn.IFS($B315="etf", _xll.YCP($A315,"five_year_total_return",'Database Query'!$E$14),$B315&lt;&gt;"etf",_xll.YCP("M:"&amp; $A315,"five_year_total_return",'Database Query'!$E$14))</f>
        <v>ERR: INVALID ASSET</v>
      </c>
      <c r="Q315" s="2" t="e" cm="1">
        <f t="array" aca="1" ref="Q315" ca="1">-_xll.YCP($E315,"five_year_return",'Database Query'!$E$14)+P315</f>
        <v>#VALUE!</v>
      </c>
    </row>
    <row r="316" spans="2:17" x14ac:dyDescent="0.25">
      <c r="B316" t="str" cm="1">
        <f t="array" aca="1" ref="B316" ca="1">_xll.YCI(A316,"detailed_security_type",TODAY())</f>
        <v/>
      </c>
      <c r="C316" t="str" cm="1">
        <f t="array" aca="1" ref="C316" ca="1">_xlfn.IFS(B316="etf", _xll.YCI(A316, "security_name",TODAY()),B316&lt;&gt;"etf",_xll.YCI("M:" &amp; A316, "security_name",TODAY()))</f>
        <v>ERR: INVALID ASSET</v>
      </c>
      <c r="D316" t="str" cm="1">
        <f t="array" aca="1" ref="D316" ca="1">_xlfn.IFS($B316="etf", _xll.YCI($A316, "ycharts_benchmark_category",TODAY()),$B316&lt;&gt;"etf",_xll.YCI("M:" &amp; $A316, "ycharts_benchmark_category",TODAY()))</f>
        <v>ERR: INVALID ASSET</v>
      </c>
      <c r="E316" t="str" cm="1">
        <f t="array" aca="1" ref="E316" ca="1">_xlfn.IFS($B316="etf", _xll.YCI($A316, "ycharts_benchmark_index_symbol",TODAY()),$B316&lt;&gt;"etf",_xll.YCI("M:" &amp; $A316, "ycharts_benchmark_index_symbol",TODAY()))</f>
        <v>ERR: INVALID ASSET</v>
      </c>
      <c r="F316" t="str" cm="1">
        <f t="array" aca="1" ref="F316" ca="1">_xlfn.IFS($B316="etf", _xll.YCI($E316, "security_name",TODAY()),$B316&lt;&gt;"etf",_xll.YCI( $E316, "security_name",TODAY()))</f>
        <v>ERR: INVALID ASSET</v>
      </c>
      <c r="G316" t="str" cm="1">
        <f t="array" aca="1" ref="G316" ca="1">_xlfn.IFS($B316="etf", _xll.YCI($A316, "prospectus_benchmark_index",TODAY()),$B316&lt;&gt;"etf",_xll.YCI("M:" &amp; $A316, "prospectus_benchmark_index",TODAY()))</f>
        <v>ERR: INVALID ASSET</v>
      </c>
      <c r="H316" s="2" t="str" cm="1">
        <f t="array" aca="1" ref="H316" ca="1">_xlfn.IFS($B316="etf", _xll.YCP($A316,"quarterly_total_return",'Database Query'!$E$14),$B316&lt;&gt;"etf",_xll.YCP("M:"&amp; $A316,"quarterly_total_return",'Database Query'!$E$14))</f>
        <v>ERR: INVALID ASSET</v>
      </c>
      <c r="I316" s="2" t="e" cm="1">
        <f t="array" aca="1" ref="I316" ca="1">-_xll.YCP($E316,"quarterly_return",'Database Query'!$E$14)+H316</f>
        <v>#VALUE!</v>
      </c>
      <c r="J316" s="2" t="str" cm="1">
        <f t="array" aca="1" ref="J316" ca="1">_xlfn.IFS($B316="etf", _xll.YCP($A316,"ytd_total_return",'Database Query'!$E$14),$B316&lt;&gt;"etf",_xll.YCP("M:"&amp; $A316,"ytd_total_return",'Database Query'!$E$14))</f>
        <v>ERR: INVALID ASSET</v>
      </c>
      <c r="K316" s="2" t="e" cm="1">
        <f t="array" aca="1" ref="K316" ca="1">-_xll.YCP($E316,"ytd_return",'Database Query'!$E$14)+J316</f>
        <v>#VALUE!</v>
      </c>
      <c r="L316" s="2" t="str" cm="1">
        <f t="array" aca="1" ref="L316" ca="1">_xlfn.IFS($B316="etf", _xll.YCP($A316,"one_year_total_return",'Database Query'!$E$14),$B316&lt;&gt;"etf",_xll.YCP("M:"&amp; $A316,"one_year_total_return",'Database Query'!$E$14))</f>
        <v>ERR: INVALID ASSET</v>
      </c>
      <c r="M316" s="2" t="e" cm="1">
        <f t="array" aca="1" ref="M316" ca="1">-_xll.YCP($E316,"one_year_return",'Database Query'!$E$14)+L316</f>
        <v>#VALUE!</v>
      </c>
      <c r="N316" s="2" t="str" cm="1">
        <f t="array" aca="1" ref="N316" ca="1">_xlfn.IFS($B316="etf", _xll.YCP($A316,"three_year_total_return",'Database Query'!$E$14),$B316&lt;&gt;"etf",_xll.YCP("M:"&amp; $A316,"three_year_total_return",'Database Query'!$E$14))</f>
        <v>ERR: INVALID ASSET</v>
      </c>
      <c r="O316" s="2" t="e" cm="1">
        <f t="array" aca="1" ref="O316" ca="1">-_xll.YCP($E316,"three_year_return",'Database Query'!$E$14)+N316</f>
        <v>#VALUE!</v>
      </c>
      <c r="P316" s="2" t="str" cm="1">
        <f t="array" aca="1" ref="P316" ca="1">_xlfn.IFS($B316="etf", _xll.YCP($A316,"five_year_total_return",'Database Query'!$E$14),$B316&lt;&gt;"etf",_xll.YCP("M:"&amp; $A316,"five_year_total_return",'Database Query'!$E$14))</f>
        <v>ERR: INVALID ASSET</v>
      </c>
      <c r="Q316" s="2" t="e" cm="1">
        <f t="array" aca="1" ref="Q316" ca="1">-_xll.YCP($E316,"five_year_return",'Database Query'!$E$14)+P316</f>
        <v>#VALUE!</v>
      </c>
    </row>
    <row r="317" spans="2:17" x14ac:dyDescent="0.25">
      <c r="B317" t="str" cm="1">
        <f t="array" aca="1" ref="B317" ca="1">_xll.YCI(A317,"detailed_security_type",TODAY())</f>
        <v/>
      </c>
      <c r="C317" t="str" cm="1">
        <f t="array" aca="1" ref="C317" ca="1">_xlfn.IFS(B317="etf", _xll.YCI(A317, "security_name",TODAY()),B317&lt;&gt;"etf",_xll.YCI("M:" &amp; A317, "security_name",TODAY()))</f>
        <v>ERR: INVALID ASSET</v>
      </c>
      <c r="D317" t="str" cm="1">
        <f t="array" aca="1" ref="D317" ca="1">_xlfn.IFS($B317="etf", _xll.YCI($A317, "ycharts_benchmark_category",TODAY()),$B317&lt;&gt;"etf",_xll.YCI("M:" &amp; $A317, "ycharts_benchmark_category",TODAY()))</f>
        <v>ERR: INVALID ASSET</v>
      </c>
      <c r="E317" t="str" cm="1">
        <f t="array" aca="1" ref="E317" ca="1">_xlfn.IFS($B317="etf", _xll.YCI($A317, "ycharts_benchmark_index_symbol",TODAY()),$B317&lt;&gt;"etf",_xll.YCI("M:" &amp; $A317, "ycharts_benchmark_index_symbol",TODAY()))</f>
        <v>ERR: INVALID ASSET</v>
      </c>
      <c r="F317" t="str" cm="1">
        <f t="array" aca="1" ref="F317" ca="1">_xlfn.IFS($B317="etf", _xll.YCI($E317, "security_name",TODAY()),$B317&lt;&gt;"etf",_xll.YCI( $E317, "security_name",TODAY()))</f>
        <v>ERR: INVALID ASSET</v>
      </c>
      <c r="G317" t="str" cm="1">
        <f t="array" aca="1" ref="G317" ca="1">_xlfn.IFS($B317="etf", _xll.YCI($A317, "prospectus_benchmark_index",TODAY()),$B317&lt;&gt;"etf",_xll.YCI("M:" &amp; $A317, "prospectus_benchmark_index",TODAY()))</f>
        <v>ERR: INVALID ASSET</v>
      </c>
      <c r="H317" s="2" t="str" cm="1">
        <f t="array" aca="1" ref="H317" ca="1">_xlfn.IFS($B317="etf", _xll.YCP($A317,"quarterly_total_return",'Database Query'!$E$14),$B317&lt;&gt;"etf",_xll.YCP("M:"&amp; $A317,"quarterly_total_return",'Database Query'!$E$14))</f>
        <v>ERR: INVALID ASSET</v>
      </c>
      <c r="I317" s="2" t="e" cm="1">
        <f t="array" aca="1" ref="I317" ca="1">-_xll.YCP($E317,"quarterly_return",'Database Query'!$E$14)+H317</f>
        <v>#VALUE!</v>
      </c>
      <c r="J317" s="2" t="str" cm="1">
        <f t="array" aca="1" ref="J317" ca="1">_xlfn.IFS($B317="etf", _xll.YCP($A317,"ytd_total_return",'Database Query'!$E$14),$B317&lt;&gt;"etf",_xll.YCP("M:"&amp; $A317,"ytd_total_return",'Database Query'!$E$14))</f>
        <v>ERR: INVALID ASSET</v>
      </c>
      <c r="K317" s="2" t="e" cm="1">
        <f t="array" aca="1" ref="K317" ca="1">-_xll.YCP($E317,"ytd_return",'Database Query'!$E$14)+J317</f>
        <v>#VALUE!</v>
      </c>
      <c r="L317" s="2" t="str" cm="1">
        <f t="array" aca="1" ref="L317" ca="1">_xlfn.IFS($B317="etf", _xll.YCP($A317,"one_year_total_return",'Database Query'!$E$14),$B317&lt;&gt;"etf",_xll.YCP("M:"&amp; $A317,"one_year_total_return",'Database Query'!$E$14))</f>
        <v>ERR: INVALID ASSET</v>
      </c>
      <c r="M317" s="2" t="e" cm="1">
        <f t="array" aca="1" ref="M317" ca="1">-_xll.YCP($E317,"one_year_return",'Database Query'!$E$14)+L317</f>
        <v>#VALUE!</v>
      </c>
      <c r="N317" s="2" t="str" cm="1">
        <f t="array" aca="1" ref="N317" ca="1">_xlfn.IFS($B317="etf", _xll.YCP($A317,"three_year_total_return",'Database Query'!$E$14),$B317&lt;&gt;"etf",_xll.YCP("M:"&amp; $A317,"three_year_total_return",'Database Query'!$E$14))</f>
        <v>ERR: INVALID ASSET</v>
      </c>
      <c r="O317" s="2" t="e" cm="1">
        <f t="array" aca="1" ref="O317" ca="1">-_xll.YCP($E317,"three_year_return",'Database Query'!$E$14)+N317</f>
        <v>#VALUE!</v>
      </c>
      <c r="P317" s="2" t="str" cm="1">
        <f t="array" aca="1" ref="P317" ca="1">_xlfn.IFS($B317="etf", _xll.YCP($A317,"five_year_total_return",'Database Query'!$E$14),$B317&lt;&gt;"etf",_xll.YCP("M:"&amp; $A317,"five_year_total_return",'Database Query'!$E$14))</f>
        <v>ERR: INVALID ASSET</v>
      </c>
      <c r="Q317" s="2" t="e" cm="1">
        <f t="array" aca="1" ref="Q317" ca="1">-_xll.YCP($E317,"five_year_return",'Database Query'!$E$14)+P317</f>
        <v>#VALUE!</v>
      </c>
    </row>
    <row r="318" spans="2:17" x14ac:dyDescent="0.25">
      <c r="B318" t="str" cm="1">
        <f t="array" aca="1" ref="B318" ca="1">_xll.YCI(A318,"detailed_security_type",TODAY())</f>
        <v/>
      </c>
      <c r="C318" t="str" cm="1">
        <f t="array" aca="1" ref="C318" ca="1">_xlfn.IFS(B318="etf", _xll.YCI(A318, "security_name",TODAY()),B318&lt;&gt;"etf",_xll.YCI("M:" &amp; A318, "security_name",TODAY()))</f>
        <v>ERR: INVALID ASSET</v>
      </c>
      <c r="D318" t="str" cm="1">
        <f t="array" aca="1" ref="D318" ca="1">_xlfn.IFS($B318="etf", _xll.YCI($A318, "ycharts_benchmark_category",TODAY()),$B318&lt;&gt;"etf",_xll.YCI("M:" &amp; $A318, "ycharts_benchmark_category",TODAY()))</f>
        <v>ERR: INVALID ASSET</v>
      </c>
      <c r="E318" t="str" cm="1">
        <f t="array" aca="1" ref="E318" ca="1">_xlfn.IFS($B318="etf", _xll.YCI($A318, "ycharts_benchmark_index_symbol",TODAY()),$B318&lt;&gt;"etf",_xll.YCI("M:" &amp; $A318, "ycharts_benchmark_index_symbol",TODAY()))</f>
        <v>ERR: INVALID ASSET</v>
      </c>
      <c r="F318" t="str" cm="1">
        <f t="array" aca="1" ref="F318" ca="1">_xlfn.IFS($B318="etf", _xll.YCI($E318, "security_name",TODAY()),$B318&lt;&gt;"etf",_xll.YCI( $E318, "security_name",TODAY()))</f>
        <v>ERR: INVALID ASSET</v>
      </c>
      <c r="G318" t="str" cm="1">
        <f t="array" aca="1" ref="G318" ca="1">_xlfn.IFS($B318="etf", _xll.YCI($A318, "prospectus_benchmark_index",TODAY()),$B318&lt;&gt;"etf",_xll.YCI("M:" &amp; $A318, "prospectus_benchmark_index",TODAY()))</f>
        <v>ERR: INVALID ASSET</v>
      </c>
      <c r="H318" s="2" t="str" cm="1">
        <f t="array" aca="1" ref="H318" ca="1">_xlfn.IFS($B318="etf", _xll.YCP($A318,"quarterly_total_return",'Database Query'!$E$14),$B318&lt;&gt;"etf",_xll.YCP("M:"&amp; $A318,"quarterly_total_return",'Database Query'!$E$14))</f>
        <v>ERR: INVALID ASSET</v>
      </c>
      <c r="I318" s="2" t="e" cm="1">
        <f t="array" aca="1" ref="I318" ca="1">-_xll.YCP($E318,"quarterly_return",'Database Query'!$E$14)+H318</f>
        <v>#VALUE!</v>
      </c>
      <c r="J318" s="2" t="str" cm="1">
        <f t="array" aca="1" ref="J318" ca="1">_xlfn.IFS($B318="etf", _xll.YCP($A318,"ytd_total_return",'Database Query'!$E$14),$B318&lt;&gt;"etf",_xll.YCP("M:"&amp; $A318,"ytd_total_return",'Database Query'!$E$14))</f>
        <v>ERR: INVALID ASSET</v>
      </c>
      <c r="K318" s="2" t="e" cm="1">
        <f t="array" aca="1" ref="K318" ca="1">-_xll.YCP($E318,"ytd_return",'Database Query'!$E$14)+J318</f>
        <v>#VALUE!</v>
      </c>
      <c r="L318" s="2" t="str" cm="1">
        <f t="array" aca="1" ref="L318" ca="1">_xlfn.IFS($B318="etf", _xll.YCP($A318,"one_year_total_return",'Database Query'!$E$14),$B318&lt;&gt;"etf",_xll.YCP("M:"&amp; $A318,"one_year_total_return",'Database Query'!$E$14))</f>
        <v>ERR: INVALID ASSET</v>
      </c>
      <c r="M318" s="2" t="e" cm="1">
        <f t="array" aca="1" ref="M318" ca="1">-_xll.YCP($E318,"one_year_return",'Database Query'!$E$14)+L318</f>
        <v>#VALUE!</v>
      </c>
      <c r="N318" s="2" t="str" cm="1">
        <f t="array" aca="1" ref="N318" ca="1">_xlfn.IFS($B318="etf", _xll.YCP($A318,"three_year_total_return",'Database Query'!$E$14),$B318&lt;&gt;"etf",_xll.YCP("M:"&amp; $A318,"three_year_total_return",'Database Query'!$E$14))</f>
        <v>ERR: INVALID ASSET</v>
      </c>
      <c r="O318" s="2" t="e" cm="1">
        <f t="array" aca="1" ref="O318" ca="1">-_xll.YCP($E318,"three_year_return",'Database Query'!$E$14)+N318</f>
        <v>#VALUE!</v>
      </c>
      <c r="P318" s="2" t="str" cm="1">
        <f t="array" aca="1" ref="P318" ca="1">_xlfn.IFS($B318="etf", _xll.YCP($A318,"five_year_total_return",'Database Query'!$E$14),$B318&lt;&gt;"etf",_xll.YCP("M:"&amp; $A318,"five_year_total_return",'Database Query'!$E$14))</f>
        <v>ERR: INVALID ASSET</v>
      </c>
      <c r="Q318" s="2" t="e" cm="1">
        <f t="array" aca="1" ref="Q318" ca="1">-_xll.YCP($E318,"five_year_return",'Database Query'!$E$14)+P318</f>
        <v>#VALUE!</v>
      </c>
    </row>
    <row r="319" spans="2:17" x14ac:dyDescent="0.25">
      <c r="B319" t="str" cm="1">
        <f t="array" aca="1" ref="B319" ca="1">_xll.YCI(A319,"detailed_security_type",TODAY())</f>
        <v/>
      </c>
      <c r="C319" t="str" cm="1">
        <f t="array" aca="1" ref="C319" ca="1">_xlfn.IFS(B319="etf", _xll.YCI(A319, "security_name",TODAY()),B319&lt;&gt;"etf",_xll.YCI("M:" &amp; A319, "security_name",TODAY()))</f>
        <v>ERR: INVALID ASSET</v>
      </c>
      <c r="D319" t="str" cm="1">
        <f t="array" aca="1" ref="D319" ca="1">_xlfn.IFS($B319="etf", _xll.YCI($A319, "ycharts_benchmark_category",TODAY()),$B319&lt;&gt;"etf",_xll.YCI("M:" &amp; $A319, "ycharts_benchmark_category",TODAY()))</f>
        <v>ERR: INVALID ASSET</v>
      </c>
      <c r="E319" t="str" cm="1">
        <f t="array" aca="1" ref="E319" ca="1">_xlfn.IFS($B319="etf", _xll.YCI($A319, "ycharts_benchmark_index_symbol",TODAY()),$B319&lt;&gt;"etf",_xll.YCI("M:" &amp; $A319, "ycharts_benchmark_index_symbol",TODAY()))</f>
        <v>ERR: INVALID ASSET</v>
      </c>
      <c r="F319" t="str" cm="1">
        <f t="array" aca="1" ref="F319" ca="1">_xlfn.IFS($B319="etf", _xll.YCI($E319, "security_name",TODAY()),$B319&lt;&gt;"etf",_xll.YCI( $E319, "security_name",TODAY()))</f>
        <v>ERR: INVALID ASSET</v>
      </c>
      <c r="G319" t="str" cm="1">
        <f t="array" aca="1" ref="G319" ca="1">_xlfn.IFS($B319="etf", _xll.YCI($A319, "prospectus_benchmark_index",TODAY()),$B319&lt;&gt;"etf",_xll.YCI("M:" &amp; $A319, "prospectus_benchmark_index",TODAY()))</f>
        <v>ERR: INVALID ASSET</v>
      </c>
      <c r="H319" s="2" t="str" cm="1">
        <f t="array" aca="1" ref="H319" ca="1">_xlfn.IFS($B319="etf", _xll.YCP($A319,"quarterly_total_return",'Database Query'!$E$14),$B319&lt;&gt;"etf",_xll.YCP("M:"&amp; $A319,"quarterly_total_return",'Database Query'!$E$14))</f>
        <v>ERR: INVALID ASSET</v>
      </c>
      <c r="I319" s="2" t="e" cm="1">
        <f t="array" aca="1" ref="I319" ca="1">-_xll.YCP($E319,"quarterly_return",'Database Query'!$E$14)+H319</f>
        <v>#VALUE!</v>
      </c>
      <c r="J319" s="2" t="str" cm="1">
        <f t="array" aca="1" ref="J319" ca="1">_xlfn.IFS($B319="etf", _xll.YCP($A319,"ytd_total_return",'Database Query'!$E$14),$B319&lt;&gt;"etf",_xll.YCP("M:"&amp; $A319,"ytd_total_return",'Database Query'!$E$14))</f>
        <v>ERR: INVALID ASSET</v>
      </c>
      <c r="K319" s="2" t="e" cm="1">
        <f t="array" aca="1" ref="K319" ca="1">-_xll.YCP($E319,"ytd_return",'Database Query'!$E$14)+J319</f>
        <v>#VALUE!</v>
      </c>
      <c r="L319" s="2" t="str" cm="1">
        <f t="array" aca="1" ref="L319" ca="1">_xlfn.IFS($B319="etf", _xll.YCP($A319,"one_year_total_return",'Database Query'!$E$14),$B319&lt;&gt;"etf",_xll.YCP("M:"&amp; $A319,"one_year_total_return",'Database Query'!$E$14))</f>
        <v>ERR: INVALID ASSET</v>
      </c>
      <c r="M319" s="2" t="e" cm="1">
        <f t="array" aca="1" ref="M319" ca="1">-_xll.YCP($E319,"one_year_return",'Database Query'!$E$14)+L319</f>
        <v>#VALUE!</v>
      </c>
      <c r="N319" s="2" t="str" cm="1">
        <f t="array" aca="1" ref="N319" ca="1">_xlfn.IFS($B319="etf", _xll.YCP($A319,"three_year_total_return",'Database Query'!$E$14),$B319&lt;&gt;"etf",_xll.YCP("M:"&amp; $A319,"three_year_total_return",'Database Query'!$E$14))</f>
        <v>ERR: INVALID ASSET</v>
      </c>
      <c r="O319" s="2" t="e" cm="1">
        <f t="array" aca="1" ref="O319" ca="1">-_xll.YCP($E319,"three_year_return",'Database Query'!$E$14)+N319</f>
        <v>#VALUE!</v>
      </c>
      <c r="P319" s="2" t="str" cm="1">
        <f t="array" aca="1" ref="P319" ca="1">_xlfn.IFS($B319="etf", _xll.YCP($A319,"five_year_total_return",'Database Query'!$E$14),$B319&lt;&gt;"etf",_xll.YCP("M:"&amp; $A319,"five_year_total_return",'Database Query'!$E$14))</f>
        <v>ERR: INVALID ASSET</v>
      </c>
      <c r="Q319" s="2" t="e" cm="1">
        <f t="array" aca="1" ref="Q319" ca="1">-_xll.YCP($E319,"five_year_return",'Database Query'!$E$14)+P319</f>
        <v>#VALUE!</v>
      </c>
    </row>
    <row r="320" spans="2:17" x14ac:dyDescent="0.25">
      <c r="B320" t="str" cm="1">
        <f t="array" aca="1" ref="B320" ca="1">_xll.YCI(A320,"detailed_security_type",TODAY())</f>
        <v/>
      </c>
      <c r="C320" t="str" cm="1">
        <f t="array" aca="1" ref="C320" ca="1">_xlfn.IFS(B320="etf", _xll.YCI(A320, "security_name",TODAY()),B320&lt;&gt;"etf",_xll.YCI("M:" &amp; A320, "security_name",TODAY()))</f>
        <v>ERR: INVALID ASSET</v>
      </c>
      <c r="D320" t="str" cm="1">
        <f t="array" aca="1" ref="D320" ca="1">_xlfn.IFS($B320="etf", _xll.YCI($A320, "ycharts_benchmark_category",TODAY()),$B320&lt;&gt;"etf",_xll.YCI("M:" &amp; $A320, "ycharts_benchmark_category",TODAY()))</f>
        <v>ERR: INVALID ASSET</v>
      </c>
      <c r="E320" t="str" cm="1">
        <f t="array" aca="1" ref="E320" ca="1">_xlfn.IFS($B320="etf", _xll.YCI($A320, "ycharts_benchmark_index_symbol",TODAY()),$B320&lt;&gt;"etf",_xll.YCI("M:" &amp; $A320, "ycharts_benchmark_index_symbol",TODAY()))</f>
        <v>ERR: INVALID ASSET</v>
      </c>
      <c r="F320" t="str" cm="1">
        <f t="array" aca="1" ref="F320" ca="1">_xlfn.IFS($B320="etf", _xll.YCI($E320, "security_name",TODAY()),$B320&lt;&gt;"etf",_xll.YCI( $E320, "security_name",TODAY()))</f>
        <v>ERR: INVALID ASSET</v>
      </c>
      <c r="G320" t="str" cm="1">
        <f t="array" aca="1" ref="G320" ca="1">_xlfn.IFS($B320="etf", _xll.YCI($A320, "prospectus_benchmark_index",TODAY()),$B320&lt;&gt;"etf",_xll.YCI("M:" &amp; $A320, "prospectus_benchmark_index",TODAY()))</f>
        <v>ERR: INVALID ASSET</v>
      </c>
      <c r="H320" s="2" t="str" cm="1">
        <f t="array" aca="1" ref="H320" ca="1">_xlfn.IFS($B320="etf", _xll.YCP($A320,"quarterly_total_return",'Database Query'!$E$14),$B320&lt;&gt;"etf",_xll.YCP("M:"&amp; $A320,"quarterly_total_return",'Database Query'!$E$14))</f>
        <v>ERR: INVALID ASSET</v>
      </c>
      <c r="I320" s="2" t="e" cm="1">
        <f t="array" aca="1" ref="I320" ca="1">-_xll.YCP($E320,"quarterly_return",'Database Query'!$E$14)+H320</f>
        <v>#VALUE!</v>
      </c>
      <c r="J320" s="2" t="str" cm="1">
        <f t="array" aca="1" ref="J320" ca="1">_xlfn.IFS($B320="etf", _xll.YCP($A320,"ytd_total_return",'Database Query'!$E$14),$B320&lt;&gt;"etf",_xll.YCP("M:"&amp; $A320,"ytd_total_return",'Database Query'!$E$14))</f>
        <v>ERR: INVALID ASSET</v>
      </c>
      <c r="K320" s="2" t="e" cm="1">
        <f t="array" aca="1" ref="K320" ca="1">-_xll.YCP($E320,"ytd_return",'Database Query'!$E$14)+J320</f>
        <v>#VALUE!</v>
      </c>
      <c r="L320" s="2" t="str" cm="1">
        <f t="array" aca="1" ref="L320" ca="1">_xlfn.IFS($B320="etf", _xll.YCP($A320,"one_year_total_return",'Database Query'!$E$14),$B320&lt;&gt;"etf",_xll.YCP("M:"&amp; $A320,"one_year_total_return",'Database Query'!$E$14))</f>
        <v>ERR: INVALID ASSET</v>
      </c>
      <c r="M320" s="2" t="e" cm="1">
        <f t="array" aca="1" ref="M320" ca="1">-_xll.YCP($E320,"one_year_return",'Database Query'!$E$14)+L320</f>
        <v>#VALUE!</v>
      </c>
      <c r="N320" s="2" t="str" cm="1">
        <f t="array" aca="1" ref="N320" ca="1">_xlfn.IFS($B320="etf", _xll.YCP($A320,"three_year_total_return",'Database Query'!$E$14),$B320&lt;&gt;"etf",_xll.YCP("M:"&amp; $A320,"three_year_total_return",'Database Query'!$E$14))</f>
        <v>ERR: INVALID ASSET</v>
      </c>
      <c r="O320" s="2" t="e" cm="1">
        <f t="array" aca="1" ref="O320" ca="1">-_xll.YCP($E320,"three_year_return",'Database Query'!$E$14)+N320</f>
        <v>#VALUE!</v>
      </c>
      <c r="P320" s="2" t="str" cm="1">
        <f t="array" aca="1" ref="P320" ca="1">_xlfn.IFS($B320="etf", _xll.YCP($A320,"five_year_total_return",'Database Query'!$E$14),$B320&lt;&gt;"etf",_xll.YCP("M:"&amp; $A320,"five_year_total_return",'Database Query'!$E$14))</f>
        <v>ERR: INVALID ASSET</v>
      </c>
      <c r="Q320" s="2" t="e" cm="1">
        <f t="array" aca="1" ref="Q320" ca="1">-_xll.YCP($E320,"five_year_return",'Database Query'!$E$14)+P320</f>
        <v>#VALUE!</v>
      </c>
    </row>
    <row r="321" spans="2:17" x14ac:dyDescent="0.25">
      <c r="B321" t="str" cm="1">
        <f t="array" aca="1" ref="B321" ca="1">_xll.YCI(A321,"detailed_security_type",TODAY())</f>
        <v/>
      </c>
      <c r="C321" t="str" cm="1">
        <f t="array" aca="1" ref="C321" ca="1">_xlfn.IFS(B321="etf", _xll.YCI(A321, "security_name",TODAY()),B321&lt;&gt;"etf",_xll.YCI("M:" &amp; A321, "security_name",TODAY()))</f>
        <v>ERR: INVALID ASSET</v>
      </c>
      <c r="D321" t="str" cm="1">
        <f t="array" aca="1" ref="D321" ca="1">_xlfn.IFS($B321="etf", _xll.YCI($A321, "ycharts_benchmark_category",TODAY()),$B321&lt;&gt;"etf",_xll.YCI("M:" &amp; $A321, "ycharts_benchmark_category",TODAY()))</f>
        <v>ERR: INVALID ASSET</v>
      </c>
      <c r="E321" t="str" cm="1">
        <f t="array" aca="1" ref="E321" ca="1">_xlfn.IFS($B321="etf", _xll.YCI($A321, "ycharts_benchmark_index_symbol",TODAY()),$B321&lt;&gt;"etf",_xll.YCI("M:" &amp; $A321, "ycharts_benchmark_index_symbol",TODAY()))</f>
        <v>ERR: INVALID ASSET</v>
      </c>
      <c r="F321" t="str" cm="1">
        <f t="array" aca="1" ref="F321" ca="1">_xlfn.IFS($B321="etf", _xll.YCI($E321, "security_name",TODAY()),$B321&lt;&gt;"etf",_xll.YCI( $E321, "security_name",TODAY()))</f>
        <v>ERR: INVALID ASSET</v>
      </c>
      <c r="G321" t="str" cm="1">
        <f t="array" aca="1" ref="G321" ca="1">_xlfn.IFS($B321="etf", _xll.YCI($A321, "prospectus_benchmark_index",TODAY()),$B321&lt;&gt;"etf",_xll.YCI("M:" &amp; $A321, "prospectus_benchmark_index",TODAY()))</f>
        <v>ERR: INVALID ASSET</v>
      </c>
      <c r="H321" s="2" t="str" cm="1">
        <f t="array" aca="1" ref="H321" ca="1">_xlfn.IFS($B321="etf", _xll.YCP($A321,"quarterly_total_return",'Database Query'!$E$14),$B321&lt;&gt;"etf",_xll.YCP("M:"&amp; $A321,"quarterly_total_return",'Database Query'!$E$14))</f>
        <v>ERR: INVALID ASSET</v>
      </c>
      <c r="I321" s="2" t="e" cm="1">
        <f t="array" aca="1" ref="I321" ca="1">-_xll.YCP($E321,"quarterly_return",'Database Query'!$E$14)+H321</f>
        <v>#VALUE!</v>
      </c>
      <c r="J321" s="2" t="str" cm="1">
        <f t="array" aca="1" ref="J321" ca="1">_xlfn.IFS($B321="etf", _xll.YCP($A321,"ytd_total_return",'Database Query'!$E$14),$B321&lt;&gt;"etf",_xll.YCP("M:"&amp; $A321,"ytd_total_return",'Database Query'!$E$14))</f>
        <v>ERR: INVALID ASSET</v>
      </c>
      <c r="K321" s="2" t="e" cm="1">
        <f t="array" aca="1" ref="K321" ca="1">-_xll.YCP($E321,"ytd_return",'Database Query'!$E$14)+J321</f>
        <v>#VALUE!</v>
      </c>
      <c r="L321" s="2" t="str" cm="1">
        <f t="array" aca="1" ref="L321" ca="1">_xlfn.IFS($B321="etf", _xll.YCP($A321,"one_year_total_return",'Database Query'!$E$14),$B321&lt;&gt;"etf",_xll.YCP("M:"&amp; $A321,"one_year_total_return",'Database Query'!$E$14))</f>
        <v>ERR: INVALID ASSET</v>
      </c>
      <c r="M321" s="2" t="e" cm="1">
        <f t="array" aca="1" ref="M321" ca="1">-_xll.YCP($E321,"one_year_return",'Database Query'!$E$14)+L321</f>
        <v>#VALUE!</v>
      </c>
      <c r="N321" s="2" t="str" cm="1">
        <f t="array" aca="1" ref="N321" ca="1">_xlfn.IFS($B321="etf", _xll.YCP($A321,"three_year_total_return",'Database Query'!$E$14),$B321&lt;&gt;"etf",_xll.YCP("M:"&amp; $A321,"three_year_total_return",'Database Query'!$E$14))</f>
        <v>ERR: INVALID ASSET</v>
      </c>
      <c r="O321" s="2" t="e" cm="1">
        <f t="array" aca="1" ref="O321" ca="1">-_xll.YCP($E321,"three_year_return",'Database Query'!$E$14)+N321</f>
        <v>#VALUE!</v>
      </c>
      <c r="P321" s="2" t="str" cm="1">
        <f t="array" aca="1" ref="P321" ca="1">_xlfn.IFS($B321="etf", _xll.YCP($A321,"five_year_total_return",'Database Query'!$E$14),$B321&lt;&gt;"etf",_xll.YCP("M:"&amp; $A321,"five_year_total_return",'Database Query'!$E$14))</f>
        <v>ERR: INVALID ASSET</v>
      </c>
      <c r="Q321" s="2" t="e" cm="1">
        <f t="array" aca="1" ref="Q321" ca="1">-_xll.YCP($E321,"five_year_return",'Database Query'!$E$14)+P321</f>
        <v>#VALUE!</v>
      </c>
    </row>
    <row r="322" spans="2:17" x14ac:dyDescent="0.25">
      <c r="B322" t="str" cm="1">
        <f t="array" aca="1" ref="B322" ca="1">_xll.YCI(A322,"detailed_security_type",TODAY())</f>
        <v/>
      </c>
      <c r="C322" t="str" cm="1">
        <f t="array" aca="1" ref="C322" ca="1">_xlfn.IFS(B322="etf", _xll.YCI(A322, "security_name",TODAY()),B322&lt;&gt;"etf",_xll.YCI("M:" &amp; A322, "security_name",TODAY()))</f>
        <v>ERR: INVALID ASSET</v>
      </c>
      <c r="D322" t="str" cm="1">
        <f t="array" aca="1" ref="D322" ca="1">_xlfn.IFS($B322="etf", _xll.YCI($A322, "ycharts_benchmark_category",TODAY()),$B322&lt;&gt;"etf",_xll.YCI("M:" &amp; $A322, "ycharts_benchmark_category",TODAY()))</f>
        <v>ERR: INVALID ASSET</v>
      </c>
      <c r="E322" t="str" cm="1">
        <f t="array" aca="1" ref="E322" ca="1">_xlfn.IFS($B322="etf", _xll.YCI($A322, "ycharts_benchmark_index_symbol",TODAY()),$B322&lt;&gt;"etf",_xll.YCI("M:" &amp; $A322, "ycharts_benchmark_index_symbol",TODAY()))</f>
        <v>ERR: INVALID ASSET</v>
      </c>
      <c r="F322" t="str" cm="1">
        <f t="array" aca="1" ref="F322" ca="1">_xlfn.IFS($B322="etf", _xll.YCI($E322, "security_name",TODAY()),$B322&lt;&gt;"etf",_xll.YCI( $E322, "security_name",TODAY()))</f>
        <v>ERR: INVALID ASSET</v>
      </c>
      <c r="G322" t="str" cm="1">
        <f t="array" aca="1" ref="G322" ca="1">_xlfn.IFS($B322="etf", _xll.YCI($A322, "prospectus_benchmark_index",TODAY()),$B322&lt;&gt;"etf",_xll.YCI("M:" &amp; $A322, "prospectus_benchmark_index",TODAY()))</f>
        <v>ERR: INVALID ASSET</v>
      </c>
      <c r="H322" s="2" t="str" cm="1">
        <f t="array" aca="1" ref="H322" ca="1">_xlfn.IFS($B322="etf", _xll.YCP($A322,"quarterly_total_return",'Database Query'!$E$14),$B322&lt;&gt;"etf",_xll.YCP("M:"&amp; $A322,"quarterly_total_return",'Database Query'!$E$14))</f>
        <v>ERR: INVALID ASSET</v>
      </c>
      <c r="I322" s="2" t="e" cm="1">
        <f t="array" aca="1" ref="I322" ca="1">-_xll.YCP($E322,"quarterly_return",'Database Query'!$E$14)+H322</f>
        <v>#VALUE!</v>
      </c>
      <c r="J322" s="2" t="str" cm="1">
        <f t="array" aca="1" ref="J322" ca="1">_xlfn.IFS($B322="etf", _xll.YCP($A322,"ytd_total_return",'Database Query'!$E$14),$B322&lt;&gt;"etf",_xll.YCP("M:"&amp; $A322,"ytd_total_return",'Database Query'!$E$14))</f>
        <v>ERR: INVALID ASSET</v>
      </c>
      <c r="K322" s="2" t="e" cm="1">
        <f t="array" aca="1" ref="K322" ca="1">-_xll.YCP($E322,"ytd_return",'Database Query'!$E$14)+J322</f>
        <v>#VALUE!</v>
      </c>
      <c r="L322" s="2" t="str" cm="1">
        <f t="array" aca="1" ref="L322" ca="1">_xlfn.IFS($B322="etf", _xll.YCP($A322,"one_year_total_return",'Database Query'!$E$14),$B322&lt;&gt;"etf",_xll.YCP("M:"&amp; $A322,"one_year_total_return",'Database Query'!$E$14))</f>
        <v>ERR: INVALID ASSET</v>
      </c>
      <c r="M322" s="2" t="e" cm="1">
        <f t="array" aca="1" ref="M322" ca="1">-_xll.YCP($E322,"one_year_return",'Database Query'!$E$14)+L322</f>
        <v>#VALUE!</v>
      </c>
      <c r="N322" s="2" t="str" cm="1">
        <f t="array" aca="1" ref="N322" ca="1">_xlfn.IFS($B322="etf", _xll.YCP($A322,"three_year_total_return",'Database Query'!$E$14),$B322&lt;&gt;"etf",_xll.YCP("M:"&amp; $A322,"three_year_total_return",'Database Query'!$E$14))</f>
        <v>ERR: INVALID ASSET</v>
      </c>
      <c r="O322" s="2" t="e" cm="1">
        <f t="array" aca="1" ref="O322" ca="1">-_xll.YCP($E322,"three_year_return",'Database Query'!$E$14)+N322</f>
        <v>#VALUE!</v>
      </c>
      <c r="P322" s="2" t="str" cm="1">
        <f t="array" aca="1" ref="P322" ca="1">_xlfn.IFS($B322="etf", _xll.YCP($A322,"five_year_total_return",'Database Query'!$E$14),$B322&lt;&gt;"etf",_xll.YCP("M:"&amp; $A322,"five_year_total_return",'Database Query'!$E$14))</f>
        <v>ERR: INVALID ASSET</v>
      </c>
      <c r="Q322" s="2" t="e" cm="1">
        <f t="array" aca="1" ref="Q322" ca="1">-_xll.YCP($E322,"five_year_return",'Database Query'!$E$14)+P322</f>
        <v>#VALUE!</v>
      </c>
    </row>
    <row r="323" spans="2:17" x14ac:dyDescent="0.25">
      <c r="B323" t="str" cm="1">
        <f t="array" aca="1" ref="B323" ca="1">_xll.YCI(A323,"detailed_security_type",TODAY())</f>
        <v/>
      </c>
      <c r="C323" t="str" cm="1">
        <f t="array" aca="1" ref="C323" ca="1">_xlfn.IFS(B323="etf", _xll.YCI(A323, "security_name",TODAY()),B323&lt;&gt;"etf",_xll.YCI("M:" &amp; A323, "security_name",TODAY()))</f>
        <v>ERR: INVALID ASSET</v>
      </c>
      <c r="D323" t="str" cm="1">
        <f t="array" aca="1" ref="D323" ca="1">_xlfn.IFS($B323="etf", _xll.YCI($A323, "ycharts_benchmark_category",TODAY()),$B323&lt;&gt;"etf",_xll.YCI("M:" &amp; $A323, "ycharts_benchmark_category",TODAY()))</f>
        <v>ERR: INVALID ASSET</v>
      </c>
      <c r="E323" t="str" cm="1">
        <f t="array" aca="1" ref="E323" ca="1">_xlfn.IFS($B323="etf", _xll.YCI($A323, "ycharts_benchmark_index_symbol",TODAY()),$B323&lt;&gt;"etf",_xll.YCI("M:" &amp; $A323, "ycharts_benchmark_index_symbol",TODAY()))</f>
        <v>ERR: INVALID ASSET</v>
      </c>
      <c r="F323" t="str" cm="1">
        <f t="array" aca="1" ref="F323" ca="1">_xlfn.IFS($B323="etf", _xll.YCI($E323, "security_name",TODAY()),$B323&lt;&gt;"etf",_xll.YCI( $E323, "security_name",TODAY()))</f>
        <v>ERR: INVALID ASSET</v>
      </c>
      <c r="G323" t="str" cm="1">
        <f t="array" aca="1" ref="G323" ca="1">_xlfn.IFS($B323="etf", _xll.YCI($A323, "prospectus_benchmark_index",TODAY()),$B323&lt;&gt;"etf",_xll.YCI("M:" &amp; $A323, "prospectus_benchmark_index",TODAY()))</f>
        <v>ERR: INVALID ASSET</v>
      </c>
      <c r="H323" s="2" t="str" cm="1">
        <f t="array" aca="1" ref="H323" ca="1">_xlfn.IFS($B323="etf", _xll.YCP($A323,"quarterly_total_return",'Database Query'!$E$14),$B323&lt;&gt;"etf",_xll.YCP("M:"&amp; $A323,"quarterly_total_return",'Database Query'!$E$14))</f>
        <v>ERR: INVALID ASSET</v>
      </c>
      <c r="I323" s="2" t="e" cm="1">
        <f t="array" aca="1" ref="I323" ca="1">-_xll.YCP($E323,"quarterly_return",'Database Query'!$E$14)+H323</f>
        <v>#VALUE!</v>
      </c>
      <c r="J323" s="2" t="str" cm="1">
        <f t="array" aca="1" ref="J323" ca="1">_xlfn.IFS($B323="etf", _xll.YCP($A323,"ytd_total_return",'Database Query'!$E$14),$B323&lt;&gt;"etf",_xll.YCP("M:"&amp; $A323,"ytd_total_return",'Database Query'!$E$14))</f>
        <v>ERR: INVALID ASSET</v>
      </c>
      <c r="K323" s="2" t="e" cm="1">
        <f t="array" aca="1" ref="K323" ca="1">-_xll.YCP($E323,"ytd_return",'Database Query'!$E$14)+J323</f>
        <v>#VALUE!</v>
      </c>
      <c r="L323" s="2" t="str" cm="1">
        <f t="array" aca="1" ref="L323" ca="1">_xlfn.IFS($B323="etf", _xll.YCP($A323,"one_year_total_return",'Database Query'!$E$14),$B323&lt;&gt;"etf",_xll.YCP("M:"&amp; $A323,"one_year_total_return",'Database Query'!$E$14))</f>
        <v>ERR: INVALID ASSET</v>
      </c>
      <c r="M323" s="2" t="e" cm="1">
        <f t="array" aca="1" ref="M323" ca="1">-_xll.YCP($E323,"one_year_return",'Database Query'!$E$14)+L323</f>
        <v>#VALUE!</v>
      </c>
      <c r="N323" s="2" t="str" cm="1">
        <f t="array" aca="1" ref="N323" ca="1">_xlfn.IFS($B323="etf", _xll.YCP($A323,"three_year_total_return",'Database Query'!$E$14),$B323&lt;&gt;"etf",_xll.YCP("M:"&amp; $A323,"three_year_total_return",'Database Query'!$E$14))</f>
        <v>ERR: INVALID ASSET</v>
      </c>
      <c r="O323" s="2" t="e" cm="1">
        <f t="array" aca="1" ref="O323" ca="1">-_xll.YCP($E323,"three_year_return",'Database Query'!$E$14)+N323</f>
        <v>#VALUE!</v>
      </c>
      <c r="P323" s="2" t="str" cm="1">
        <f t="array" aca="1" ref="P323" ca="1">_xlfn.IFS($B323="etf", _xll.YCP($A323,"five_year_total_return",'Database Query'!$E$14),$B323&lt;&gt;"etf",_xll.YCP("M:"&amp; $A323,"five_year_total_return",'Database Query'!$E$14))</f>
        <v>ERR: INVALID ASSET</v>
      </c>
      <c r="Q323" s="2" t="e" cm="1">
        <f t="array" aca="1" ref="Q323" ca="1">-_xll.YCP($E323,"five_year_return",'Database Query'!$E$14)+P323</f>
        <v>#VALUE!</v>
      </c>
    </row>
    <row r="324" spans="2:17" x14ac:dyDescent="0.25">
      <c r="B324" t="str" cm="1">
        <f t="array" aca="1" ref="B324" ca="1">_xll.YCI(A324,"detailed_security_type",TODAY())</f>
        <v/>
      </c>
      <c r="C324" t="str" cm="1">
        <f t="array" aca="1" ref="C324" ca="1">_xlfn.IFS(B324="etf", _xll.YCI(A324, "security_name",TODAY()),B324&lt;&gt;"etf",_xll.YCI("M:" &amp; A324, "security_name",TODAY()))</f>
        <v>ERR: INVALID ASSET</v>
      </c>
      <c r="D324" t="str" cm="1">
        <f t="array" aca="1" ref="D324" ca="1">_xlfn.IFS($B324="etf", _xll.YCI($A324, "ycharts_benchmark_category",TODAY()),$B324&lt;&gt;"etf",_xll.YCI("M:" &amp; $A324, "ycharts_benchmark_category",TODAY()))</f>
        <v>ERR: INVALID ASSET</v>
      </c>
      <c r="E324" t="str" cm="1">
        <f t="array" aca="1" ref="E324" ca="1">_xlfn.IFS($B324="etf", _xll.YCI($A324, "ycharts_benchmark_index_symbol",TODAY()),$B324&lt;&gt;"etf",_xll.YCI("M:" &amp; $A324, "ycharts_benchmark_index_symbol",TODAY()))</f>
        <v>ERR: INVALID ASSET</v>
      </c>
      <c r="F324" t="str" cm="1">
        <f t="array" aca="1" ref="F324" ca="1">_xlfn.IFS($B324="etf", _xll.YCI($E324, "security_name",TODAY()),$B324&lt;&gt;"etf",_xll.YCI( $E324, "security_name",TODAY()))</f>
        <v>ERR: INVALID ASSET</v>
      </c>
      <c r="G324" t="str" cm="1">
        <f t="array" aca="1" ref="G324" ca="1">_xlfn.IFS($B324="etf", _xll.YCI($A324, "prospectus_benchmark_index",TODAY()),$B324&lt;&gt;"etf",_xll.YCI("M:" &amp; $A324, "prospectus_benchmark_index",TODAY()))</f>
        <v>ERR: INVALID ASSET</v>
      </c>
      <c r="H324" s="2" t="str" cm="1">
        <f t="array" aca="1" ref="H324" ca="1">_xlfn.IFS($B324="etf", _xll.YCP($A324,"quarterly_total_return",'Database Query'!$E$14),$B324&lt;&gt;"etf",_xll.YCP("M:"&amp; $A324,"quarterly_total_return",'Database Query'!$E$14))</f>
        <v>ERR: INVALID ASSET</v>
      </c>
      <c r="I324" s="2" t="e" cm="1">
        <f t="array" aca="1" ref="I324" ca="1">-_xll.YCP($E324,"quarterly_return",'Database Query'!$E$14)+H324</f>
        <v>#VALUE!</v>
      </c>
      <c r="J324" s="2" t="str" cm="1">
        <f t="array" aca="1" ref="J324" ca="1">_xlfn.IFS($B324="etf", _xll.YCP($A324,"ytd_total_return",'Database Query'!$E$14),$B324&lt;&gt;"etf",_xll.YCP("M:"&amp; $A324,"ytd_total_return",'Database Query'!$E$14))</f>
        <v>ERR: INVALID ASSET</v>
      </c>
      <c r="K324" s="2" t="e" cm="1">
        <f t="array" aca="1" ref="K324" ca="1">-_xll.YCP($E324,"ytd_return",'Database Query'!$E$14)+J324</f>
        <v>#VALUE!</v>
      </c>
      <c r="L324" s="2" t="str" cm="1">
        <f t="array" aca="1" ref="L324" ca="1">_xlfn.IFS($B324="etf", _xll.YCP($A324,"one_year_total_return",'Database Query'!$E$14),$B324&lt;&gt;"etf",_xll.YCP("M:"&amp; $A324,"one_year_total_return",'Database Query'!$E$14))</f>
        <v>ERR: INVALID ASSET</v>
      </c>
      <c r="M324" s="2" t="e" cm="1">
        <f t="array" aca="1" ref="M324" ca="1">-_xll.YCP($E324,"one_year_return",'Database Query'!$E$14)+L324</f>
        <v>#VALUE!</v>
      </c>
      <c r="N324" s="2" t="str" cm="1">
        <f t="array" aca="1" ref="N324" ca="1">_xlfn.IFS($B324="etf", _xll.YCP($A324,"three_year_total_return",'Database Query'!$E$14),$B324&lt;&gt;"etf",_xll.YCP("M:"&amp; $A324,"three_year_total_return",'Database Query'!$E$14))</f>
        <v>ERR: INVALID ASSET</v>
      </c>
      <c r="O324" s="2" t="e" cm="1">
        <f t="array" aca="1" ref="O324" ca="1">-_xll.YCP($E324,"three_year_return",'Database Query'!$E$14)+N324</f>
        <v>#VALUE!</v>
      </c>
      <c r="P324" s="2" t="str" cm="1">
        <f t="array" aca="1" ref="P324" ca="1">_xlfn.IFS($B324="etf", _xll.YCP($A324,"five_year_total_return",'Database Query'!$E$14),$B324&lt;&gt;"etf",_xll.YCP("M:"&amp; $A324,"five_year_total_return",'Database Query'!$E$14))</f>
        <v>ERR: INVALID ASSET</v>
      </c>
      <c r="Q324" s="2" t="e" cm="1">
        <f t="array" aca="1" ref="Q324" ca="1">-_xll.YCP($E324,"five_year_return",'Database Query'!$E$14)+P324</f>
        <v>#VALUE!</v>
      </c>
    </row>
    <row r="325" spans="2:17" x14ac:dyDescent="0.25">
      <c r="B325" t="str" cm="1">
        <f t="array" aca="1" ref="B325" ca="1">_xll.YCI(A325,"detailed_security_type",TODAY())</f>
        <v/>
      </c>
      <c r="C325" t="str" cm="1">
        <f t="array" aca="1" ref="C325" ca="1">_xlfn.IFS(B325="etf", _xll.YCI(A325, "security_name",TODAY()),B325&lt;&gt;"etf",_xll.YCI("M:" &amp; A325, "security_name",TODAY()))</f>
        <v>ERR: INVALID ASSET</v>
      </c>
      <c r="D325" t="str" cm="1">
        <f t="array" aca="1" ref="D325" ca="1">_xlfn.IFS($B325="etf", _xll.YCI($A325, "ycharts_benchmark_category",TODAY()),$B325&lt;&gt;"etf",_xll.YCI("M:" &amp; $A325, "ycharts_benchmark_category",TODAY()))</f>
        <v>ERR: INVALID ASSET</v>
      </c>
      <c r="E325" t="str" cm="1">
        <f t="array" aca="1" ref="E325" ca="1">_xlfn.IFS($B325="etf", _xll.YCI($A325, "ycharts_benchmark_index_symbol",TODAY()),$B325&lt;&gt;"etf",_xll.YCI("M:" &amp; $A325, "ycharts_benchmark_index_symbol",TODAY()))</f>
        <v>ERR: INVALID ASSET</v>
      </c>
      <c r="F325" t="str" cm="1">
        <f t="array" aca="1" ref="F325" ca="1">_xlfn.IFS($B325="etf", _xll.YCI($E325, "security_name",TODAY()),$B325&lt;&gt;"etf",_xll.YCI( $E325, "security_name",TODAY()))</f>
        <v>ERR: INVALID ASSET</v>
      </c>
      <c r="G325" t="str" cm="1">
        <f t="array" aca="1" ref="G325" ca="1">_xlfn.IFS($B325="etf", _xll.YCI($A325, "prospectus_benchmark_index",TODAY()),$B325&lt;&gt;"etf",_xll.YCI("M:" &amp; $A325, "prospectus_benchmark_index",TODAY()))</f>
        <v>ERR: INVALID ASSET</v>
      </c>
      <c r="H325" s="2" t="str" cm="1">
        <f t="array" aca="1" ref="H325" ca="1">_xlfn.IFS($B325="etf", _xll.YCP($A325,"quarterly_total_return",'Database Query'!$E$14),$B325&lt;&gt;"etf",_xll.YCP("M:"&amp; $A325,"quarterly_total_return",'Database Query'!$E$14))</f>
        <v>ERR: INVALID ASSET</v>
      </c>
      <c r="I325" s="2" t="e" cm="1">
        <f t="array" aca="1" ref="I325" ca="1">-_xll.YCP($E325,"quarterly_return",'Database Query'!$E$14)+H325</f>
        <v>#VALUE!</v>
      </c>
      <c r="J325" s="2" t="str" cm="1">
        <f t="array" aca="1" ref="J325" ca="1">_xlfn.IFS($B325="etf", _xll.YCP($A325,"ytd_total_return",'Database Query'!$E$14),$B325&lt;&gt;"etf",_xll.YCP("M:"&amp; $A325,"ytd_total_return",'Database Query'!$E$14))</f>
        <v>ERR: INVALID ASSET</v>
      </c>
      <c r="K325" s="2" t="e" cm="1">
        <f t="array" aca="1" ref="K325" ca="1">-_xll.YCP($E325,"ytd_return",'Database Query'!$E$14)+J325</f>
        <v>#VALUE!</v>
      </c>
      <c r="L325" s="2" t="str" cm="1">
        <f t="array" aca="1" ref="L325" ca="1">_xlfn.IFS($B325="etf", _xll.YCP($A325,"one_year_total_return",'Database Query'!$E$14),$B325&lt;&gt;"etf",_xll.YCP("M:"&amp; $A325,"one_year_total_return",'Database Query'!$E$14))</f>
        <v>ERR: INVALID ASSET</v>
      </c>
      <c r="M325" s="2" t="e" cm="1">
        <f t="array" aca="1" ref="M325" ca="1">-_xll.YCP($E325,"one_year_return",'Database Query'!$E$14)+L325</f>
        <v>#VALUE!</v>
      </c>
      <c r="N325" s="2" t="str" cm="1">
        <f t="array" aca="1" ref="N325" ca="1">_xlfn.IFS($B325="etf", _xll.YCP($A325,"three_year_total_return",'Database Query'!$E$14),$B325&lt;&gt;"etf",_xll.YCP("M:"&amp; $A325,"three_year_total_return",'Database Query'!$E$14))</f>
        <v>ERR: INVALID ASSET</v>
      </c>
      <c r="O325" s="2" t="e" cm="1">
        <f t="array" aca="1" ref="O325" ca="1">-_xll.YCP($E325,"three_year_return",'Database Query'!$E$14)+N325</f>
        <v>#VALUE!</v>
      </c>
      <c r="P325" s="2" t="str" cm="1">
        <f t="array" aca="1" ref="P325" ca="1">_xlfn.IFS($B325="etf", _xll.YCP($A325,"five_year_total_return",'Database Query'!$E$14),$B325&lt;&gt;"etf",_xll.YCP("M:"&amp; $A325,"five_year_total_return",'Database Query'!$E$14))</f>
        <v>ERR: INVALID ASSET</v>
      </c>
      <c r="Q325" s="2" t="e" cm="1">
        <f t="array" aca="1" ref="Q325" ca="1">-_xll.YCP($E325,"five_year_return",'Database Query'!$E$14)+P325</f>
        <v>#VALUE!</v>
      </c>
    </row>
    <row r="326" spans="2:17" x14ac:dyDescent="0.25">
      <c r="B326" t="str" cm="1">
        <f t="array" aca="1" ref="B326" ca="1">_xll.YCI(A326,"detailed_security_type",TODAY())</f>
        <v/>
      </c>
      <c r="C326" t="str" cm="1">
        <f t="array" aca="1" ref="C326" ca="1">_xlfn.IFS(B326="etf", _xll.YCI(A326, "security_name",TODAY()),B326&lt;&gt;"etf",_xll.YCI("M:" &amp; A326, "security_name",TODAY()))</f>
        <v>ERR: INVALID ASSET</v>
      </c>
      <c r="D326" t="str" cm="1">
        <f t="array" aca="1" ref="D326" ca="1">_xlfn.IFS($B326="etf", _xll.YCI($A326, "ycharts_benchmark_category",TODAY()),$B326&lt;&gt;"etf",_xll.YCI("M:" &amp; $A326, "ycharts_benchmark_category",TODAY()))</f>
        <v>ERR: INVALID ASSET</v>
      </c>
      <c r="E326" t="str" cm="1">
        <f t="array" aca="1" ref="E326" ca="1">_xlfn.IFS($B326="etf", _xll.YCI($A326, "ycharts_benchmark_index_symbol",TODAY()),$B326&lt;&gt;"etf",_xll.YCI("M:" &amp; $A326, "ycharts_benchmark_index_symbol",TODAY()))</f>
        <v>ERR: INVALID ASSET</v>
      </c>
      <c r="F326" t="str" cm="1">
        <f t="array" aca="1" ref="F326" ca="1">_xlfn.IFS($B326="etf", _xll.YCI($E326, "security_name",TODAY()),$B326&lt;&gt;"etf",_xll.YCI( $E326, "security_name",TODAY()))</f>
        <v>ERR: INVALID ASSET</v>
      </c>
      <c r="G326" t="str" cm="1">
        <f t="array" aca="1" ref="G326" ca="1">_xlfn.IFS($B326="etf", _xll.YCI($A326, "prospectus_benchmark_index",TODAY()),$B326&lt;&gt;"etf",_xll.YCI("M:" &amp; $A326, "prospectus_benchmark_index",TODAY()))</f>
        <v>ERR: INVALID ASSET</v>
      </c>
      <c r="H326" s="2" t="str" cm="1">
        <f t="array" aca="1" ref="H326" ca="1">_xlfn.IFS($B326="etf", _xll.YCP($A326,"quarterly_total_return",'Database Query'!$E$14),$B326&lt;&gt;"etf",_xll.YCP("M:"&amp; $A326,"quarterly_total_return",'Database Query'!$E$14))</f>
        <v>ERR: INVALID ASSET</v>
      </c>
      <c r="I326" s="2" t="e" cm="1">
        <f t="array" aca="1" ref="I326" ca="1">-_xll.YCP($E326,"quarterly_return",'Database Query'!$E$14)+H326</f>
        <v>#VALUE!</v>
      </c>
      <c r="J326" s="2" t="str" cm="1">
        <f t="array" aca="1" ref="J326" ca="1">_xlfn.IFS($B326="etf", _xll.YCP($A326,"ytd_total_return",'Database Query'!$E$14),$B326&lt;&gt;"etf",_xll.YCP("M:"&amp; $A326,"ytd_total_return",'Database Query'!$E$14))</f>
        <v>ERR: INVALID ASSET</v>
      </c>
      <c r="K326" s="2" t="e" cm="1">
        <f t="array" aca="1" ref="K326" ca="1">-_xll.YCP($E326,"ytd_return",'Database Query'!$E$14)+J326</f>
        <v>#VALUE!</v>
      </c>
      <c r="L326" s="2" t="str" cm="1">
        <f t="array" aca="1" ref="L326" ca="1">_xlfn.IFS($B326="etf", _xll.YCP($A326,"one_year_total_return",'Database Query'!$E$14),$B326&lt;&gt;"etf",_xll.YCP("M:"&amp; $A326,"one_year_total_return",'Database Query'!$E$14))</f>
        <v>ERR: INVALID ASSET</v>
      </c>
      <c r="M326" s="2" t="e" cm="1">
        <f t="array" aca="1" ref="M326" ca="1">-_xll.YCP($E326,"one_year_return",'Database Query'!$E$14)+L326</f>
        <v>#VALUE!</v>
      </c>
      <c r="N326" s="2" t="str" cm="1">
        <f t="array" aca="1" ref="N326" ca="1">_xlfn.IFS($B326="etf", _xll.YCP($A326,"three_year_total_return",'Database Query'!$E$14),$B326&lt;&gt;"etf",_xll.YCP("M:"&amp; $A326,"three_year_total_return",'Database Query'!$E$14))</f>
        <v>ERR: INVALID ASSET</v>
      </c>
      <c r="O326" s="2" t="e" cm="1">
        <f t="array" aca="1" ref="O326" ca="1">-_xll.YCP($E326,"three_year_return",'Database Query'!$E$14)+N326</f>
        <v>#VALUE!</v>
      </c>
      <c r="P326" s="2" t="str" cm="1">
        <f t="array" aca="1" ref="P326" ca="1">_xlfn.IFS($B326="etf", _xll.YCP($A326,"five_year_total_return",'Database Query'!$E$14),$B326&lt;&gt;"etf",_xll.YCP("M:"&amp; $A326,"five_year_total_return",'Database Query'!$E$14))</f>
        <v>ERR: INVALID ASSET</v>
      </c>
      <c r="Q326" s="2" t="e" cm="1">
        <f t="array" aca="1" ref="Q326" ca="1">-_xll.YCP($E326,"five_year_return",'Database Query'!$E$14)+P326</f>
        <v>#VALUE!</v>
      </c>
    </row>
    <row r="327" spans="2:17" x14ac:dyDescent="0.25">
      <c r="B327" t="str" cm="1">
        <f t="array" aca="1" ref="B327" ca="1">_xll.YCI(A327,"detailed_security_type",TODAY())</f>
        <v/>
      </c>
      <c r="C327" t="str" cm="1">
        <f t="array" aca="1" ref="C327" ca="1">_xlfn.IFS(B327="etf", _xll.YCI(A327, "security_name",TODAY()),B327&lt;&gt;"etf",_xll.YCI("M:" &amp; A327, "security_name",TODAY()))</f>
        <v>ERR: INVALID ASSET</v>
      </c>
      <c r="D327" t="str" cm="1">
        <f t="array" aca="1" ref="D327" ca="1">_xlfn.IFS($B327="etf", _xll.YCI($A327, "ycharts_benchmark_category",TODAY()),$B327&lt;&gt;"etf",_xll.YCI("M:" &amp; $A327, "ycharts_benchmark_category",TODAY()))</f>
        <v>ERR: INVALID ASSET</v>
      </c>
      <c r="E327" t="str" cm="1">
        <f t="array" aca="1" ref="E327" ca="1">_xlfn.IFS($B327="etf", _xll.YCI($A327, "ycharts_benchmark_index_symbol",TODAY()),$B327&lt;&gt;"etf",_xll.YCI("M:" &amp; $A327, "ycharts_benchmark_index_symbol",TODAY()))</f>
        <v>ERR: INVALID ASSET</v>
      </c>
      <c r="F327" t="str" cm="1">
        <f t="array" aca="1" ref="F327" ca="1">_xlfn.IFS($B327="etf", _xll.YCI($E327, "security_name",TODAY()),$B327&lt;&gt;"etf",_xll.YCI( $E327, "security_name",TODAY()))</f>
        <v>ERR: INVALID ASSET</v>
      </c>
      <c r="G327" t="str" cm="1">
        <f t="array" aca="1" ref="G327" ca="1">_xlfn.IFS($B327="etf", _xll.YCI($A327, "prospectus_benchmark_index",TODAY()),$B327&lt;&gt;"etf",_xll.YCI("M:" &amp; $A327, "prospectus_benchmark_index",TODAY()))</f>
        <v>ERR: INVALID ASSET</v>
      </c>
      <c r="H327" s="2" t="str" cm="1">
        <f t="array" aca="1" ref="H327" ca="1">_xlfn.IFS($B327="etf", _xll.YCP($A327,"quarterly_total_return",'Database Query'!$E$14),$B327&lt;&gt;"etf",_xll.YCP("M:"&amp; $A327,"quarterly_total_return",'Database Query'!$E$14))</f>
        <v>ERR: INVALID ASSET</v>
      </c>
      <c r="I327" s="2" t="e" cm="1">
        <f t="array" aca="1" ref="I327" ca="1">-_xll.YCP($E327,"quarterly_return",'Database Query'!$E$14)+H327</f>
        <v>#VALUE!</v>
      </c>
      <c r="J327" s="2" t="str" cm="1">
        <f t="array" aca="1" ref="J327" ca="1">_xlfn.IFS($B327="etf", _xll.YCP($A327,"ytd_total_return",'Database Query'!$E$14),$B327&lt;&gt;"etf",_xll.YCP("M:"&amp; $A327,"ytd_total_return",'Database Query'!$E$14))</f>
        <v>ERR: INVALID ASSET</v>
      </c>
      <c r="K327" s="2" t="e" cm="1">
        <f t="array" aca="1" ref="K327" ca="1">-_xll.YCP($E327,"ytd_return",'Database Query'!$E$14)+J327</f>
        <v>#VALUE!</v>
      </c>
      <c r="L327" s="2" t="str" cm="1">
        <f t="array" aca="1" ref="L327" ca="1">_xlfn.IFS($B327="etf", _xll.YCP($A327,"one_year_total_return",'Database Query'!$E$14),$B327&lt;&gt;"etf",_xll.YCP("M:"&amp; $A327,"one_year_total_return",'Database Query'!$E$14))</f>
        <v>ERR: INVALID ASSET</v>
      </c>
      <c r="M327" s="2" t="e" cm="1">
        <f t="array" aca="1" ref="M327" ca="1">-_xll.YCP($E327,"one_year_return",'Database Query'!$E$14)+L327</f>
        <v>#VALUE!</v>
      </c>
      <c r="N327" s="2" t="str" cm="1">
        <f t="array" aca="1" ref="N327" ca="1">_xlfn.IFS($B327="etf", _xll.YCP($A327,"three_year_total_return",'Database Query'!$E$14),$B327&lt;&gt;"etf",_xll.YCP("M:"&amp; $A327,"three_year_total_return",'Database Query'!$E$14))</f>
        <v>ERR: INVALID ASSET</v>
      </c>
      <c r="O327" s="2" t="e" cm="1">
        <f t="array" aca="1" ref="O327" ca="1">-_xll.YCP($E327,"three_year_return",'Database Query'!$E$14)+N327</f>
        <v>#VALUE!</v>
      </c>
      <c r="P327" s="2" t="str" cm="1">
        <f t="array" aca="1" ref="P327" ca="1">_xlfn.IFS($B327="etf", _xll.YCP($A327,"five_year_total_return",'Database Query'!$E$14),$B327&lt;&gt;"etf",_xll.YCP("M:"&amp; $A327,"five_year_total_return",'Database Query'!$E$14))</f>
        <v>ERR: INVALID ASSET</v>
      </c>
      <c r="Q327" s="2" t="e" cm="1">
        <f t="array" aca="1" ref="Q327" ca="1">-_xll.YCP($E327,"five_year_return",'Database Query'!$E$14)+P327</f>
        <v>#VALUE!</v>
      </c>
    </row>
    <row r="328" spans="2:17" x14ac:dyDescent="0.25">
      <c r="B328" t="str" cm="1">
        <f t="array" aca="1" ref="B328" ca="1">_xll.YCI(A328,"detailed_security_type",TODAY())</f>
        <v/>
      </c>
      <c r="C328" t="str" cm="1">
        <f t="array" aca="1" ref="C328" ca="1">_xlfn.IFS(B328="etf", _xll.YCI(A328, "security_name",TODAY()),B328&lt;&gt;"etf",_xll.YCI("M:" &amp; A328, "security_name",TODAY()))</f>
        <v>ERR: INVALID ASSET</v>
      </c>
      <c r="D328" t="str" cm="1">
        <f t="array" aca="1" ref="D328" ca="1">_xlfn.IFS($B328="etf", _xll.YCI($A328, "ycharts_benchmark_category",TODAY()),$B328&lt;&gt;"etf",_xll.YCI("M:" &amp; $A328, "ycharts_benchmark_category",TODAY()))</f>
        <v>ERR: INVALID ASSET</v>
      </c>
      <c r="E328" t="str" cm="1">
        <f t="array" aca="1" ref="E328" ca="1">_xlfn.IFS($B328="etf", _xll.YCI($A328, "ycharts_benchmark_index_symbol",TODAY()),$B328&lt;&gt;"etf",_xll.YCI("M:" &amp; $A328, "ycharts_benchmark_index_symbol",TODAY()))</f>
        <v>ERR: INVALID ASSET</v>
      </c>
      <c r="F328" t="str" cm="1">
        <f t="array" aca="1" ref="F328" ca="1">_xlfn.IFS($B328="etf", _xll.YCI($E328, "security_name",TODAY()),$B328&lt;&gt;"etf",_xll.YCI( $E328, "security_name",TODAY()))</f>
        <v>ERR: INVALID ASSET</v>
      </c>
      <c r="G328" t="str" cm="1">
        <f t="array" aca="1" ref="G328" ca="1">_xlfn.IFS($B328="etf", _xll.YCI($A328, "prospectus_benchmark_index",TODAY()),$B328&lt;&gt;"etf",_xll.YCI("M:" &amp; $A328, "prospectus_benchmark_index",TODAY()))</f>
        <v>ERR: INVALID ASSET</v>
      </c>
      <c r="H328" s="2" t="str" cm="1">
        <f t="array" aca="1" ref="H328" ca="1">_xlfn.IFS($B328="etf", _xll.YCP($A328,"quarterly_total_return",'Database Query'!$E$14),$B328&lt;&gt;"etf",_xll.YCP("M:"&amp; $A328,"quarterly_total_return",'Database Query'!$E$14))</f>
        <v>ERR: INVALID ASSET</v>
      </c>
      <c r="I328" s="2" t="e" cm="1">
        <f t="array" aca="1" ref="I328" ca="1">-_xll.YCP($E328,"quarterly_return",'Database Query'!$E$14)+H328</f>
        <v>#VALUE!</v>
      </c>
      <c r="J328" s="2" t="str" cm="1">
        <f t="array" aca="1" ref="J328" ca="1">_xlfn.IFS($B328="etf", _xll.YCP($A328,"ytd_total_return",'Database Query'!$E$14),$B328&lt;&gt;"etf",_xll.YCP("M:"&amp; $A328,"ytd_total_return",'Database Query'!$E$14))</f>
        <v>ERR: INVALID ASSET</v>
      </c>
      <c r="K328" s="2" t="e" cm="1">
        <f t="array" aca="1" ref="K328" ca="1">-_xll.YCP($E328,"ytd_return",'Database Query'!$E$14)+J328</f>
        <v>#VALUE!</v>
      </c>
      <c r="L328" s="2" t="str" cm="1">
        <f t="array" aca="1" ref="L328" ca="1">_xlfn.IFS($B328="etf", _xll.YCP($A328,"one_year_total_return",'Database Query'!$E$14),$B328&lt;&gt;"etf",_xll.YCP("M:"&amp; $A328,"one_year_total_return",'Database Query'!$E$14))</f>
        <v>ERR: INVALID ASSET</v>
      </c>
      <c r="M328" s="2" t="e" cm="1">
        <f t="array" aca="1" ref="M328" ca="1">-_xll.YCP($E328,"one_year_return",'Database Query'!$E$14)+L328</f>
        <v>#VALUE!</v>
      </c>
      <c r="N328" s="2" t="str" cm="1">
        <f t="array" aca="1" ref="N328" ca="1">_xlfn.IFS($B328="etf", _xll.YCP($A328,"three_year_total_return",'Database Query'!$E$14),$B328&lt;&gt;"etf",_xll.YCP("M:"&amp; $A328,"three_year_total_return",'Database Query'!$E$14))</f>
        <v>ERR: INVALID ASSET</v>
      </c>
      <c r="O328" s="2" t="e" cm="1">
        <f t="array" aca="1" ref="O328" ca="1">-_xll.YCP($E328,"three_year_return",'Database Query'!$E$14)+N328</f>
        <v>#VALUE!</v>
      </c>
      <c r="P328" s="2" t="str" cm="1">
        <f t="array" aca="1" ref="P328" ca="1">_xlfn.IFS($B328="etf", _xll.YCP($A328,"five_year_total_return",'Database Query'!$E$14),$B328&lt;&gt;"etf",_xll.YCP("M:"&amp; $A328,"five_year_total_return",'Database Query'!$E$14))</f>
        <v>ERR: INVALID ASSET</v>
      </c>
      <c r="Q328" s="2" t="e" cm="1">
        <f t="array" aca="1" ref="Q328" ca="1">-_xll.YCP($E328,"five_year_return",'Database Query'!$E$14)+P328</f>
        <v>#VALUE!</v>
      </c>
    </row>
    <row r="329" spans="2:17" x14ac:dyDescent="0.25">
      <c r="B329" t="str" cm="1">
        <f t="array" aca="1" ref="B329" ca="1">_xll.YCI(A329,"detailed_security_type",TODAY())</f>
        <v/>
      </c>
      <c r="C329" t="str" cm="1">
        <f t="array" aca="1" ref="C329" ca="1">_xlfn.IFS(B329="etf", _xll.YCI(A329, "security_name",TODAY()),B329&lt;&gt;"etf",_xll.YCI("M:" &amp; A329, "security_name",TODAY()))</f>
        <v>ERR: INVALID ASSET</v>
      </c>
      <c r="D329" t="str" cm="1">
        <f t="array" aca="1" ref="D329" ca="1">_xlfn.IFS($B329="etf", _xll.YCI($A329, "ycharts_benchmark_category",TODAY()),$B329&lt;&gt;"etf",_xll.YCI("M:" &amp; $A329, "ycharts_benchmark_category",TODAY()))</f>
        <v>ERR: INVALID ASSET</v>
      </c>
      <c r="E329" t="str" cm="1">
        <f t="array" aca="1" ref="E329" ca="1">_xlfn.IFS($B329="etf", _xll.YCI($A329, "ycharts_benchmark_index_symbol",TODAY()),$B329&lt;&gt;"etf",_xll.YCI("M:" &amp; $A329, "ycharts_benchmark_index_symbol",TODAY()))</f>
        <v>ERR: INVALID ASSET</v>
      </c>
      <c r="F329" t="str" cm="1">
        <f t="array" aca="1" ref="F329" ca="1">_xlfn.IFS($B329="etf", _xll.YCI($E329, "security_name",TODAY()),$B329&lt;&gt;"etf",_xll.YCI( $E329, "security_name",TODAY()))</f>
        <v>ERR: INVALID ASSET</v>
      </c>
      <c r="G329" t="str" cm="1">
        <f t="array" aca="1" ref="G329" ca="1">_xlfn.IFS($B329="etf", _xll.YCI($A329, "prospectus_benchmark_index",TODAY()),$B329&lt;&gt;"etf",_xll.YCI("M:" &amp; $A329, "prospectus_benchmark_index",TODAY()))</f>
        <v>ERR: INVALID ASSET</v>
      </c>
      <c r="H329" s="2" t="str" cm="1">
        <f t="array" aca="1" ref="H329" ca="1">_xlfn.IFS($B329="etf", _xll.YCP($A329,"quarterly_total_return",'Database Query'!$E$14),$B329&lt;&gt;"etf",_xll.YCP("M:"&amp; $A329,"quarterly_total_return",'Database Query'!$E$14))</f>
        <v>ERR: INVALID ASSET</v>
      </c>
      <c r="I329" s="2" t="e" cm="1">
        <f t="array" aca="1" ref="I329" ca="1">-_xll.YCP($E329,"quarterly_return",'Database Query'!$E$14)+H329</f>
        <v>#VALUE!</v>
      </c>
      <c r="J329" s="2" t="str" cm="1">
        <f t="array" aca="1" ref="J329" ca="1">_xlfn.IFS($B329="etf", _xll.YCP($A329,"ytd_total_return",'Database Query'!$E$14),$B329&lt;&gt;"etf",_xll.YCP("M:"&amp; $A329,"ytd_total_return",'Database Query'!$E$14))</f>
        <v>ERR: INVALID ASSET</v>
      </c>
      <c r="K329" s="2" t="e" cm="1">
        <f t="array" aca="1" ref="K329" ca="1">-_xll.YCP($E329,"ytd_return",'Database Query'!$E$14)+J329</f>
        <v>#VALUE!</v>
      </c>
      <c r="L329" s="2" t="str" cm="1">
        <f t="array" aca="1" ref="L329" ca="1">_xlfn.IFS($B329="etf", _xll.YCP($A329,"one_year_total_return",'Database Query'!$E$14),$B329&lt;&gt;"etf",_xll.YCP("M:"&amp; $A329,"one_year_total_return",'Database Query'!$E$14))</f>
        <v>ERR: INVALID ASSET</v>
      </c>
      <c r="M329" s="2" t="e" cm="1">
        <f t="array" aca="1" ref="M329" ca="1">-_xll.YCP($E329,"one_year_return",'Database Query'!$E$14)+L329</f>
        <v>#VALUE!</v>
      </c>
      <c r="N329" s="2" t="str" cm="1">
        <f t="array" aca="1" ref="N329" ca="1">_xlfn.IFS($B329="etf", _xll.YCP($A329,"three_year_total_return",'Database Query'!$E$14),$B329&lt;&gt;"etf",_xll.YCP("M:"&amp; $A329,"three_year_total_return",'Database Query'!$E$14))</f>
        <v>ERR: INVALID ASSET</v>
      </c>
      <c r="O329" s="2" t="e" cm="1">
        <f t="array" aca="1" ref="O329" ca="1">-_xll.YCP($E329,"three_year_return",'Database Query'!$E$14)+N329</f>
        <v>#VALUE!</v>
      </c>
      <c r="P329" s="2" t="str" cm="1">
        <f t="array" aca="1" ref="P329" ca="1">_xlfn.IFS($B329="etf", _xll.YCP($A329,"five_year_total_return",'Database Query'!$E$14),$B329&lt;&gt;"etf",_xll.YCP("M:"&amp; $A329,"five_year_total_return",'Database Query'!$E$14))</f>
        <v>ERR: INVALID ASSET</v>
      </c>
      <c r="Q329" s="2" t="e" cm="1">
        <f t="array" aca="1" ref="Q329" ca="1">-_xll.YCP($E329,"five_year_return",'Database Query'!$E$14)+P329</f>
        <v>#VALUE!</v>
      </c>
    </row>
    <row r="330" spans="2:17" x14ac:dyDescent="0.25">
      <c r="B330" t="str" cm="1">
        <f t="array" aca="1" ref="B330" ca="1">_xll.YCI(A330,"detailed_security_type",TODAY())</f>
        <v/>
      </c>
      <c r="C330" t="str" cm="1">
        <f t="array" aca="1" ref="C330" ca="1">_xlfn.IFS(B330="etf", _xll.YCI(A330, "security_name",TODAY()),B330&lt;&gt;"etf",_xll.YCI("M:" &amp; A330, "security_name",TODAY()))</f>
        <v>ERR: INVALID ASSET</v>
      </c>
      <c r="D330" t="str" cm="1">
        <f t="array" aca="1" ref="D330" ca="1">_xlfn.IFS($B330="etf", _xll.YCI($A330, "ycharts_benchmark_category",TODAY()),$B330&lt;&gt;"etf",_xll.YCI("M:" &amp; $A330, "ycharts_benchmark_category",TODAY()))</f>
        <v>ERR: INVALID ASSET</v>
      </c>
      <c r="E330" t="str" cm="1">
        <f t="array" aca="1" ref="E330" ca="1">_xlfn.IFS($B330="etf", _xll.YCI($A330, "ycharts_benchmark_index_symbol",TODAY()),$B330&lt;&gt;"etf",_xll.YCI("M:" &amp; $A330, "ycharts_benchmark_index_symbol",TODAY()))</f>
        <v>ERR: INVALID ASSET</v>
      </c>
      <c r="F330" t="str" cm="1">
        <f t="array" aca="1" ref="F330" ca="1">_xlfn.IFS($B330="etf", _xll.YCI($E330, "security_name",TODAY()),$B330&lt;&gt;"etf",_xll.YCI( $E330, "security_name",TODAY()))</f>
        <v>ERR: INVALID ASSET</v>
      </c>
      <c r="G330" t="str" cm="1">
        <f t="array" aca="1" ref="G330" ca="1">_xlfn.IFS($B330="etf", _xll.YCI($A330, "prospectus_benchmark_index",TODAY()),$B330&lt;&gt;"etf",_xll.YCI("M:" &amp; $A330, "prospectus_benchmark_index",TODAY()))</f>
        <v>ERR: INVALID ASSET</v>
      </c>
      <c r="H330" s="2" t="str" cm="1">
        <f t="array" aca="1" ref="H330" ca="1">_xlfn.IFS($B330="etf", _xll.YCP($A330,"quarterly_total_return",'Database Query'!$E$14),$B330&lt;&gt;"etf",_xll.YCP("M:"&amp; $A330,"quarterly_total_return",'Database Query'!$E$14))</f>
        <v>ERR: INVALID ASSET</v>
      </c>
      <c r="I330" s="2" t="e" cm="1">
        <f t="array" aca="1" ref="I330" ca="1">-_xll.YCP($E330,"quarterly_return",'Database Query'!$E$14)+H330</f>
        <v>#VALUE!</v>
      </c>
      <c r="J330" s="2" t="str" cm="1">
        <f t="array" aca="1" ref="J330" ca="1">_xlfn.IFS($B330="etf", _xll.YCP($A330,"ytd_total_return",'Database Query'!$E$14),$B330&lt;&gt;"etf",_xll.YCP("M:"&amp; $A330,"ytd_total_return",'Database Query'!$E$14))</f>
        <v>ERR: INVALID ASSET</v>
      </c>
      <c r="K330" s="2" t="e" cm="1">
        <f t="array" aca="1" ref="K330" ca="1">-_xll.YCP($E330,"ytd_return",'Database Query'!$E$14)+J330</f>
        <v>#VALUE!</v>
      </c>
      <c r="L330" s="2" t="str" cm="1">
        <f t="array" aca="1" ref="L330" ca="1">_xlfn.IFS($B330="etf", _xll.YCP($A330,"one_year_total_return",'Database Query'!$E$14),$B330&lt;&gt;"etf",_xll.YCP("M:"&amp; $A330,"one_year_total_return",'Database Query'!$E$14))</f>
        <v>ERR: INVALID ASSET</v>
      </c>
      <c r="M330" s="2" t="e" cm="1">
        <f t="array" aca="1" ref="M330" ca="1">-_xll.YCP($E330,"one_year_return",'Database Query'!$E$14)+L330</f>
        <v>#VALUE!</v>
      </c>
      <c r="N330" s="2" t="str" cm="1">
        <f t="array" aca="1" ref="N330" ca="1">_xlfn.IFS($B330="etf", _xll.YCP($A330,"three_year_total_return",'Database Query'!$E$14),$B330&lt;&gt;"etf",_xll.YCP("M:"&amp; $A330,"three_year_total_return",'Database Query'!$E$14))</f>
        <v>ERR: INVALID ASSET</v>
      </c>
      <c r="O330" s="2" t="e" cm="1">
        <f t="array" aca="1" ref="O330" ca="1">-_xll.YCP($E330,"three_year_return",'Database Query'!$E$14)+N330</f>
        <v>#VALUE!</v>
      </c>
      <c r="P330" s="2" t="str" cm="1">
        <f t="array" aca="1" ref="P330" ca="1">_xlfn.IFS($B330="etf", _xll.YCP($A330,"five_year_total_return",'Database Query'!$E$14),$B330&lt;&gt;"etf",_xll.YCP("M:"&amp; $A330,"five_year_total_return",'Database Query'!$E$14))</f>
        <v>ERR: INVALID ASSET</v>
      </c>
      <c r="Q330" s="2" t="e" cm="1">
        <f t="array" aca="1" ref="Q330" ca="1">-_xll.YCP($E330,"five_year_return",'Database Query'!$E$14)+P330</f>
        <v>#VALUE!</v>
      </c>
    </row>
    <row r="331" spans="2:17" x14ac:dyDescent="0.25">
      <c r="B331" t="str" cm="1">
        <f t="array" aca="1" ref="B331" ca="1">_xll.YCI(A331,"detailed_security_type",TODAY())</f>
        <v/>
      </c>
      <c r="C331" t="str" cm="1">
        <f t="array" aca="1" ref="C331" ca="1">_xlfn.IFS(B331="etf", _xll.YCI(A331, "security_name",TODAY()),B331&lt;&gt;"etf",_xll.YCI("M:" &amp; A331, "security_name",TODAY()))</f>
        <v>ERR: INVALID ASSET</v>
      </c>
      <c r="D331" t="str" cm="1">
        <f t="array" aca="1" ref="D331" ca="1">_xlfn.IFS($B331="etf", _xll.YCI($A331, "ycharts_benchmark_category",TODAY()),$B331&lt;&gt;"etf",_xll.YCI("M:" &amp; $A331, "ycharts_benchmark_category",TODAY()))</f>
        <v>ERR: INVALID ASSET</v>
      </c>
      <c r="E331" t="str" cm="1">
        <f t="array" aca="1" ref="E331" ca="1">_xlfn.IFS($B331="etf", _xll.YCI($A331, "ycharts_benchmark_index_symbol",TODAY()),$B331&lt;&gt;"etf",_xll.YCI("M:" &amp; $A331, "ycharts_benchmark_index_symbol",TODAY()))</f>
        <v>ERR: INVALID ASSET</v>
      </c>
      <c r="F331" t="str" cm="1">
        <f t="array" aca="1" ref="F331" ca="1">_xlfn.IFS($B331="etf", _xll.YCI($E331, "security_name",TODAY()),$B331&lt;&gt;"etf",_xll.YCI( $E331, "security_name",TODAY()))</f>
        <v>ERR: INVALID ASSET</v>
      </c>
      <c r="G331" t="str" cm="1">
        <f t="array" aca="1" ref="G331" ca="1">_xlfn.IFS($B331="etf", _xll.YCI($A331, "prospectus_benchmark_index",TODAY()),$B331&lt;&gt;"etf",_xll.YCI("M:" &amp; $A331, "prospectus_benchmark_index",TODAY()))</f>
        <v>ERR: INVALID ASSET</v>
      </c>
      <c r="H331" s="2" t="str" cm="1">
        <f t="array" aca="1" ref="H331" ca="1">_xlfn.IFS($B331="etf", _xll.YCP($A331,"quarterly_total_return",'Database Query'!$E$14),$B331&lt;&gt;"etf",_xll.YCP("M:"&amp; $A331,"quarterly_total_return",'Database Query'!$E$14))</f>
        <v>ERR: INVALID ASSET</v>
      </c>
      <c r="I331" s="2" t="e" cm="1">
        <f t="array" aca="1" ref="I331" ca="1">-_xll.YCP($E331,"quarterly_return",'Database Query'!$E$14)+H331</f>
        <v>#VALUE!</v>
      </c>
      <c r="J331" s="2" t="str" cm="1">
        <f t="array" aca="1" ref="J331" ca="1">_xlfn.IFS($B331="etf", _xll.YCP($A331,"ytd_total_return",'Database Query'!$E$14),$B331&lt;&gt;"etf",_xll.YCP("M:"&amp; $A331,"ytd_total_return",'Database Query'!$E$14))</f>
        <v>ERR: INVALID ASSET</v>
      </c>
      <c r="K331" s="2" t="e" cm="1">
        <f t="array" aca="1" ref="K331" ca="1">-_xll.YCP($E331,"ytd_return",'Database Query'!$E$14)+J331</f>
        <v>#VALUE!</v>
      </c>
      <c r="L331" s="2" t="str" cm="1">
        <f t="array" aca="1" ref="L331" ca="1">_xlfn.IFS($B331="etf", _xll.YCP($A331,"one_year_total_return",'Database Query'!$E$14),$B331&lt;&gt;"etf",_xll.YCP("M:"&amp; $A331,"one_year_total_return",'Database Query'!$E$14))</f>
        <v>ERR: INVALID ASSET</v>
      </c>
      <c r="M331" s="2" t="e" cm="1">
        <f t="array" aca="1" ref="M331" ca="1">-_xll.YCP($E331,"one_year_return",'Database Query'!$E$14)+L331</f>
        <v>#VALUE!</v>
      </c>
      <c r="N331" s="2" t="str" cm="1">
        <f t="array" aca="1" ref="N331" ca="1">_xlfn.IFS($B331="etf", _xll.YCP($A331,"three_year_total_return",'Database Query'!$E$14),$B331&lt;&gt;"etf",_xll.YCP("M:"&amp; $A331,"three_year_total_return",'Database Query'!$E$14))</f>
        <v>ERR: INVALID ASSET</v>
      </c>
      <c r="O331" s="2" t="e" cm="1">
        <f t="array" aca="1" ref="O331" ca="1">-_xll.YCP($E331,"three_year_return",'Database Query'!$E$14)+N331</f>
        <v>#VALUE!</v>
      </c>
      <c r="P331" s="2" t="str" cm="1">
        <f t="array" aca="1" ref="P331" ca="1">_xlfn.IFS($B331="etf", _xll.YCP($A331,"five_year_total_return",'Database Query'!$E$14),$B331&lt;&gt;"etf",_xll.YCP("M:"&amp; $A331,"five_year_total_return",'Database Query'!$E$14))</f>
        <v>ERR: INVALID ASSET</v>
      </c>
      <c r="Q331" s="2" t="e" cm="1">
        <f t="array" aca="1" ref="Q331" ca="1">-_xll.YCP($E331,"five_year_return",'Database Query'!$E$14)+P331</f>
        <v>#VALUE!</v>
      </c>
    </row>
    <row r="332" spans="2:17" x14ac:dyDescent="0.25">
      <c r="B332" t="str" cm="1">
        <f t="array" aca="1" ref="B332" ca="1">_xll.YCI(A332,"detailed_security_type",TODAY())</f>
        <v/>
      </c>
      <c r="C332" t="str" cm="1">
        <f t="array" aca="1" ref="C332" ca="1">_xlfn.IFS(B332="etf", _xll.YCI(A332, "security_name",TODAY()),B332&lt;&gt;"etf",_xll.YCI("M:" &amp; A332, "security_name",TODAY()))</f>
        <v>ERR: INVALID ASSET</v>
      </c>
      <c r="D332" t="str" cm="1">
        <f t="array" aca="1" ref="D332" ca="1">_xlfn.IFS($B332="etf", _xll.YCI($A332, "ycharts_benchmark_category",TODAY()),$B332&lt;&gt;"etf",_xll.YCI("M:" &amp; $A332, "ycharts_benchmark_category",TODAY()))</f>
        <v>ERR: INVALID ASSET</v>
      </c>
      <c r="E332" t="str" cm="1">
        <f t="array" aca="1" ref="E332" ca="1">_xlfn.IFS($B332="etf", _xll.YCI($A332, "ycharts_benchmark_index_symbol",TODAY()),$B332&lt;&gt;"etf",_xll.YCI("M:" &amp; $A332, "ycharts_benchmark_index_symbol",TODAY()))</f>
        <v>ERR: INVALID ASSET</v>
      </c>
      <c r="F332" t="str" cm="1">
        <f t="array" aca="1" ref="F332" ca="1">_xlfn.IFS($B332="etf", _xll.YCI($E332, "security_name",TODAY()),$B332&lt;&gt;"etf",_xll.YCI( $E332, "security_name",TODAY()))</f>
        <v>ERR: INVALID ASSET</v>
      </c>
      <c r="G332" t="str" cm="1">
        <f t="array" aca="1" ref="G332" ca="1">_xlfn.IFS($B332="etf", _xll.YCI($A332, "prospectus_benchmark_index",TODAY()),$B332&lt;&gt;"etf",_xll.YCI("M:" &amp; $A332, "prospectus_benchmark_index",TODAY()))</f>
        <v>ERR: INVALID ASSET</v>
      </c>
      <c r="H332" s="2" t="str" cm="1">
        <f t="array" aca="1" ref="H332" ca="1">_xlfn.IFS($B332="etf", _xll.YCP($A332,"quarterly_total_return",'Database Query'!$E$14),$B332&lt;&gt;"etf",_xll.YCP("M:"&amp; $A332,"quarterly_total_return",'Database Query'!$E$14))</f>
        <v>ERR: INVALID ASSET</v>
      </c>
      <c r="I332" s="2" t="e" cm="1">
        <f t="array" aca="1" ref="I332" ca="1">-_xll.YCP($E332,"quarterly_return",'Database Query'!$E$14)+H332</f>
        <v>#VALUE!</v>
      </c>
      <c r="J332" s="2" t="str" cm="1">
        <f t="array" aca="1" ref="J332" ca="1">_xlfn.IFS($B332="etf", _xll.YCP($A332,"ytd_total_return",'Database Query'!$E$14),$B332&lt;&gt;"etf",_xll.YCP("M:"&amp; $A332,"ytd_total_return",'Database Query'!$E$14))</f>
        <v>ERR: INVALID ASSET</v>
      </c>
      <c r="K332" s="2" t="e" cm="1">
        <f t="array" aca="1" ref="K332" ca="1">-_xll.YCP($E332,"ytd_return",'Database Query'!$E$14)+J332</f>
        <v>#VALUE!</v>
      </c>
      <c r="L332" s="2" t="str" cm="1">
        <f t="array" aca="1" ref="L332" ca="1">_xlfn.IFS($B332="etf", _xll.YCP($A332,"one_year_total_return",'Database Query'!$E$14),$B332&lt;&gt;"etf",_xll.YCP("M:"&amp; $A332,"one_year_total_return",'Database Query'!$E$14))</f>
        <v>ERR: INVALID ASSET</v>
      </c>
      <c r="M332" s="2" t="e" cm="1">
        <f t="array" aca="1" ref="M332" ca="1">-_xll.YCP($E332,"one_year_return",'Database Query'!$E$14)+L332</f>
        <v>#VALUE!</v>
      </c>
      <c r="N332" s="2" t="str" cm="1">
        <f t="array" aca="1" ref="N332" ca="1">_xlfn.IFS($B332="etf", _xll.YCP($A332,"three_year_total_return",'Database Query'!$E$14),$B332&lt;&gt;"etf",_xll.YCP("M:"&amp; $A332,"three_year_total_return",'Database Query'!$E$14))</f>
        <v>ERR: INVALID ASSET</v>
      </c>
      <c r="O332" s="2" t="e" cm="1">
        <f t="array" aca="1" ref="O332" ca="1">-_xll.YCP($E332,"three_year_return",'Database Query'!$E$14)+N332</f>
        <v>#VALUE!</v>
      </c>
      <c r="P332" s="2" t="str" cm="1">
        <f t="array" aca="1" ref="P332" ca="1">_xlfn.IFS($B332="etf", _xll.YCP($A332,"five_year_total_return",'Database Query'!$E$14),$B332&lt;&gt;"etf",_xll.YCP("M:"&amp; $A332,"five_year_total_return",'Database Query'!$E$14))</f>
        <v>ERR: INVALID ASSET</v>
      </c>
      <c r="Q332" s="2" t="e" cm="1">
        <f t="array" aca="1" ref="Q332" ca="1">-_xll.YCP($E332,"five_year_return",'Database Query'!$E$14)+P332</f>
        <v>#VALUE!</v>
      </c>
    </row>
    <row r="333" spans="2:17" x14ac:dyDescent="0.25">
      <c r="B333" t="str" cm="1">
        <f t="array" aca="1" ref="B333" ca="1">_xll.YCI(A333,"detailed_security_type",TODAY())</f>
        <v/>
      </c>
      <c r="C333" t="str" cm="1">
        <f t="array" aca="1" ref="C333" ca="1">_xlfn.IFS(B333="etf", _xll.YCI(A333, "security_name",TODAY()),B333&lt;&gt;"etf",_xll.YCI("M:" &amp; A333, "security_name",TODAY()))</f>
        <v>ERR: INVALID ASSET</v>
      </c>
      <c r="D333" t="str" cm="1">
        <f t="array" aca="1" ref="D333" ca="1">_xlfn.IFS($B333="etf", _xll.YCI($A333, "ycharts_benchmark_category",TODAY()),$B333&lt;&gt;"etf",_xll.YCI("M:" &amp; $A333, "ycharts_benchmark_category",TODAY()))</f>
        <v>ERR: INVALID ASSET</v>
      </c>
      <c r="E333" t="str" cm="1">
        <f t="array" aca="1" ref="E333" ca="1">_xlfn.IFS($B333="etf", _xll.YCI($A333, "ycharts_benchmark_index_symbol",TODAY()),$B333&lt;&gt;"etf",_xll.YCI("M:" &amp; $A333, "ycharts_benchmark_index_symbol",TODAY()))</f>
        <v>ERR: INVALID ASSET</v>
      </c>
      <c r="F333" t="str" cm="1">
        <f t="array" aca="1" ref="F333" ca="1">_xlfn.IFS($B333="etf", _xll.YCI($E333, "security_name",TODAY()),$B333&lt;&gt;"etf",_xll.YCI( $E333, "security_name",TODAY()))</f>
        <v>ERR: INVALID ASSET</v>
      </c>
      <c r="G333" t="str" cm="1">
        <f t="array" aca="1" ref="G333" ca="1">_xlfn.IFS($B333="etf", _xll.YCI($A333, "prospectus_benchmark_index",TODAY()),$B333&lt;&gt;"etf",_xll.YCI("M:" &amp; $A333, "prospectus_benchmark_index",TODAY()))</f>
        <v>ERR: INVALID ASSET</v>
      </c>
      <c r="H333" s="2" t="str" cm="1">
        <f t="array" aca="1" ref="H333" ca="1">_xlfn.IFS($B333="etf", _xll.YCP($A333,"quarterly_total_return",'Database Query'!$E$14),$B333&lt;&gt;"etf",_xll.YCP("M:"&amp; $A333,"quarterly_total_return",'Database Query'!$E$14))</f>
        <v>ERR: INVALID ASSET</v>
      </c>
      <c r="I333" s="2" t="e" cm="1">
        <f t="array" aca="1" ref="I333" ca="1">-_xll.YCP($E333,"quarterly_return",'Database Query'!$E$14)+H333</f>
        <v>#VALUE!</v>
      </c>
      <c r="J333" s="2" t="str" cm="1">
        <f t="array" aca="1" ref="J333" ca="1">_xlfn.IFS($B333="etf", _xll.YCP($A333,"ytd_total_return",'Database Query'!$E$14),$B333&lt;&gt;"etf",_xll.YCP("M:"&amp; $A333,"ytd_total_return",'Database Query'!$E$14))</f>
        <v>ERR: INVALID ASSET</v>
      </c>
      <c r="K333" s="2" t="e" cm="1">
        <f t="array" aca="1" ref="K333" ca="1">-_xll.YCP($E333,"ytd_return",'Database Query'!$E$14)+J333</f>
        <v>#VALUE!</v>
      </c>
      <c r="L333" s="2" t="str" cm="1">
        <f t="array" aca="1" ref="L333" ca="1">_xlfn.IFS($B333="etf", _xll.YCP($A333,"one_year_total_return",'Database Query'!$E$14),$B333&lt;&gt;"etf",_xll.YCP("M:"&amp; $A333,"one_year_total_return",'Database Query'!$E$14))</f>
        <v>ERR: INVALID ASSET</v>
      </c>
      <c r="M333" s="2" t="e" cm="1">
        <f t="array" aca="1" ref="M333" ca="1">-_xll.YCP($E333,"one_year_return",'Database Query'!$E$14)+L333</f>
        <v>#VALUE!</v>
      </c>
      <c r="N333" s="2" t="str" cm="1">
        <f t="array" aca="1" ref="N333" ca="1">_xlfn.IFS($B333="etf", _xll.YCP($A333,"three_year_total_return",'Database Query'!$E$14),$B333&lt;&gt;"etf",_xll.YCP("M:"&amp; $A333,"three_year_total_return",'Database Query'!$E$14))</f>
        <v>ERR: INVALID ASSET</v>
      </c>
      <c r="O333" s="2" t="e" cm="1">
        <f t="array" aca="1" ref="O333" ca="1">-_xll.YCP($E333,"three_year_return",'Database Query'!$E$14)+N333</f>
        <v>#VALUE!</v>
      </c>
      <c r="P333" s="2" t="str" cm="1">
        <f t="array" aca="1" ref="P333" ca="1">_xlfn.IFS($B333="etf", _xll.YCP($A333,"five_year_total_return",'Database Query'!$E$14),$B333&lt;&gt;"etf",_xll.YCP("M:"&amp; $A333,"five_year_total_return",'Database Query'!$E$14))</f>
        <v>ERR: INVALID ASSET</v>
      </c>
      <c r="Q333" s="2" t="e" cm="1">
        <f t="array" aca="1" ref="Q333" ca="1">-_xll.YCP($E333,"five_year_return",'Database Query'!$E$14)+P333</f>
        <v>#VALUE!</v>
      </c>
    </row>
    <row r="334" spans="2:17" x14ac:dyDescent="0.25">
      <c r="B334" t="str" cm="1">
        <f t="array" aca="1" ref="B334" ca="1">_xll.YCI(A334,"detailed_security_type",TODAY())</f>
        <v/>
      </c>
      <c r="C334" t="str" cm="1">
        <f t="array" aca="1" ref="C334" ca="1">_xlfn.IFS(B334="etf", _xll.YCI(A334, "security_name",TODAY()),B334&lt;&gt;"etf",_xll.YCI("M:" &amp; A334, "security_name",TODAY()))</f>
        <v>ERR: INVALID ASSET</v>
      </c>
      <c r="D334" t="str" cm="1">
        <f t="array" aca="1" ref="D334" ca="1">_xlfn.IFS($B334="etf", _xll.YCI($A334, "ycharts_benchmark_category",TODAY()),$B334&lt;&gt;"etf",_xll.YCI("M:" &amp; $A334, "ycharts_benchmark_category",TODAY()))</f>
        <v>ERR: INVALID ASSET</v>
      </c>
      <c r="E334" t="str" cm="1">
        <f t="array" aca="1" ref="E334" ca="1">_xlfn.IFS($B334="etf", _xll.YCI($A334, "ycharts_benchmark_index_symbol",TODAY()),$B334&lt;&gt;"etf",_xll.YCI("M:" &amp; $A334, "ycharts_benchmark_index_symbol",TODAY()))</f>
        <v>ERR: INVALID ASSET</v>
      </c>
      <c r="F334" t="str" cm="1">
        <f t="array" aca="1" ref="F334" ca="1">_xlfn.IFS($B334="etf", _xll.YCI($E334, "security_name",TODAY()),$B334&lt;&gt;"etf",_xll.YCI( $E334, "security_name",TODAY()))</f>
        <v>ERR: INVALID ASSET</v>
      </c>
      <c r="G334" t="str" cm="1">
        <f t="array" aca="1" ref="G334" ca="1">_xlfn.IFS($B334="etf", _xll.YCI($A334, "prospectus_benchmark_index",TODAY()),$B334&lt;&gt;"etf",_xll.YCI("M:" &amp; $A334, "prospectus_benchmark_index",TODAY()))</f>
        <v>ERR: INVALID ASSET</v>
      </c>
      <c r="H334" s="2" t="str" cm="1">
        <f t="array" aca="1" ref="H334" ca="1">_xlfn.IFS($B334="etf", _xll.YCP($A334,"quarterly_total_return",'Database Query'!$E$14),$B334&lt;&gt;"etf",_xll.YCP("M:"&amp; $A334,"quarterly_total_return",'Database Query'!$E$14))</f>
        <v>ERR: INVALID ASSET</v>
      </c>
      <c r="I334" s="2" t="e" cm="1">
        <f t="array" aca="1" ref="I334" ca="1">-_xll.YCP($E334,"quarterly_return",'Database Query'!$E$14)+H334</f>
        <v>#VALUE!</v>
      </c>
      <c r="J334" s="2" t="str" cm="1">
        <f t="array" aca="1" ref="J334" ca="1">_xlfn.IFS($B334="etf", _xll.YCP($A334,"ytd_total_return",'Database Query'!$E$14),$B334&lt;&gt;"etf",_xll.YCP("M:"&amp; $A334,"ytd_total_return",'Database Query'!$E$14))</f>
        <v>ERR: INVALID ASSET</v>
      </c>
      <c r="K334" s="2" t="e" cm="1">
        <f t="array" aca="1" ref="K334" ca="1">-_xll.YCP($E334,"ytd_return",'Database Query'!$E$14)+J334</f>
        <v>#VALUE!</v>
      </c>
      <c r="L334" s="2" t="str" cm="1">
        <f t="array" aca="1" ref="L334" ca="1">_xlfn.IFS($B334="etf", _xll.YCP($A334,"one_year_total_return",'Database Query'!$E$14),$B334&lt;&gt;"etf",_xll.YCP("M:"&amp; $A334,"one_year_total_return",'Database Query'!$E$14))</f>
        <v>ERR: INVALID ASSET</v>
      </c>
      <c r="M334" s="2" t="e" cm="1">
        <f t="array" aca="1" ref="M334" ca="1">-_xll.YCP($E334,"one_year_return",'Database Query'!$E$14)+L334</f>
        <v>#VALUE!</v>
      </c>
      <c r="N334" s="2" t="str" cm="1">
        <f t="array" aca="1" ref="N334" ca="1">_xlfn.IFS($B334="etf", _xll.YCP($A334,"three_year_total_return",'Database Query'!$E$14),$B334&lt;&gt;"etf",_xll.YCP("M:"&amp; $A334,"three_year_total_return",'Database Query'!$E$14))</f>
        <v>ERR: INVALID ASSET</v>
      </c>
      <c r="O334" s="2" t="e" cm="1">
        <f t="array" aca="1" ref="O334" ca="1">-_xll.YCP($E334,"three_year_return",'Database Query'!$E$14)+N334</f>
        <v>#VALUE!</v>
      </c>
      <c r="P334" s="2" t="str" cm="1">
        <f t="array" aca="1" ref="P334" ca="1">_xlfn.IFS($B334="etf", _xll.YCP($A334,"five_year_total_return",'Database Query'!$E$14),$B334&lt;&gt;"etf",_xll.YCP("M:"&amp; $A334,"five_year_total_return",'Database Query'!$E$14))</f>
        <v>ERR: INVALID ASSET</v>
      </c>
      <c r="Q334" s="2" t="e" cm="1">
        <f t="array" aca="1" ref="Q334" ca="1">-_xll.YCP($E334,"five_year_return",'Database Query'!$E$14)+P334</f>
        <v>#VALUE!</v>
      </c>
    </row>
    <row r="335" spans="2:17" x14ac:dyDescent="0.25">
      <c r="B335" t="str" cm="1">
        <f t="array" aca="1" ref="B335" ca="1">_xll.YCI(A335,"detailed_security_type",TODAY())</f>
        <v/>
      </c>
      <c r="C335" t="str" cm="1">
        <f t="array" aca="1" ref="C335" ca="1">_xlfn.IFS(B335="etf", _xll.YCI(A335, "security_name",TODAY()),B335&lt;&gt;"etf",_xll.YCI("M:" &amp; A335, "security_name",TODAY()))</f>
        <v>ERR: INVALID ASSET</v>
      </c>
      <c r="D335" t="str" cm="1">
        <f t="array" aca="1" ref="D335" ca="1">_xlfn.IFS($B335="etf", _xll.YCI($A335, "ycharts_benchmark_category",TODAY()),$B335&lt;&gt;"etf",_xll.YCI("M:" &amp; $A335, "ycharts_benchmark_category",TODAY()))</f>
        <v>ERR: INVALID ASSET</v>
      </c>
      <c r="E335" t="str" cm="1">
        <f t="array" aca="1" ref="E335" ca="1">_xlfn.IFS($B335="etf", _xll.YCI($A335, "ycharts_benchmark_index_symbol",TODAY()),$B335&lt;&gt;"etf",_xll.YCI("M:" &amp; $A335, "ycharts_benchmark_index_symbol",TODAY()))</f>
        <v>ERR: INVALID ASSET</v>
      </c>
      <c r="F335" t="str" cm="1">
        <f t="array" aca="1" ref="F335" ca="1">_xlfn.IFS($B335="etf", _xll.YCI($E335, "security_name",TODAY()),$B335&lt;&gt;"etf",_xll.YCI( $E335, "security_name",TODAY()))</f>
        <v>ERR: INVALID ASSET</v>
      </c>
      <c r="G335" t="str" cm="1">
        <f t="array" aca="1" ref="G335" ca="1">_xlfn.IFS($B335="etf", _xll.YCI($A335, "prospectus_benchmark_index",TODAY()),$B335&lt;&gt;"etf",_xll.YCI("M:" &amp; $A335, "prospectus_benchmark_index",TODAY()))</f>
        <v>ERR: INVALID ASSET</v>
      </c>
      <c r="H335" s="2" t="str" cm="1">
        <f t="array" aca="1" ref="H335" ca="1">_xlfn.IFS($B335="etf", _xll.YCP($A335,"quarterly_total_return",'Database Query'!$E$14),$B335&lt;&gt;"etf",_xll.YCP("M:"&amp; $A335,"quarterly_total_return",'Database Query'!$E$14))</f>
        <v>ERR: INVALID ASSET</v>
      </c>
      <c r="I335" s="2" t="e" cm="1">
        <f t="array" aca="1" ref="I335" ca="1">-_xll.YCP($E335,"quarterly_return",'Database Query'!$E$14)+H335</f>
        <v>#VALUE!</v>
      </c>
      <c r="J335" s="2" t="str" cm="1">
        <f t="array" aca="1" ref="J335" ca="1">_xlfn.IFS($B335="etf", _xll.YCP($A335,"ytd_total_return",'Database Query'!$E$14),$B335&lt;&gt;"etf",_xll.YCP("M:"&amp; $A335,"ytd_total_return",'Database Query'!$E$14))</f>
        <v>ERR: INVALID ASSET</v>
      </c>
      <c r="K335" s="2" t="e" cm="1">
        <f t="array" aca="1" ref="K335" ca="1">-_xll.YCP($E335,"ytd_return",'Database Query'!$E$14)+J335</f>
        <v>#VALUE!</v>
      </c>
      <c r="L335" s="2" t="str" cm="1">
        <f t="array" aca="1" ref="L335" ca="1">_xlfn.IFS($B335="etf", _xll.YCP($A335,"one_year_total_return",'Database Query'!$E$14),$B335&lt;&gt;"etf",_xll.YCP("M:"&amp; $A335,"one_year_total_return",'Database Query'!$E$14))</f>
        <v>ERR: INVALID ASSET</v>
      </c>
      <c r="M335" s="2" t="e" cm="1">
        <f t="array" aca="1" ref="M335" ca="1">-_xll.YCP($E335,"one_year_return",'Database Query'!$E$14)+L335</f>
        <v>#VALUE!</v>
      </c>
      <c r="N335" s="2" t="str" cm="1">
        <f t="array" aca="1" ref="N335" ca="1">_xlfn.IFS($B335="etf", _xll.YCP($A335,"three_year_total_return",'Database Query'!$E$14),$B335&lt;&gt;"etf",_xll.YCP("M:"&amp; $A335,"three_year_total_return",'Database Query'!$E$14))</f>
        <v>ERR: INVALID ASSET</v>
      </c>
      <c r="O335" s="2" t="e" cm="1">
        <f t="array" aca="1" ref="O335" ca="1">-_xll.YCP($E335,"three_year_return",'Database Query'!$E$14)+N335</f>
        <v>#VALUE!</v>
      </c>
      <c r="P335" s="2" t="str" cm="1">
        <f t="array" aca="1" ref="P335" ca="1">_xlfn.IFS($B335="etf", _xll.YCP($A335,"five_year_total_return",'Database Query'!$E$14),$B335&lt;&gt;"etf",_xll.YCP("M:"&amp; $A335,"five_year_total_return",'Database Query'!$E$14))</f>
        <v>ERR: INVALID ASSET</v>
      </c>
      <c r="Q335" s="2" t="e" cm="1">
        <f t="array" aca="1" ref="Q335" ca="1">-_xll.YCP($E335,"five_year_return",'Database Query'!$E$14)+P335</f>
        <v>#VALUE!</v>
      </c>
    </row>
    <row r="336" spans="2:17" x14ac:dyDescent="0.25">
      <c r="B336" t="str" cm="1">
        <f t="array" aca="1" ref="B336" ca="1">_xll.YCI(A336,"detailed_security_type",TODAY())</f>
        <v/>
      </c>
      <c r="C336" t="str" cm="1">
        <f t="array" aca="1" ref="C336" ca="1">_xlfn.IFS(B336="etf", _xll.YCI(A336, "security_name",TODAY()),B336&lt;&gt;"etf",_xll.YCI("M:" &amp; A336, "security_name",TODAY()))</f>
        <v>ERR: INVALID ASSET</v>
      </c>
      <c r="D336" t="str" cm="1">
        <f t="array" aca="1" ref="D336" ca="1">_xlfn.IFS($B336="etf", _xll.YCI($A336, "ycharts_benchmark_category",TODAY()),$B336&lt;&gt;"etf",_xll.YCI("M:" &amp; $A336, "ycharts_benchmark_category",TODAY()))</f>
        <v>ERR: INVALID ASSET</v>
      </c>
      <c r="E336" t="str" cm="1">
        <f t="array" aca="1" ref="E336" ca="1">_xlfn.IFS($B336="etf", _xll.YCI($A336, "ycharts_benchmark_index_symbol",TODAY()),$B336&lt;&gt;"etf",_xll.YCI("M:" &amp; $A336, "ycharts_benchmark_index_symbol",TODAY()))</f>
        <v>ERR: INVALID ASSET</v>
      </c>
      <c r="F336" t="str" cm="1">
        <f t="array" aca="1" ref="F336" ca="1">_xlfn.IFS($B336="etf", _xll.YCI($E336, "security_name",TODAY()),$B336&lt;&gt;"etf",_xll.YCI( $E336, "security_name",TODAY()))</f>
        <v>ERR: INVALID ASSET</v>
      </c>
      <c r="G336" t="str" cm="1">
        <f t="array" aca="1" ref="G336" ca="1">_xlfn.IFS($B336="etf", _xll.YCI($A336, "prospectus_benchmark_index",TODAY()),$B336&lt;&gt;"etf",_xll.YCI("M:" &amp; $A336, "prospectus_benchmark_index",TODAY()))</f>
        <v>ERR: INVALID ASSET</v>
      </c>
      <c r="H336" s="2" t="str" cm="1">
        <f t="array" aca="1" ref="H336" ca="1">_xlfn.IFS($B336="etf", _xll.YCP($A336,"quarterly_total_return",'Database Query'!$E$14),$B336&lt;&gt;"etf",_xll.YCP("M:"&amp; $A336,"quarterly_total_return",'Database Query'!$E$14))</f>
        <v>ERR: INVALID ASSET</v>
      </c>
      <c r="I336" s="2" t="e" cm="1">
        <f t="array" aca="1" ref="I336" ca="1">-_xll.YCP($E336,"quarterly_return",'Database Query'!$E$14)+H336</f>
        <v>#VALUE!</v>
      </c>
      <c r="J336" s="2" t="str" cm="1">
        <f t="array" aca="1" ref="J336" ca="1">_xlfn.IFS($B336="etf", _xll.YCP($A336,"ytd_total_return",'Database Query'!$E$14),$B336&lt;&gt;"etf",_xll.YCP("M:"&amp; $A336,"ytd_total_return",'Database Query'!$E$14))</f>
        <v>ERR: INVALID ASSET</v>
      </c>
      <c r="K336" s="2" t="e" cm="1">
        <f t="array" aca="1" ref="K336" ca="1">-_xll.YCP($E336,"ytd_return",'Database Query'!$E$14)+J336</f>
        <v>#VALUE!</v>
      </c>
      <c r="L336" s="2" t="str" cm="1">
        <f t="array" aca="1" ref="L336" ca="1">_xlfn.IFS($B336="etf", _xll.YCP($A336,"one_year_total_return",'Database Query'!$E$14),$B336&lt;&gt;"etf",_xll.YCP("M:"&amp; $A336,"one_year_total_return",'Database Query'!$E$14))</f>
        <v>ERR: INVALID ASSET</v>
      </c>
      <c r="M336" s="2" t="e" cm="1">
        <f t="array" aca="1" ref="M336" ca="1">-_xll.YCP($E336,"one_year_return",'Database Query'!$E$14)+L336</f>
        <v>#VALUE!</v>
      </c>
      <c r="N336" s="2" t="str" cm="1">
        <f t="array" aca="1" ref="N336" ca="1">_xlfn.IFS($B336="etf", _xll.YCP($A336,"three_year_total_return",'Database Query'!$E$14),$B336&lt;&gt;"etf",_xll.YCP("M:"&amp; $A336,"three_year_total_return",'Database Query'!$E$14))</f>
        <v>ERR: INVALID ASSET</v>
      </c>
      <c r="O336" s="2" t="e" cm="1">
        <f t="array" aca="1" ref="O336" ca="1">-_xll.YCP($E336,"three_year_return",'Database Query'!$E$14)+N336</f>
        <v>#VALUE!</v>
      </c>
      <c r="P336" s="2" t="str" cm="1">
        <f t="array" aca="1" ref="P336" ca="1">_xlfn.IFS($B336="etf", _xll.YCP($A336,"five_year_total_return",'Database Query'!$E$14),$B336&lt;&gt;"etf",_xll.YCP("M:"&amp; $A336,"five_year_total_return",'Database Query'!$E$14))</f>
        <v>ERR: INVALID ASSET</v>
      </c>
      <c r="Q336" s="2" t="e" cm="1">
        <f t="array" aca="1" ref="Q336" ca="1">-_xll.YCP($E336,"five_year_return",'Database Query'!$E$14)+P336</f>
        <v>#VALUE!</v>
      </c>
    </row>
    <row r="337" spans="2:17" x14ac:dyDescent="0.25">
      <c r="B337" t="str" cm="1">
        <f t="array" aca="1" ref="B337" ca="1">_xll.YCI(A337,"detailed_security_type",TODAY())</f>
        <v/>
      </c>
      <c r="C337" t="str" cm="1">
        <f t="array" aca="1" ref="C337" ca="1">_xlfn.IFS(B337="etf", _xll.YCI(A337, "security_name",TODAY()),B337&lt;&gt;"etf",_xll.YCI("M:" &amp; A337, "security_name",TODAY()))</f>
        <v>ERR: INVALID ASSET</v>
      </c>
      <c r="D337" t="str" cm="1">
        <f t="array" aca="1" ref="D337" ca="1">_xlfn.IFS($B337="etf", _xll.YCI($A337, "ycharts_benchmark_category",TODAY()),$B337&lt;&gt;"etf",_xll.YCI("M:" &amp; $A337, "ycharts_benchmark_category",TODAY()))</f>
        <v>ERR: INVALID ASSET</v>
      </c>
      <c r="E337" t="str" cm="1">
        <f t="array" aca="1" ref="E337" ca="1">_xlfn.IFS($B337="etf", _xll.YCI($A337, "ycharts_benchmark_index_symbol",TODAY()),$B337&lt;&gt;"etf",_xll.YCI("M:" &amp; $A337, "ycharts_benchmark_index_symbol",TODAY()))</f>
        <v>ERR: INVALID ASSET</v>
      </c>
      <c r="F337" t="str" cm="1">
        <f t="array" aca="1" ref="F337" ca="1">_xlfn.IFS($B337="etf", _xll.YCI($E337, "security_name",TODAY()),$B337&lt;&gt;"etf",_xll.YCI( $E337, "security_name",TODAY()))</f>
        <v>ERR: INVALID ASSET</v>
      </c>
      <c r="G337" t="str" cm="1">
        <f t="array" aca="1" ref="G337" ca="1">_xlfn.IFS($B337="etf", _xll.YCI($A337, "prospectus_benchmark_index",TODAY()),$B337&lt;&gt;"etf",_xll.YCI("M:" &amp; $A337, "prospectus_benchmark_index",TODAY()))</f>
        <v>ERR: INVALID ASSET</v>
      </c>
      <c r="H337" s="2" t="str" cm="1">
        <f t="array" aca="1" ref="H337" ca="1">_xlfn.IFS($B337="etf", _xll.YCP($A337,"quarterly_total_return",'Database Query'!$E$14),$B337&lt;&gt;"etf",_xll.YCP("M:"&amp; $A337,"quarterly_total_return",'Database Query'!$E$14))</f>
        <v>ERR: INVALID ASSET</v>
      </c>
      <c r="I337" s="2" t="e" cm="1">
        <f t="array" aca="1" ref="I337" ca="1">-_xll.YCP($E337,"quarterly_return",'Database Query'!$E$14)+H337</f>
        <v>#VALUE!</v>
      </c>
      <c r="J337" s="2" t="str" cm="1">
        <f t="array" aca="1" ref="J337" ca="1">_xlfn.IFS($B337="etf", _xll.YCP($A337,"ytd_total_return",'Database Query'!$E$14),$B337&lt;&gt;"etf",_xll.YCP("M:"&amp; $A337,"ytd_total_return",'Database Query'!$E$14))</f>
        <v>ERR: INVALID ASSET</v>
      </c>
      <c r="K337" s="2" t="e" cm="1">
        <f t="array" aca="1" ref="K337" ca="1">-_xll.YCP($E337,"ytd_return",'Database Query'!$E$14)+J337</f>
        <v>#VALUE!</v>
      </c>
      <c r="L337" s="2" t="str" cm="1">
        <f t="array" aca="1" ref="L337" ca="1">_xlfn.IFS($B337="etf", _xll.YCP($A337,"one_year_total_return",'Database Query'!$E$14),$B337&lt;&gt;"etf",_xll.YCP("M:"&amp; $A337,"one_year_total_return",'Database Query'!$E$14))</f>
        <v>ERR: INVALID ASSET</v>
      </c>
      <c r="M337" s="2" t="e" cm="1">
        <f t="array" aca="1" ref="M337" ca="1">-_xll.YCP($E337,"one_year_return",'Database Query'!$E$14)+L337</f>
        <v>#VALUE!</v>
      </c>
      <c r="N337" s="2" t="str" cm="1">
        <f t="array" aca="1" ref="N337" ca="1">_xlfn.IFS($B337="etf", _xll.YCP($A337,"three_year_total_return",'Database Query'!$E$14),$B337&lt;&gt;"etf",_xll.YCP("M:"&amp; $A337,"three_year_total_return",'Database Query'!$E$14))</f>
        <v>ERR: INVALID ASSET</v>
      </c>
      <c r="O337" s="2" t="e" cm="1">
        <f t="array" aca="1" ref="O337" ca="1">-_xll.YCP($E337,"three_year_return",'Database Query'!$E$14)+N337</f>
        <v>#VALUE!</v>
      </c>
      <c r="P337" s="2" t="str" cm="1">
        <f t="array" aca="1" ref="P337" ca="1">_xlfn.IFS($B337="etf", _xll.YCP($A337,"five_year_total_return",'Database Query'!$E$14),$B337&lt;&gt;"etf",_xll.YCP("M:"&amp; $A337,"five_year_total_return",'Database Query'!$E$14))</f>
        <v>ERR: INVALID ASSET</v>
      </c>
      <c r="Q337" s="2" t="e" cm="1">
        <f t="array" aca="1" ref="Q337" ca="1">-_xll.YCP($E337,"five_year_return",'Database Query'!$E$14)+P337</f>
        <v>#VALUE!</v>
      </c>
    </row>
    <row r="338" spans="2:17" x14ac:dyDescent="0.25">
      <c r="B338" t="str" cm="1">
        <f t="array" aca="1" ref="B338" ca="1">_xll.YCI(A338,"detailed_security_type",TODAY())</f>
        <v/>
      </c>
      <c r="C338" t="str" cm="1">
        <f t="array" aca="1" ref="C338" ca="1">_xlfn.IFS(B338="etf", _xll.YCI(A338, "security_name",TODAY()),B338&lt;&gt;"etf",_xll.YCI("M:" &amp; A338, "security_name",TODAY()))</f>
        <v>ERR: INVALID ASSET</v>
      </c>
      <c r="D338" t="str" cm="1">
        <f t="array" aca="1" ref="D338" ca="1">_xlfn.IFS($B338="etf", _xll.YCI($A338, "ycharts_benchmark_category",TODAY()),$B338&lt;&gt;"etf",_xll.YCI("M:" &amp; $A338, "ycharts_benchmark_category",TODAY()))</f>
        <v>ERR: INVALID ASSET</v>
      </c>
      <c r="E338" t="str" cm="1">
        <f t="array" aca="1" ref="E338" ca="1">_xlfn.IFS($B338="etf", _xll.YCI($A338, "ycharts_benchmark_index_symbol",TODAY()),$B338&lt;&gt;"etf",_xll.YCI("M:" &amp; $A338, "ycharts_benchmark_index_symbol",TODAY()))</f>
        <v>ERR: INVALID ASSET</v>
      </c>
      <c r="F338" t="str" cm="1">
        <f t="array" aca="1" ref="F338" ca="1">_xlfn.IFS($B338="etf", _xll.YCI($E338, "security_name",TODAY()),$B338&lt;&gt;"etf",_xll.YCI( $E338, "security_name",TODAY()))</f>
        <v>ERR: INVALID ASSET</v>
      </c>
      <c r="G338" t="str" cm="1">
        <f t="array" aca="1" ref="G338" ca="1">_xlfn.IFS($B338="etf", _xll.YCI($A338, "prospectus_benchmark_index",TODAY()),$B338&lt;&gt;"etf",_xll.YCI("M:" &amp; $A338, "prospectus_benchmark_index",TODAY()))</f>
        <v>ERR: INVALID ASSET</v>
      </c>
      <c r="H338" s="2" t="str" cm="1">
        <f t="array" aca="1" ref="H338" ca="1">_xlfn.IFS($B338="etf", _xll.YCP($A338,"quarterly_total_return",'Database Query'!$E$14),$B338&lt;&gt;"etf",_xll.YCP("M:"&amp; $A338,"quarterly_total_return",'Database Query'!$E$14))</f>
        <v>ERR: INVALID ASSET</v>
      </c>
      <c r="I338" s="2" t="e" cm="1">
        <f t="array" aca="1" ref="I338" ca="1">-_xll.YCP($E338,"quarterly_return",'Database Query'!$E$14)+H338</f>
        <v>#VALUE!</v>
      </c>
      <c r="J338" s="2" t="str" cm="1">
        <f t="array" aca="1" ref="J338" ca="1">_xlfn.IFS($B338="etf", _xll.YCP($A338,"ytd_total_return",'Database Query'!$E$14),$B338&lt;&gt;"etf",_xll.YCP("M:"&amp; $A338,"ytd_total_return",'Database Query'!$E$14))</f>
        <v>ERR: INVALID ASSET</v>
      </c>
      <c r="K338" s="2" t="e" cm="1">
        <f t="array" aca="1" ref="K338" ca="1">-_xll.YCP($E338,"ytd_return",'Database Query'!$E$14)+J338</f>
        <v>#VALUE!</v>
      </c>
      <c r="L338" s="2" t="str" cm="1">
        <f t="array" aca="1" ref="L338" ca="1">_xlfn.IFS($B338="etf", _xll.YCP($A338,"one_year_total_return",'Database Query'!$E$14),$B338&lt;&gt;"etf",_xll.YCP("M:"&amp; $A338,"one_year_total_return",'Database Query'!$E$14))</f>
        <v>ERR: INVALID ASSET</v>
      </c>
      <c r="M338" s="2" t="e" cm="1">
        <f t="array" aca="1" ref="M338" ca="1">-_xll.YCP($E338,"one_year_return",'Database Query'!$E$14)+L338</f>
        <v>#VALUE!</v>
      </c>
      <c r="N338" s="2" t="str" cm="1">
        <f t="array" aca="1" ref="N338" ca="1">_xlfn.IFS($B338="etf", _xll.YCP($A338,"three_year_total_return",'Database Query'!$E$14),$B338&lt;&gt;"etf",_xll.YCP("M:"&amp; $A338,"three_year_total_return",'Database Query'!$E$14))</f>
        <v>ERR: INVALID ASSET</v>
      </c>
      <c r="O338" s="2" t="e" cm="1">
        <f t="array" aca="1" ref="O338" ca="1">-_xll.YCP($E338,"three_year_return",'Database Query'!$E$14)+N338</f>
        <v>#VALUE!</v>
      </c>
      <c r="P338" s="2" t="str" cm="1">
        <f t="array" aca="1" ref="P338" ca="1">_xlfn.IFS($B338="etf", _xll.YCP($A338,"five_year_total_return",'Database Query'!$E$14),$B338&lt;&gt;"etf",_xll.YCP("M:"&amp; $A338,"five_year_total_return",'Database Query'!$E$14))</f>
        <v>ERR: INVALID ASSET</v>
      </c>
      <c r="Q338" s="2" t="e" cm="1">
        <f t="array" aca="1" ref="Q338" ca="1">-_xll.YCP($E338,"five_year_return",'Database Query'!$E$14)+P338</f>
        <v>#VALUE!</v>
      </c>
    </row>
    <row r="339" spans="2:17" x14ac:dyDescent="0.25">
      <c r="B339" t="str" cm="1">
        <f t="array" aca="1" ref="B339" ca="1">_xll.YCI(A339,"detailed_security_type",TODAY())</f>
        <v/>
      </c>
      <c r="C339" t="str" cm="1">
        <f t="array" aca="1" ref="C339" ca="1">_xlfn.IFS(B339="etf", _xll.YCI(A339, "security_name",TODAY()),B339&lt;&gt;"etf",_xll.YCI("M:" &amp; A339, "security_name",TODAY()))</f>
        <v>ERR: INVALID ASSET</v>
      </c>
      <c r="D339" t="str" cm="1">
        <f t="array" aca="1" ref="D339" ca="1">_xlfn.IFS($B339="etf", _xll.YCI($A339, "ycharts_benchmark_category",TODAY()),$B339&lt;&gt;"etf",_xll.YCI("M:" &amp; $A339, "ycharts_benchmark_category",TODAY()))</f>
        <v>ERR: INVALID ASSET</v>
      </c>
      <c r="E339" t="str" cm="1">
        <f t="array" aca="1" ref="E339" ca="1">_xlfn.IFS($B339="etf", _xll.YCI($A339, "ycharts_benchmark_index_symbol",TODAY()),$B339&lt;&gt;"etf",_xll.YCI("M:" &amp; $A339, "ycharts_benchmark_index_symbol",TODAY()))</f>
        <v>ERR: INVALID ASSET</v>
      </c>
      <c r="F339" t="str" cm="1">
        <f t="array" aca="1" ref="F339" ca="1">_xlfn.IFS($B339="etf", _xll.YCI($E339, "security_name",TODAY()),$B339&lt;&gt;"etf",_xll.YCI( $E339, "security_name",TODAY()))</f>
        <v>ERR: INVALID ASSET</v>
      </c>
      <c r="G339" t="str" cm="1">
        <f t="array" aca="1" ref="G339" ca="1">_xlfn.IFS($B339="etf", _xll.YCI($A339, "prospectus_benchmark_index",TODAY()),$B339&lt;&gt;"etf",_xll.YCI("M:" &amp; $A339, "prospectus_benchmark_index",TODAY()))</f>
        <v>ERR: INVALID ASSET</v>
      </c>
      <c r="H339" s="2" t="str" cm="1">
        <f t="array" aca="1" ref="H339" ca="1">_xlfn.IFS($B339="etf", _xll.YCP($A339,"quarterly_total_return",'Database Query'!$E$14),$B339&lt;&gt;"etf",_xll.YCP("M:"&amp; $A339,"quarterly_total_return",'Database Query'!$E$14))</f>
        <v>ERR: INVALID ASSET</v>
      </c>
      <c r="I339" s="2" t="e" cm="1">
        <f t="array" aca="1" ref="I339" ca="1">-_xll.YCP($E339,"quarterly_return",'Database Query'!$E$14)+H339</f>
        <v>#VALUE!</v>
      </c>
      <c r="J339" s="2" t="str" cm="1">
        <f t="array" aca="1" ref="J339" ca="1">_xlfn.IFS($B339="etf", _xll.YCP($A339,"ytd_total_return",'Database Query'!$E$14),$B339&lt;&gt;"etf",_xll.YCP("M:"&amp; $A339,"ytd_total_return",'Database Query'!$E$14))</f>
        <v>ERR: INVALID ASSET</v>
      </c>
      <c r="K339" s="2" t="e" cm="1">
        <f t="array" aca="1" ref="K339" ca="1">-_xll.YCP($E339,"ytd_return",'Database Query'!$E$14)+J339</f>
        <v>#VALUE!</v>
      </c>
      <c r="L339" s="2" t="str" cm="1">
        <f t="array" aca="1" ref="L339" ca="1">_xlfn.IFS($B339="etf", _xll.YCP($A339,"one_year_total_return",'Database Query'!$E$14),$B339&lt;&gt;"etf",_xll.YCP("M:"&amp; $A339,"one_year_total_return",'Database Query'!$E$14))</f>
        <v>ERR: INVALID ASSET</v>
      </c>
      <c r="M339" s="2" t="e" cm="1">
        <f t="array" aca="1" ref="M339" ca="1">-_xll.YCP($E339,"one_year_return",'Database Query'!$E$14)+L339</f>
        <v>#VALUE!</v>
      </c>
      <c r="N339" s="2" t="str" cm="1">
        <f t="array" aca="1" ref="N339" ca="1">_xlfn.IFS($B339="etf", _xll.YCP($A339,"three_year_total_return",'Database Query'!$E$14),$B339&lt;&gt;"etf",_xll.YCP("M:"&amp; $A339,"three_year_total_return",'Database Query'!$E$14))</f>
        <v>ERR: INVALID ASSET</v>
      </c>
      <c r="O339" s="2" t="e" cm="1">
        <f t="array" aca="1" ref="O339" ca="1">-_xll.YCP($E339,"three_year_return",'Database Query'!$E$14)+N339</f>
        <v>#VALUE!</v>
      </c>
      <c r="P339" s="2" t="str" cm="1">
        <f t="array" aca="1" ref="P339" ca="1">_xlfn.IFS($B339="etf", _xll.YCP($A339,"five_year_total_return",'Database Query'!$E$14),$B339&lt;&gt;"etf",_xll.YCP("M:"&amp; $A339,"five_year_total_return",'Database Query'!$E$14))</f>
        <v>ERR: INVALID ASSET</v>
      </c>
      <c r="Q339" s="2" t="e" cm="1">
        <f t="array" aca="1" ref="Q339" ca="1">-_xll.YCP($E339,"five_year_return",'Database Query'!$E$14)+P339</f>
        <v>#VALUE!</v>
      </c>
    </row>
    <row r="340" spans="2:17" x14ac:dyDescent="0.25">
      <c r="B340" t="str" cm="1">
        <f t="array" aca="1" ref="B340" ca="1">_xll.YCI(A340,"detailed_security_type",TODAY())</f>
        <v/>
      </c>
      <c r="C340" t="str" cm="1">
        <f t="array" aca="1" ref="C340" ca="1">_xlfn.IFS(B340="etf", _xll.YCI(A340, "security_name",TODAY()),B340&lt;&gt;"etf",_xll.YCI("M:" &amp; A340, "security_name",TODAY()))</f>
        <v>ERR: INVALID ASSET</v>
      </c>
      <c r="D340" t="str" cm="1">
        <f t="array" aca="1" ref="D340" ca="1">_xlfn.IFS($B340="etf", _xll.YCI($A340, "ycharts_benchmark_category",TODAY()),$B340&lt;&gt;"etf",_xll.YCI("M:" &amp; $A340, "ycharts_benchmark_category",TODAY()))</f>
        <v>ERR: INVALID ASSET</v>
      </c>
      <c r="E340" t="str" cm="1">
        <f t="array" aca="1" ref="E340" ca="1">_xlfn.IFS($B340="etf", _xll.YCI($A340, "ycharts_benchmark_index_symbol",TODAY()),$B340&lt;&gt;"etf",_xll.YCI("M:" &amp; $A340, "ycharts_benchmark_index_symbol",TODAY()))</f>
        <v>ERR: INVALID ASSET</v>
      </c>
      <c r="F340" t="str" cm="1">
        <f t="array" aca="1" ref="F340" ca="1">_xlfn.IFS($B340="etf", _xll.YCI($E340, "security_name",TODAY()),$B340&lt;&gt;"etf",_xll.YCI( $E340, "security_name",TODAY()))</f>
        <v>ERR: INVALID ASSET</v>
      </c>
      <c r="G340" t="str" cm="1">
        <f t="array" aca="1" ref="G340" ca="1">_xlfn.IFS($B340="etf", _xll.YCI($A340, "prospectus_benchmark_index",TODAY()),$B340&lt;&gt;"etf",_xll.YCI("M:" &amp; $A340, "prospectus_benchmark_index",TODAY()))</f>
        <v>ERR: INVALID ASSET</v>
      </c>
      <c r="H340" s="2" t="str" cm="1">
        <f t="array" aca="1" ref="H340" ca="1">_xlfn.IFS($B340="etf", _xll.YCP($A340,"quarterly_total_return",'Database Query'!$E$14),$B340&lt;&gt;"etf",_xll.YCP("M:"&amp; $A340,"quarterly_total_return",'Database Query'!$E$14))</f>
        <v>ERR: INVALID ASSET</v>
      </c>
      <c r="I340" s="2" t="e" cm="1">
        <f t="array" aca="1" ref="I340" ca="1">-_xll.YCP($E340,"quarterly_return",'Database Query'!$E$14)+H340</f>
        <v>#VALUE!</v>
      </c>
      <c r="J340" s="2" t="str" cm="1">
        <f t="array" aca="1" ref="J340" ca="1">_xlfn.IFS($B340="etf", _xll.YCP($A340,"ytd_total_return",'Database Query'!$E$14),$B340&lt;&gt;"etf",_xll.YCP("M:"&amp; $A340,"ytd_total_return",'Database Query'!$E$14))</f>
        <v>ERR: INVALID ASSET</v>
      </c>
      <c r="K340" s="2" t="e" cm="1">
        <f t="array" aca="1" ref="K340" ca="1">-_xll.YCP($E340,"ytd_return",'Database Query'!$E$14)+J340</f>
        <v>#VALUE!</v>
      </c>
      <c r="L340" s="2" t="str" cm="1">
        <f t="array" aca="1" ref="L340" ca="1">_xlfn.IFS($B340="etf", _xll.YCP($A340,"one_year_total_return",'Database Query'!$E$14),$B340&lt;&gt;"etf",_xll.YCP("M:"&amp; $A340,"one_year_total_return",'Database Query'!$E$14))</f>
        <v>ERR: INVALID ASSET</v>
      </c>
      <c r="M340" s="2" t="e" cm="1">
        <f t="array" aca="1" ref="M340" ca="1">-_xll.YCP($E340,"one_year_return",'Database Query'!$E$14)+L340</f>
        <v>#VALUE!</v>
      </c>
      <c r="N340" s="2" t="str" cm="1">
        <f t="array" aca="1" ref="N340" ca="1">_xlfn.IFS($B340="etf", _xll.YCP($A340,"three_year_total_return",'Database Query'!$E$14),$B340&lt;&gt;"etf",_xll.YCP("M:"&amp; $A340,"three_year_total_return",'Database Query'!$E$14))</f>
        <v>ERR: INVALID ASSET</v>
      </c>
      <c r="O340" s="2" t="e" cm="1">
        <f t="array" aca="1" ref="O340" ca="1">-_xll.YCP($E340,"three_year_return",'Database Query'!$E$14)+N340</f>
        <v>#VALUE!</v>
      </c>
      <c r="P340" s="2" t="str" cm="1">
        <f t="array" aca="1" ref="P340" ca="1">_xlfn.IFS($B340="etf", _xll.YCP($A340,"five_year_total_return",'Database Query'!$E$14),$B340&lt;&gt;"etf",_xll.YCP("M:"&amp; $A340,"five_year_total_return",'Database Query'!$E$14))</f>
        <v>ERR: INVALID ASSET</v>
      </c>
      <c r="Q340" s="2" t="e" cm="1">
        <f t="array" aca="1" ref="Q340" ca="1">-_xll.YCP($E340,"five_year_return",'Database Query'!$E$14)+P340</f>
        <v>#VALUE!</v>
      </c>
    </row>
    <row r="341" spans="2:17" x14ac:dyDescent="0.25">
      <c r="B341" t="str" cm="1">
        <f t="array" aca="1" ref="B341" ca="1">_xll.YCI(A341,"detailed_security_type",TODAY())</f>
        <v/>
      </c>
      <c r="C341" t="str" cm="1">
        <f t="array" aca="1" ref="C341" ca="1">_xlfn.IFS(B341="etf", _xll.YCI(A341, "security_name",TODAY()),B341&lt;&gt;"etf",_xll.YCI("M:" &amp; A341, "security_name",TODAY()))</f>
        <v>ERR: INVALID ASSET</v>
      </c>
      <c r="D341" t="str" cm="1">
        <f t="array" aca="1" ref="D341" ca="1">_xlfn.IFS($B341="etf", _xll.YCI($A341, "ycharts_benchmark_category",TODAY()),$B341&lt;&gt;"etf",_xll.YCI("M:" &amp; $A341, "ycharts_benchmark_category",TODAY()))</f>
        <v>ERR: INVALID ASSET</v>
      </c>
      <c r="E341" t="str" cm="1">
        <f t="array" aca="1" ref="E341" ca="1">_xlfn.IFS($B341="etf", _xll.YCI($A341, "ycharts_benchmark_index_symbol",TODAY()),$B341&lt;&gt;"etf",_xll.YCI("M:" &amp; $A341, "ycharts_benchmark_index_symbol",TODAY()))</f>
        <v>ERR: INVALID ASSET</v>
      </c>
      <c r="F341" t="str" cm="1">
        <f t="array" aca="1" ref="F341" ca="1">_xlfn.IFS($B341="etf", _xll.YCI($E341, "security_name",TODAY()),$B341&lt;&gt;"etf",_xll.YCI( $E341, "security_name",TODAY()))</f>
        <v>ERR: INVALID ASSET</v>
      </c>
      <c r="G341" t="str" cm="1">
        <f t="array" aca="1" ref="G341" ca="1">_xlfn.IFS($B341="etf", _xll.YCI($A341, "prospectus_benchmark_index",TODAY()),$B341&lt;&gt;"etf",_xll.YCI("M:" &amp; $A341, "prospectus_benchmark_index",TODAY()))</f>
        <v>ERR: INVALID ASSET</v>
      </c>
      <c r="H341" s="2" t="str" cm="1">
        <f t="array" aca="1" ref="H341" ca="1">_xlfn.IFS($B341="etf", _xll.YCP($A341,"quarterly_total_return",'Database Query'!$E$14),$B341&lt;&gt;"etf",_xll.YCP("M:"&amp; $A341,"quarterly_total_return",'Database Query'!$E$14))</f>
        <v>ERR: INVALID ASSET</v>
      </c>
      <c r="I341" s="2" t="e" cm="1">
        <f t="array" aca="1" ref="I341" ca="1">-_xll.YCP($E341,"quarterly_return",'Database Query'!$E$14)+H341</f>
        <v>#VALUE!</v>
      </c>
      <c r="J341" s="2" t="str" cm="1">
        <f t="array" aca="1" ref="J341" ca="1">_xlfn.IFS($B341="etf", _xll.YCP($A341,"ytd_total_return",'Database Query'!$E$14),$B341&lt;&gt;"etf",_xll.YCP("M:"&amp; $A341,"ytd_total_return",'Database Query'!$E$14))</f>
        <v>ERR: INVALID ASSET</v>
      </c>
      <c r="K341" s="2" t="e" cm="1">
        <f t="array" aca="1" ref="K341" ca="1">-_xll.YCP($E341,"ytd_return",'Database Query'!$E$14)+J341</f>
        <v>#VALUE!</v>
      </c>
      <c r="L341" s="2" t="str" cm="1">
        <f t="array" aca="1" ref="L341" ca="1">_xlfn.IFS($B341="etf", _xll.YCP($A341,"one_year_total_return",'Database Query'!$E$14),$B341&lt;&gt;"etf",_xll.YCP("M:"&amp; $A341,"one_year_total_return",'Database Query'!$E$14))</f>
        <v>ERR: INVALID ASSET</v>
      </c>
      <c r="M341" s="2" t="e" cm="1">
        <f t="array" aca="1" ref="M341" ca="1">-_xll.YCP($E341,"one_year_return",'Database Query'!$E$14)+L341</f>
        <v>#VALUE!</v>
      </c>
      <c r="N341" s="2" t="str" cm="1">
        <f t="array" aca="1" ref="N341" ca="1">_xlfn.IFS($B341="etf", _xll.YCP($A341,"three_year_total_return",'Database Query'!$E$14),$B341&lt;&gt;"etf",_xll.YCP("M:"&amp; $A341,"three_year_total_return",'Database Query'!$E$14))</f>
        <v>ERR: INVALID ASSET</v>
      </c>
      <c r="O341" s="2" t="e" cm="1">
        <f t="array" aca="1" ref="O341" ca="1">-_xll.YCP($E341,"three_year_return",'Database Query'!$E$14)+N341</f>
        <v>#VALUE!</v>
      </c>
      <c r="P341" s="2" t="str" cm="1">
        <f t="array" aca="1" ref="P341" ca="1">_xlfn.IFS($B341="etf", _xll.YCP($A341,"five_year_total_return",'Database Query'!$E$14),$B341&lt;&gt;"etf",_xll.YCP("M:"&amp; $A341,"five_year_total_return",'Database Query'!$E$14))</f>
        <v>ERR: INVALID ASSET</v>
      </c>
      <c r="Q341" s="2" t="e" cm="1">
        <f t="array" aca="1" ref="Q341" ca="1">-_xll.YCP($E341,"five_year_return",'Database Query'!$E$14)+P341</f>
        <v>#VALUE!</v>
      </c>
    </row>
    <row r="342" spans="2:17" x14ac:dyDescent="0.25">
      <c r="B342" t="str" cm="1">
        <f t="array" aca="1" ref="B342" ca="1">_xll.YCI(A342,"detailed_security_type",TODAY())</f>
        <v/>
      </c>
      <c r="C342" t="str" cm="1">
        <f t="array" aca="1" ref="C342" ca="1">_xlfn.IFS(B342="etf", _xll.YCI(A342, "security_name",TODAY()),B342&lt;&gt;"etf",_xll.YCI("M:" &amp; A342, "security_name",TODAY()))</f>
        <v>ERR: INVALID ASSET</v>
      </c>
      <c r="D342" t="str" cm="1">
        <f t="array" aca="1" ref="D342" ca="1">_xlfn.IFS($B342="etf", _xll.YCI($A342, "ycharts_benchmark_category",TODAY()),$B342&lt;&gt;"etf",_xll.YCI("M:" &amp; $A342, "ycharts_benchmark_category",TODAY()))</f>
        <v>ERR: INVALID ASSET</v>
      </c>
      <c r="E342" t="str" cm="1">
        <f t="array" aca="1" ref="E342" ca="1">_xlfn.IFS($B342="etf", _xll.YCI($A342, "ycharts_benchmark_index_symbol",TODAY()),$B342&lt;&gt;"etf",_xll.YCI("M:" &amp; $A342, "ycharts_benchmark_index_symbol",TODAY()))</f>
        <v>ERR: INVALID ASSET</v>
      </c>
      <c r="F342" t="str" cm="1">
        <f t="array" aca="1" ref="F342" ca="1">_xlfn.IFS($B342="etf", _xll.YCI($E342, "security_name",TODAY()),$B342&lt;&gt;"etf",_xll.YCI( $E342, "security_name",TODAY()))</f>
        <v>ERR: INVALID ASSET</v>
      </c>
      <c r="G342" t="str" cm="1">
        <f t="array" aca="1" ref="G342" ca="1">_xlfn.IFS($B342="etf", _xll.YCI($A342, "prospectus_benchmark_index",TODAY()),$B342&lt;&gt;"etf",_xll.YCI("M:" &amp; $A342, "prospectus_benchmark_index",TODAY()))</f>
        <v>ERR: INVALID ASSET</v>
      </c>
      <c r="H342" s="2" t="str" cm="1">
        <f t="array" aca="1" ref="H342" ca="1">_xlfn.IFS($B342="etf", _xll.YCP($A342,"quarterly_total_return",'Database Query'!$E$14),$B342&lt;&gt;"etf",_xll.YCP("M:"&amp; $A342,"quarterly_total_return",'Database Query'!$E$14))</f>
        <v>ERR: INVALID ASSET</v>
      </c>
      <c r="I342" s="2" t="e" cm="1">
        <f t="array" aca="1" ref="I342" ca="1">-_xll.YCP($E342,"quarterly_return",'Database Query'!$E$14)+H342</f>
        <v>#VALUE!</v>
      </c>
      <c r="J342" s="2" t="str" cm="1">
        <f t="array" aca="1" ref="J342" ca="1">_xlfn.IFS($B342="etf", _xll.YCP($A342,"ytd_total_return",'Database Query'!$E$14),$B342&lt;&gt;"etf",_xll.YCP("M:"&amp; $A342,"ytd_total_return",'Database Query'!$E$14))</f>
        <v>ERR: INVALID ASSET</v>
      </c>
      <c r="K342" s="2" t="e" cm="1">
        <f t="array" aca="1" ref="K342" ca="1">-_xll.YCP($E342,"ytd_return",'Database Query'!$E$14)+J342</f>
        <v>#VALUE!</v>
      </c>
      <c r="L342" s="2" t="str" cm="1">
        <f t="array" aca="1" ref="L342" ca="1">_xlfn.IFS($B342="etf", _xll.YCP($A342,"one_year_total_return",'Database Query'!$E$14),$B342&lt;&gt;"etf",_xll.YCP("M:"&amp; $A342,"one_year_total_return",'Database Query'!$E$14))</f>
        <v>ERR: INVALID ASSET</v>
      </c>
      <c r="M342" s="2" t="e" cm="1">
        <f t="array" aca="1" ref="M342" ca="1">-_xll.YCP($E342,"one_year_return",'Database Query'!$E$14)+L342</f>
        <v>#VALUE!</v>
      </c>
      <c r="N342" s="2" t="str" cm="1">
        <f t="array" aca="1" ref="N342" ca="1">_xlfn.IFS($B342="etf", _xll.YCP($A342,"three_year_total_return",'Database Query'!$E$14),$B342&lt;&gt;"etf",_xll.YCP("M:"&amp; $A342,"three_year_total_return",'Database Query'!$E$14))</f>
        <v>ERR: INVALID ASSET</v>
      </c>
      <c r="O342" s="2" t="e" cm="1">
        <f t="array" aca="1" ref="O342" ca="1">-_xll.YCP($E342,"three_year_return",'Database Query'!$E$14)+N342</f>
        <v>#VALUE!</v>
      </c>
      <c r="P342" s="2" t="str" cm="1">
        <f t="array" aca="1" ref="P342" ca="1">_xlfn.IFS($B342="etf", _xll.YCP($A342,"five_year_total_return",'Database Query'!$E$14),$B342&lt;&gt;"etf",_xll.YCP("M:"&amp; $A342,"five_year_total_return",'Database Query'!$E$14))</f>
        <v>ERR: INVALID ASSET</v>
      </c>
      <c r="Q342" s="2" t="e" cm="1">
        <f t="array" aca="1" ref="Q342" ca="1">-_xll.YCP($E342,"five_year_return",'Database Query'!$E$14)+P342</f>
        <v>#VALUE!</v>
      </c>
    </row>
    <row r="343" spans="2:17" x14ac:dyDescent="0.25">
      <c r="B343" t="str" cm="1">
        <f t="array" aca="1" ref="B343" ca="1">_xll.YCI(A343,"detailed_security_type",TODAY())</f>
        <v/>
      </c>
      <c r="C343" t="str" cm="1">
        <f t="array" aca="1" ref="C343" ca="1">_xlfn.IFS(B343="etf", _xll.YCI(A343, "security_name",TODAY()),B343&lt;&gt;"etf",_xll.YCI("M:" &amp; A343, "security_name",TODAY()))</f>
        <v>ERR: INVALID ASSET</v>
      </c>
      <c r="D343" t="str" cm="1">
        <f t="array" aca="1" ref="D343" ca="1">_xlfn.IFS($B343="etf", _xll.YCI($A343, "ycharts_benchmark_category",TODAY()),$B343&lt;&gt;"etf",_xll.YCI("M:" &amp; $A343, "ycharts_benchmark_category",TODAY()))</f>
        <v>ERR: INVALID ASSET</v>
      </c>
      <c r="E343" t="str" cm="1">
        <f t="array" aca="1" ref="E343" ca="1">_xlfn.IFS($B343="etf", _xll.YCI($A343, "ycharts_benchmark_index_symbol",TODAY()),$B343&lt;&gt;"etf",_xll.YCI("M:" &amp; $A343, "ycharts_benchmark_index_symbol",TODAY()))</f>
        <v>ERR: INVALID ASSET</v>
      </c>
      <c r="F343" t="str" cm="1">
        <f t="array" aca="1" ref="F343" ca="1">_xlfn.IFS($B343="etf", _xll.YCI($E343, "security_name",TODAY()),$B343&lt;&gt;"etf",_xll.YCI( $E343, "security_name",TODAY()))</f>
        <v>ERR: INVALID ASSET</v>
      </c>
      <c r="G343" t="str" cm="1">
        <f t="array" aca="1" ref="G343" ca="1">_xlfn.IFS($B343="etf", _xll.YCI($A343, "prospectus_benchmark_index",TODAY()),$B343&lt;&gt;"etf",_xll.YCI("M:" &amp; $A343, "prospectus_benchmark_index",TODAY()))</f>
        <v>ERR: INVALID ASSET</v>
      </c>
      <c r="H343" s="2" t="str" cm="1">
        <f t="array" aca="1" ref="H343" ca="1">_xlfn.IFS($B343="etf", _xll.YCP($A343,"quarterly_total_return",'Database Query'!$E$14),$B343&lt;&gt;"etf",_xll.YCP("M:"&amp; $A343,"quarterly_total_return",'Database Query'!$E$14))</f>
        <v>ERR: INVALID ASSET</v>
      </c>
      <c r="I343" s="2" t="e" cm="1">
        <f t="array" aca="1" ref="I343" ca="1">-_xll.YCP($E343,"quarterly_return",'Database Query'!$E$14)+H343</f>
        <v>#VALUE!</v>
      </c>
      <c r="J343" s="2" t="str" cm="1">
        <f t="array" aca="1" ref="J343" ca="1">_xlfn.IFS($B343="etf", _xll.YCP($A343,"ytd_total_return",'Database Query'!$E$14),$B343&lt;&gt;"etf",_xll.YCP("M:"&amp; $A343,"ytd_total_return",'Database Query'!$E$14))</f>
        <v>ERR: INVALID ASSET</v>
      </c>
      <c r="K343" s="2" t="e" cm="1">
        <f t="array" aca="1" ref="K343" ca="1">-_xll.YCP($E343,"ytd_return",'Database Query'!$E$14)+J343</f>
        <v>#VALUE!</v>
      </c>
      <c r="L343" s="2" t="str" cm="1">
        <f t="array" aca="1" ref="L343" ca="1">_xlfn.IFS($B343="etf", _xll.YCP($A343,"one_year_total_return",'Database Query'!$E$14),$B343&lt;&gt;"etf",_xll.YCP("M:"&amp; $A343,"one_year_total_return",'Database Query'!$E$14))</f>
        <v>ERR: INVALID ASSET</v>
      </c>
      <c r="M343" s="2" t="e" cm="1">
        <f t="array" aca="1" ref="M343" ca="1">-_xll.YCP($E343,"one_year_return",'Database Query'!$E$14)+L343</f>
        <v>#VALUE!</v>
      </c>
      <c r="N343" s="2" t="str" cm="1">
        <f t="array" aca="1" ref="N343" ca="1">_xlfn.IFS($B343="etf", _xll.YCP($A343,"three_year_total_return",'Database Query'!$E$14),$B343&lt;&gt;"etf",_xll.YCP("M:"&amp; $A343,"three_year_total_return",'Database Query'!$E$14))</f>
        <v>ERR: INVALID ASSET</v>
      </c>
      <c r="O343" s="2" t="e" cm="1">
        <f t="array" aca="1" ref="O343" ca="1">-_xll.YCP($E343,"three_year_return",'Database Query'!$E$14)+N343</f>
        <v>#VALUE!</v>
      </c>
      <c r="P343" s="2" t="str" cm="1">
        <f t="array" aca="1" ref="P343" ca="1">_xlfn.IFS($B343="etf", _xll.YCP($A343,"five_year_total_return",'Database Query'!$E$14),$B343&lt;&gt;"etf",_xll.YCP("M:"&amp; $A343,"five_year_total_return",'Database Query'!$E$14))</f>
        <v>ERR: INVALID ASSET</v>
      </c>
      <c r="Q343" s="2" t="e" cm="1">
        <f t="array" aca="1" ref="Q343" ca="1">-_xll.YCP($E343,"five_year_return",'Database Query'!$E$14)+P343</f>
        <v>#VALUE!</v>
      </c>
    </row>
    <row r="344" spans="2:17" x14ac:dyDescent="0.25">
      <c r="B344" t="str" cm="1">
        <f t="array" aca="1" ref="B344" ca="1">_xll.YCI(A344,"detailed_security_type",TODAY())</f>
        <v/>
      </c>
      <c r="C344" t="str" cm="1">
        <f t="array" aca="1" ref="C344" ca="1">_xlfn.IFS(B344="etf", _xll.YCI(A344, "security_name",TODAY()),B344&lt;&gt;"etf",_xll.YCI("M:" &amp; A344, "security_name",TODAY()))</f>
        <v>ERR: INVALID ASSET</v>
      </c>
      <c r="D344" t="str" cm="1">
        <f t="array" aca="1" ref="D344" ca="1">_xlfn.IFS($B344="etf", _xll.YCI($A344, "ycharts_benchmark_category",TODAY()),$B344&lt;&gt;"etf",_xll.YCI("M:" &amp; $A344, "ycharts_benchmark_category",TODAY()))</f>
        <v>ERR: INVALID ASSET</v>
      </c>
      <c r="E344" t="str" cm="1">
        <f t="array" aca="1" ref="E344" ca="1">_xlfn.IFS($B344="etf", _xll.YCI($A344, "ycharts_benchmark_index_symbol",TODAY()),$B344&lt;&gt;"etf",_xll.YCI("M:" &amp; $A344, "ycharts_benchmark_index_symbol",TODAY()))</f>
        <v>ERR: INVALID ASSET</v>
      </c>
      <c r="F344" t="str" cm="1">
        <f t="array" aca="1" ref="F344" ca="1">_xlfn.IFS($B344="etf", _xll.YCI($E344, "security_name",TODAY()),$B344&lt;&gt;"etf",_xll.YCI( $E344, "security_name",TODAY()))</f>
        <v>ERR: INVALID ASSET</v>
      </c>
      <c r="G344" t="str" cm="1">
        <f t="array" aca="1" ref="G344" ca="1">_xlfn.IFS($B344="etf", _xll.YCI($A344, "prospectus_benchmark_index",TODAY()),$B344&lt;&gt;"etf",_xll.YCI("M:" &amp; $A344, "prospectus_benchmark_index",TODAY()))</f>
        <v>ERR: INVALID ASSET</v>
      </c>
      <c r="H344" s="2" t="str" cm="1">
        <f t="array" aca="1" ref="H344" ca="1">_xlfn.IFS($B344="etf", _xll.YCP($A344,"quarterly_total_return",'Database Query'!$E$14),$B344&lt;&gt;"etf",_xll.YCP("M:"&amp; $A344,"quarterly_total_return",'Database Query'!$E$14))</f>
        <v>ERR: INVALID ASSET</v>
      </c>
      <c r="I344" s="2" t="e" cm="1">
        <f t="array" aca="1" ref="I344" ca="1">-_xll.YCP($E344,"quarterly_return",'Database Query'!$E$14)+H344</f>
        <v>#VALUE!</v>
      </c>
      <c r="J344" s="2" t="str" cm="1">
        <f t="array" aca="1" ref="J344" ca="1">_xlfn.IFS($B344="etf", _xll.YCP($A344,"ytd_total_return",'Database Query'!$E$14),$B344&lt;&gt;"etf",_xll.YCP("M:"&amp; $A344,"ytd_total_return",'Database Query'!$E$14))</f>
        <v>ERR: INVALID ASSET</v>
      </c>
      <c r="K344" s="2" t="e" cm="1">
        <f t="array" aca="1" ref="K344" ca="1">-_xll.YCP($E344,"ytd_return",'Database Query'!$E$14)+J344</f>
        <v>#VALUE!</v>
      </c>
      <c r="L344" s="2" t="str" cm="1">
        <f t="array" aca="1" ref="L344" ca="1">_xlfn.IFS($B344="etf", _xll.YCP($A344,"one_year_total_return",'Database Query'!$E$14),$B344&lt;&gt;"etf",_xll.YCP("M:"&amp; $A344,"one_year_total_return",'Database Query'!$E$14))</f>
        <v>ERR: INVALID ASSET</v>
      </c>
      <c r="M344" s="2" t="e" cm="1">
        <f t="array" aca="1" ref="M344" ca="1">-_xll.YCP($E344,"one_year_return",'Database Query'!$E$14)+L344</f>
        <v>#VALUE!</v>
      </c>
      <c r="N344" s="2" t="str" cm="1">
        <f t="array" aca="1" ref="N344" ca="1">_xlfn.IFS($B344="etf", _xll.YCP($A344,"three_year_total_return",'Database Query'!$E$14),$B344&lt;&gt;"etf",_xll.YCP("M:"&amp; $A344,"three_year_total_return",'Database Query'!$E$14))</f>
        <v>ERR: INVALID ASSET</v>
      </c>
      <c r="O344" s="2" t="e" cm="1">
        <f t="array" aca="1" ref="O344" ca="1">-_xll.YCP($E344,"three_year_return",'Database Query'!$E$14)+N344</f>
        <v>#VALUE!</v>
      </c>
      <c r="P344" s="2" t="str" cm="1">
        <f t="array" aca="1" ref="P344" ca="1">_xlfn.IFS($B344="etf", _xll.YCP($A344,"five_year_total_return",'Database Query'!$E$14),$B344&lt;&gt;"etf",_xll.YCP("M:"&amp; $A344,"five_year_total_return",'Database Query'!$E$14))</f>
        <v>ERR: INVALID ASSET</v>
      </c>
      <c r="Q344" s="2" t="e" cm="1">
        <f t="array" aca="1" ref="Q344" ca="1">-_xll.YCP($E344,"five_year_return",'Database Query'!$E$14)+P344</f>
        <v>#VALUE!</v>
      </c>
    </row>
    <row r="345" spans="2:17" x14ac:dyDescent="0.25">
      <c r="B345" t="str" cm="1">
        <f t="array" aca="1" ref="B345" ca="1">_xll.YCI(A345,"detailed_security_type",TODAY())</f>
        <v/>
      </c>
      <c r="C345" t="str" cm="1">
        <f t="array" aca="1" ref="C345" ca="1">_xlfn.IFS(B345="etf", _xll.YCI(A345, "security_name",TODAY()),B345&lt;&gt;"etf",_xll.YCI("M:" &amp; A345, "security_name",TODAY()))</f>
        <v>ERR: INVALID ASSET</v>
      </c>
      <c r="D345" t="str" cm="1">
        <f t="array" aca="1" ref="D345" ca="1">_xlfn.IFS($B345="etf", _xll.YCI($A345, "ycharts_benchmark_category",TODAY()),$B345&lt;&gt;"etf",_xll.YCI("M:" &amp; $A345, "ycharts_benchmark_category",TODAY()))</f>
        <v>ERR: INVALID ASSET</v>
      </c>
      <c r="E345" t="str" cm="1">
        <f t="array" aca="1" ref="E345" ca="1">_xlfn.IFS($B345="etf", _xll.YCI($A345, "ycharts_benchmark_index_symbol",TODAY()),$B345&lt;&gt;"etf",_xll.YCI("M:" &amp; $A345, "ycharts_benchmark_index_symbol",TODAY()))</f>
        <v>ERR: INVALID ASSET</v>
      </c>
      <c r="F345" t="str" cm="1">
        <f t="array" aca="1" ref="F345" ca="1">_xlfn.IFS($B345="etf", _xll.YCI($E345, "security_name",TODAY()),$B345&lt;&gt;"etf",_xll.YCI( $E345, "security_name",TODAY()))</f>
        <v>ERR: INVALID ASSET</v>
      </c>
      <c r="G345" t="str" cm="1">
        <f t="array" aca="1" ref="G345" ca="1">_xlfn.IFS($B345="etf", _xll.YCI($A345, "prospectus_benchmark_index",TODAY()),$B345&lt;&gt;"etf",_xll.YCI("M:" &amp; $A345, "prospectus_benchmark_index",TODAY()))</f>
        <v>ERR: INVALID ASSET</v>
      </c>
      <c r="H345" s="2" t="str" cm="1">
        <f t="array" aca="1" ref="H345" ca="1">_xlfn.IFS($B345="etf", _xll.YCP($A345,"quarterly_total_return",'Database Query'!$E$14),$B345&lt;&gt;"etf",_xll.YCP("M:"&amp; $A345,"quarterly_total_return",'Database Query'!$E$14))</f>
        <v>ERR: INVALID ASSET</v>
      </c>
      <c r="I345" s="2" t="e" cm="1">
        <f t="array" aca="1" ref="I345" ca="1">-_xll.YCP($E345,"quarterly_return",'Database Query'!$E$14)+H345</f>
        <v>#VALUE!</v>
      </c>
      <c r="J345" s="2" t="str" cm="1">
        <f t="array" aca="1" ref="J345" ca="1">_xlfn.IFS($B345="etf", _xll.YCP($A345,"ytd_total_return",'Database Query'!$E$14),$B345&lt;&gt;"etf",_xll.YCP("M:"&amp; $A345,"ytd_total_return",'Database Query'!$E$14))</f>
        <v>ERR: INVALID ASSET</v>
      </c>
      <c r="K345" s="2" t="e" cm="1">
        <f t="array" aca="1" ref="K345" ca="1">-_xll.YCP($E345,"ytd_return",'Database Query'!$E$14)+J345</f>
        <v>#VALUE!</v>
      </c>
      <c r="L345" s="2" t="str" cm="1">
        <f t="array" aca="1" ref="L345" ca="1">_xlfn.IFS($B345="etf", _xll.YCP($A345,"one_year_total_return",'Database Query'!$E$14),$B345&lt;&gt;"etf",_xll.YCP("M:"&amp; $A345,"one_year_total_return",'Database Query'!$E$14))</f>
        <v>ERR: INVALID ASSET</v>
      </c>
      <c r="M345" s="2" t="e" cm="1">
        <f t="array" aca="1" ref="M345" ca="1">-_xll.YCP($E345,"one_year_return",'Database Query'!$E$14)+L345</f>
        <v>#VALUE!</v>
      </c>
      <c r="N345" s="2" t="str" cm="1">
        <f t="array" aca="1" ref="N345" ca="1">_xlfn.IFS($B345="etf", _xll.YCP($A345,"three_year_total_return",'Database Query'!$E$14),$B345&lt;&gt;"etf",_xll.YCP("M:"&amp; $A345,"three_year_total_return",'Database Query'!$E$14))</f>
        <v>ERR: INVALID ASSET</v>
      </c>
      <c r="O345" s="2" t="e" cm="1">
        <f t="array" aca="1" ref="O345" ca="1">-_xll.YCP($E345,"three_year_return",'Database Query'!$E$14)+N345</f>
        <v>#VALUE!</v>
      </c>
      <c r="P345" s="2" t="str" cm="1">
        <f t="array" aca="1" ref="P345" ca="1">_xlfn.IFS($B345="etf", _xll.YCP($A345,"five_year_total_return",'Database Query'!$E$14),$B345&lt;&gt;"etf",_xll.YCP("M:"&amp; $A345,"five_year_total_return",'Database Query'!$E$14))</f>
        <v>ERR: INVALID ASSET</v>
      </c>
      <c r="Q345" s="2" t="e" cm="1">
        <f t="array" aca="1" ref="Q345" ca="1">-_xll.YCP($E345,"five_year_return",'Database Query'!$E$14)+P345</f>
        <v>#VALUE!</v>
      </c>
    </row>
    <row r="346" spans="2:17" x14ac:dyDescent="0.25">
      <c r="B346" t="str" cm="1">
        <f t="array" aca="1" ref="B346" ca="1">_xll.YCI(A346,"detailed_security_type",TODAY())</f>
        <v/>
      </c>
      <c r="C346" t="str" cm="1">
        <f t="array" aca="1" ref="C346" ca="1">_xlfn.IFS(B346="etf", _xll.YCI(A346, "security_name",TODAY()),B346&lt;&gt;"etf",_xll.YCI("M:" &amp; A346, "security_name",TODAY()))</f>
        <v>ERR: INVALID ASSET</v>
      </c>
      <c r="D346" t="str" cm="1">
        <f t="array" aca="1" ref="D346" ca="1">_xlfn.IFS($B346="etf", _xll.YCI($A346, "ycharts_benchmark_category",TODAY()),$B346&lt;&gt;"etf",_xll.YCI("M:" &amp; $A346, "ycharts_benchmark_category",TODAY()))</f>
        <v>ERR: INVALID ASSET</v>
      </c>
      <c r="E346" t="str" cm="1">
        <f t="array" aca="1" ref="E346" ca="1">_xlfn.IFS($B346="etf", _xll.YCI($A346, "ycharts_benchmark_index_symbol",TODAY()),$B346&lt;&gt;"etf",_xll.YCI("M:" &amp; $A346, "ycharts_benchmark_index_symbol",TODAY()))</f>
        <v>ERR: INVALID ASSET</v>
      </c>
      <c r="F346" t="str" cm="1">
        <f t="array" aca="1" ref="F346" ca="1">_xlfn.IFS($B346="etf", _xll.YCI($E346, "security_name",TODAY()),$B346&lt;&gt;"etf",_xll.YCI( $E346, "security_name",TODAY()))</f>
        <v>ERR: INVALID ASSET</v>
      </c>
      <c r="G346" t="str" cm="1">
        <f t="array" aca="1" ref="G346" ca="1">_xlfn.IFS($B346="etf", _xll.YCI($A346, "prospectus_benchmark_index",TODAY()),$B346&lt;&gt;"etf",_xll.YCI("M:" &amp; $A346, "prospectus_benchmark_index",TODAY()))</f>
        <v>ERR: INVALID ASSET</v>
      </c>
      <c r="H346" s="2" t="str" cm="1">
        <f t="array" aca="1" ref="H346" ca="1">_xlfn.IFS($B346="etf", _xll.YCP($A346,"quarterly_total_return",'Database Query'!$E$14),$B346&lt;&gt;"etf",_xll.YCP("M:"&amp; $A346,"quarterly_total_return",'Database Query'!$E$14))</f>
        <v>ERR: INVALID ASSET</v>
      </c>
      <c r="I346" s="2" t="e" cm="1">
        <f t="array" aca="1" ref="I346" ca="1">-_xll.YCP($E346,"quarterly_return",'Database Query'!$E$14)+H346</f>
        <v>#VALUE!</v>
      </c>
      <c r="J346" s="2" t="str" cm="1">
        <f t="array" aca="1" ref="J346" ca="1">_xlfn.IFS($B346="etf", _xll.YCP($A346,"ytd_total_return",'Database Query'!$E$14),$B346&lt;&gt;"etf",_xll.YCP("M:"&amp; $A346,"ytd_total_return",'Database Query'!$E$14))</f>
        <v>ERR: INVALID ASSET</v>
      </c>
      <c r="K346" s="2" t="e" cm="1">
        <f t="array" aca="1" ref="K346" ca="1">-_xll.YCP($E346,"ytd_return",'Database Query'!$E$14)+J346</f>
        <v>#VALUE!</v>
      </c>
      <c r="L346" s="2" t="str" cm="1">
        <f t="array" aca="1" ref="L346" ca="1">_xlfn.IFS($B346="etf", _xll.YCP($A346,"one_year_total_return",'Database Query'!$E$14),$B346&lt;&gt;"etf",_xll.YCP("M:"&amp; $A346,"one_year_total_return",'Database Query'!$E$14))</f>
        <v>ERR: INVALID ASSET</v>
      </c>
      <c r="M346" s="2" t="e" cm="1">
        <f t="array" aca="1" ref="M346" ca="1">-_xll.YCP($E346,"one_year_return",'Database Query'!$E$14)+L346</f>
        <v>#VALUE!</v>
      </c>
      <c r="N346" s="2" t="str" cm="1">
        <f t="array" aca="1" ref="N346" ca="1">_xlfn.IFS($B346="etf", _xll.YCP($A346,"three_year_total_return",'Database Query'!$E$14),$B346&lt;&gt;"etf",_xll.YCP("M:"&amp; $A346,"three_year_total_return",'Database Query'!$E$14))</f>
        <v>ERR: INVALID ASSET</v>
      </c>
      <c r="O346" s="2" t="e" cm="1">
        <f t="array" aca="1" ref="O346" ca="1">-_xll.YCP($E346,"three_year_return",'Database Query'!$E$14)+N346</f>
        <v>#VALUE!</v>
      </c>
      <c r="P346" s="2" t="str" cm="1">
        <f t="array" aca="1" ref="P346" ca="1">_xlfn.IFS($B346="etf", _xll.YCP($A346,"five_year_total_return",'Database Query'!$E$14),$B346&lt;&gt;"etf",_xll.YCP("M:"&amp; $A346,"five_year_total_return",'Database Query'!$E$14))</f>
        <v>ERR: INVALID ASSET</v>
      </c>
      <c r="Q346" s="2" t="e" cm="1">
        <f t="array" aca="1" ref="Q346" ca="1">-_xll.YCP($E346,"five_year_return",'Database Query'!$E$14)+P346</f>
        <v>#VALUE!</v>
      </c>
    </row>
    <row r="347" spans="2:17" x14ac:dyDescent="0.25">
      <c r="B347" t="str" cm="1">
        <f t="array" aca="1" ref="B347" ca="1">_xll.YCI(A347,"detailed_security_type",TODAY())</f>
        <v/>
      </c>
      <c r="C347" t="str" cm="1">
        <f t="array" aca="1" ref="C347" ca="1">_xlfn.IFS(B347="etf", _xll.YCI(A347, "security_name",TODAY()),B347&lt;&gt;"etf",_xll.YCI("M:" &amp; A347, "security_name",TODAY()))</f>
        <v>ERR: INVALID ASSET</v>
      </c>
      <c r="D347" t="str" cm="1">
        <f t="array" aca="1" ref="D347" ca="1">_xlfn.IFS($B347="etf", _xll.YCI($A347, "ycharts_benchmark_category",TODAY()),$B347&lt;&gt;"etf",_xll.YCI("M:" &amp; $A347, "ycharts_benchmark_category",TODAY()))</f>
        <v>ERR: INVALID ASSET</v>
      </c>
      <c r="E347" t="str" cm="1">
        <f t="array" aca="1" ref="E347" ca="1">_xlfn.IFS($B347="etf", _xll.YCI($A347, "ycharts_benchmark_index_symbol",TODAY()),$B347&lt;&gt;"etf",_xll.YCI("M:" &amp; $A347, "ycharts_benchmark_index_symbol",TODAY()))</f>
        <v>ERR: INVALID ASSET</v>
      </c>
      <c r="F347" t="str" cm="1">
        <f t="array" aca="1" ref="F347" ca="1">_xlfn.IFS($B347="etf", _xll.YCI($E347, "security_name",TODAY()),$B347&lt;&gt;"etf",_xll.YCI( $E347, "security_name",TODAY()))</f>
        <v>ERR: INVALID ASSET</v>
      </c>
      <c r="G347" t="str" cm="1">
        <f t="array" aca="1" ref="G347" ca="1">_xlfn.IFS($B347="etf", _xll.YCI($A347, "prospectus_benchmark_index",TODAY()),$B347&lt;&gt;"etf",_xll.YCI("M:" &amp; $A347, "prospectus_benchmark_index",TODAY()))</f>
        <v>ERR: INVALID ASSET</v>
      </c>
      <c r="H347" s="2" t="str" cm="1">
        <f t="array" aca="1" ref="H347" ca="1">_xlfn.IFS($B347="etf", _xll.YCP($A347,"quarterly_total_return",'Database Query'!$E$14),$B347&lt;&gt;"etf",_xll.YCP("M:"&amp; $A347,"quarterly_total_return",'Database Query'!$E$14))</f>
        <v>ERR: INVALID ASSET</v>
      </c>
      <c r="I347" s="2" t="e" cm="1">
        <f t="array" aca="1" ref="I347" ca="1">-_xll.YCP($E347,"quarterly_return",'Database Query'!$E$14)+H347</f>
        <v>#VALUE!</v>
      </c>
      <c r="J347" s="2" t="str" cm="1">
        <f t="array" aca="1" ref="J347" ca="1">_xlfn.IFS($B347="etf", _xll.YCP($A347,"ytd_total_return",'Database Query'!$E$14),$B347&lt;&gt;"etf",_xll.YCP("M:"&amp; $A347,"ytd_total_return",'Database Query'!$E$14))</f>
        <v>ERR: INVALID ASSET</v>
      </c>
      <c r="K347" s="2" t="e" cm="1">
        <f t="array" aca="1" ref="K347" ca="1">-_xll.YCP($E347,"ytd_return",'Database Query'!$E$14)+J347</f>
        <v>#VALUE!</v>
      </c>
      <c r="L347" s="2" t="str" cm="1">
        <f t="array" aca="1" ref="L347" ca="1">_xlfn.IFS($B347="etf", _xll.YCP($A347,"one_year_total_return",'Database Query'!$E$14),$B347&lt;&gt;"etf",_xll.YCP("M:"&amp; $A347,"one_year_total_return",'Database Query'!$E$14))</f>
        <v>ERR: INVALID ASSET</v>
      </c>
      <c r="M347" s="2" t="e" cm="1">
        <f t="array" aca="1" ref="M347" ca="1">-_xll.YCP($E347,"one_year_return",'Database Query'!$E$14)+L347</f>
        <v>#VALUE!</v>
      </c>
      <c r="N347" s="2" t="str" cm="1">
        <f t="array" aca="1" ref="N347" ca="1">_xlfn.IFS($B347="etf", _xll.YCP($A347,"three_year_total_return",'Database Query'!$E$14),$B347&lt;&gt;"etf",_xll.YCP("M:"&amp; $A347,"three_year_total_return",'Database Query'!$E$14))</f>
        <v>ERR: INVALID ASSET</v>
      </c>
      <c r="O347" s="2" t="e" cm="1">
        <f t="array" aca="1" ref="O347" ca="1">-_xll.YCP($E347,"three_year_return",'Database Query'!$E$14)+N347</f>
        <v>#VALUE!</v>
      </c>
      <c r="P347" s="2" t="str" cm="1">
        <f t="array" aca="1" ref="P347" ca="1">_xlfn.IFS($B347="etf", _xll.YCP($A347,"five_year_total_return",'Database Query'!$E$14),$B347&lt;&gt;"etf",_xll.YCP("M:"&amp; $A347,"five_year_total_return",'Database Query'!$E$14))</f>
        <v>ERR: INVALID ASSET</v>
      </c>
      <c r="Q347" s="2" t="e" cm="1">
        <f t="array" aca="1" ref="Q347" ca="1">-_xll.YCP($E347,"five_year_return",'Database Query'!$E$14)+P347</f>
        <v>#VALUE!</v>
      </c>
    </row>
    <row r="348" spans="2:17" x14ac:dyDescent="0.25">
      <c r="B348" t="str" cm="1">
        <f t="array" aca="1" ref="B348" ca="1">_xll.YCI(A348,"detailed_security_type",TODAY())</f>
        <v/>
      </c>
      <c r="C348" t="str" cm="1">
        <f t="array" aca="1" ref="C348" ca="1">_xlfn.IFS(B348="etf", _xll.YCI(A348, "security_name",TODAY()),B348&lt;&gt;"etf",_xll.YCI("M:" &amp; A348, "security_name",TODAY()))</f>
        <v>ERR: INVALID ASSET</v>
      </c>
      <c r="D348" t="str" cm="1">
        <f t="array" aca="1" ref="D348" ca="1">_xlfn.IFS($B348="etf", _xll.YCI($A348, "ycharts_benchmark_category",TODAY()),$B348&lt;&gt;"etf",_xll.YCI("M:" &amp; $A348, "ycharts_benchmark_category",TODAY()))</f>
        <v>ERR: INVALID ASSET</v>
      </c>
      <c r="E348" t="str" cm="1">
        <f t="array" aca="1" ref="E348" ca="1">_xlfn.IFS($B348="etf", _xll.YCI($A348, "ycharts_benchmark_index_symbol",TODAY()),$B348&lt;&gt;"etf",_xll.YCI("M:" &amp; $A348, "ycharts_benchmark_index_symbol",TODAY()))</f>
        <v>ERR: INVALID ASSET</v>
      </c>
      <c r="F348" t="str" cm="1">
        <f t="array" aca="1" ref="F348" ca="1">_xlfn.IFS($B348="etf", _xll.YCI($E348, "security_name",TODAY()),$B348&lt;&gt;"etf",_xll.YCI( $E348, "security_name",TODAY()))</f>
        <v>ERR: INVALID ASSET</v>
      </c>
      <c r="G348" t="str" cm="1">
        <f t="array" aca="1" ref="G348" ca="1">_xlfn.IFS($B348="etf", _xll.YCI($A348, "prospectus_benchmark_index",TODAY()),$B348&lt;&gt;"etf",_xll.YCI("M:" &amp; $A348, "prospectus_benchmark_index",TODAY()))</f>
        <v>ERR: INVALID ASSET</v>
      </c>
      <c r="H348" s="2" t="str" cm="1">
        <f t="array" aca="1" ref="H348" ca="1">_xlfn.IFS($B348="etf", _xll.YCP($A348,"quarterly_total_return",'Database Query'!$E$14),$B348&lt;&gt;"etf",_xll.YCP("M:"&amp; $A348,"quarterly_total_return",'Database Query'!$E$14))</f>
        <v>ERR: INVALID ASSET</v>
      </c>
      <c r="I348" s="2" t="e" cm="1">
        <f t="array" aca="1" ref="I348" ca="1">-_xll.YCP($E348,"quarterly_return",'Database Query'!$E$14)+H348</f>
        <v>#VALUE!</v>
      </c>
      <c r="J348" s="2" t="str" cm="1">
        <f t="array" aca="1" ref="J348" ca="1">_xlfn.IFS($B348="etf", _xll.YCP($A348,"ytd_total_return",'Database Query'!$E$14),$B348&lt;&gt;"etf",_xll.YCP("M:"&amp; $A348,"ytd_total_return",'Database Query'!$E$14))</f>
        <v>ERR: INVALID ASSET</v>
      </c>
      <c r="K348" s="2" t="e" cm="1">
        <f t="array" aca="1" ref="K348" ca="1">-_xll.YCP($E348,"ytd_return",'Database Query'!$E$14)+J348</f>
        <v>#VALUE!</v>
      </c>
      <c r="L348" s="2" t="str" cm="1">
        <f t="array" aca="1" ref="L348" ca="1">_xlfn.IFS($B348="etf", _xll.YCP($A348,"one_year_total_return",'Database Query'!$E$14),$B348&lt;&gt;"etf",_xll.YCP("M:"&amp; $A348,"one_year_total_return",'Database Query'!$E$14))</f>
        <v>ERR: INVALID ASSET</v>
      </c>
      <c r="M348" s="2" t="e" cm="1">
        <f t="array" aca="1" ref="M348" ca="1">-_xll.YCP($E348,"one_year_return",'Database Query'!$E$14)+L348</f>
        <v>#VALUE!</v>
      </c>
      <c r="N348" s="2" t="str" cm="1">
        <f t="array" aca="1" ref="N348" ca="1">_xlfn.IFS($B348="etf", _xll.YCP($A348,"three_year_total_return",'Database Query'!$E$14),$B348&lt;&gt;"etf",_xll.YCP("M:"&amp; $A348,"three_year_total_return",'Database Query'!$E$14))</f>
        <v>ERR: INVALID ASSET</v>
      </c>
      <c r="O348" s="2" t="e" cm="1">
        <f t="array" aca="1" ref="O348" ca="1">-_xll.YCP($E348,"three_year_return",'Database Query'!$E$14)+N348</f>
        <v>#VALUE!</v>
      </c>
      <c r="P348" s="2" t="str" cm="1">
        <f t="array" aca="1" ref="P348" ca="1">_xlfn.IFS($B348="etf", _xll.YCP($A348,"five_year_total_return",'Database Query'!$E$14),$B348&lt;&gt;"etf",_xll.YCP("M:"&amp; $A348,"five_year_total_return",'Database Query'!$E$14))</f>
        <v>ERR: INVALID ASSET</v>
      </c>
      <c r="Q348" s="2" t="e" cm="1">
        <f t="array" aca="1" ref="Q348" ca="1">-_xll.YCP($E348,"five_year_return",'Database Query'!$E$14)+P348</f>
        <v>#VALUE!</v>
      </c>
    </row>
    <row r="349" spans="2:17" x14ac:dyDescent="0.25">
      <c r="B349" t="str" cm="1">
        <f t="array" aca="1" ref="B349" ca="1">_xll.YCI(A349,"detailed_security_type",TODAY())</f>
        <v/>
      </c>
      <c r="C349" t="str" cm="1">
        <f t="array" aca="1" ref="C349" ca="1">_xlfn.IFS(B349="etf", _xll.YCI(A349, "security_name",TODAY()),B349&lt;&gt;"etf",_xll.YCI("M:" &amp; A349, "security_name",TODAY()))</f>
        <v>ERR: INVALID ASSET</v>
      </c>
      <c r="D349" t="str" cm="1">
        <f t="array" aca="1" ref="D349" ca="1">_xlfn.IFS($B349="etf", _xll.YCI($A349, "ycharts_benchmark_category",TODAY()),$B349&lt;&gt;"etf",_xll.YCI("M:" &amp; $A349, "ycharts_benchmark_category",TODAY()))</f>
        <v>ERR: INVALID ASSET</v>
      </c>
      <c r="E349" t="str" cm="1">
        <f t="array" aca="1" ref="E349" ca="1">_xlfn.IFS($B349="etf", _xll.YCI($A349, "ycharts_benchmark_index_symbol",TODAY()),$B349&lt;&gt;"etf",_xll.YCI("M:" &amp; $A349, "ycharts_benchmark_index_symbol",TODAY()))</f>
        <v>ERR: INVALID ASSET</v>
      </c>
      <c r="F349" t="str" cm="1">
        <f t="array" aca="1" ref="F349" ca="1">_xlfn.IFS($B349="etf", _xll.YCI($E349, "security_name",TODAY()),$B349&lt;&gt;"etf",_xll.YCI( $E349, "security_name",TODAY()))</f>
        <v>ERR: INVALID ASSET</v>
      </c>
      <c r="G349" t="str" cm="1">
        <f t="array" aca="1" ref="G349" ca="1">_xlfn.IFS($B349="etf", _xll.YCI($A349, "prospectus_benchmark_index",TODAY()),$B349&lt;&gt;"etf",_xll.YCI("M:" &amp; $A349, "prospectus_benchmark_index",TODAY()))</f>
        <v>ERR: INVALID ASSET</v>
      </c>
      <c r="H349" s="2" t="str" cm="1">
        <f t="array" aca="1" ref="H349" ca="1">_xlfn.IFS($B349="etf", _xll.YCP($A349,"quarterly_total_return",'Database Query'!$E$14),$B349&lt;&gt;"etf",_xll.YCP("M:"&amp; $A349,"quarterly_total_return",'Database Query'!$E$14))</f>
        <v>ERR: INVALID ASSET</v>
      </c>
      <c r="I349" s="2" t="e" cm="1">
        <f t="array" aca="1" ref="I349" ca="1">-_xll.YCP($E349,"quarterly_return",'Database Query'!$E$14)+H349</f>
        <v>#VALUE!</v>
      </c>
      <c r="J349" s="2" t="str" cm="1">
        <f t="array" aca="1" ref="J349" ca="1">_xlfn.IFS($B349="etf", _xll.YCP($A349,"ytd_total_return",'Database Query'!$E$14),$B349&lt;&gt;"etf",_xll.YCP("M:"&amp; $A349,"ytd_total_return",'Database Query'!$E$14))</f>
        <v>ERR: INVALID ASSET</v>
      </c>
      <c r="K349" s="2" t="e" cm="1">
        <f t="array" aca="1" ref="K349" ca="1">-_xll.YCP($E349,"ytd_return",'Database Query'!$E$14)+J349</f>
        <v>#VALUE!</v>
      </c>
      <c r="L349" s="2" t="str" cm="1">
        <f t="array" aca="1" ref="L349" ca="1">_xlfn.IFS($B349="etf", _xll.YCP($A349,"one_year_total_return",'Database Query'!$E$14),$B349&lt;&gt;"etf",_xll.YCP("M:"&amp; $A349,"one_year_total_return",'Database Query'!$E$14))</f>
        <v>ERR: INVALID ASSET</v>
      </c>
      <c r="M349" s="2" t="e" cm="1">
        <f t="array" aca="1" ref="M349" ca="1">-_xll.YCP($E349,"one_year_return",'Database Query'!$E$14)+L349</f>
        <v>#VALUE!</v>
      </c>
      <c r="N349" s="2" t="str" cm="1">
        <f t="array" aca="1" ref="N349" ca="1">_xlfn.IFS($B349="etf", _xll.YCP($A349,"three_year_total_return",'Database Query'!$E$14),$B349&lt;&gt;"etf",_xll.YCP("M:"&amp; $A349,"three_year_total_return",'Database Query'!$E$14))</f>
        <v>ERR: INVALID ASSET</v>
      </c>
      <c r="O349" s="2" t="e" cm="1">
        <f t="array" aca="1" ref="O349" ca="1">-_xll.YCP($E349,"three_year_return",'Database Query'!$E$14)+N349</f>
        <v>#VALUE!</v>
      </c>
      <c r="P349" s="2" t="str" cm="1">
        <f t="array" aca="1" ref="P349" ca="1">_xlfn.IFS($B349="etf", _xll.YCP($A349,"five_year_total_return",'Database Query'!$E$14),$B349&lt;&gt;"etf",_xll.YCP("M:"&amp; $A349,"five_year_total_return",'Database Query'!$E$14))</f>
        <v>ERR: INVALID ASSET</v>
      </c>
      <c r="Q349" s="2" t="e" cm="1">
        <f t="array" aca="1" ref="Q349" ca="1">-_xll.YCP($E349,"five_year_return",'Database Query'!$E$14)+P349</f>
        <v>#VALUE!</v>
      </c>
    </row>
    <row r="350" spans="2:17" x14ac:dyDescent="0.25">
      <c r="B350" t="str" cm="1">
        <f t="array" aca="1" ref="B350" ca="1">_xll.YCI(A350,"detailed_security_type",TODAY())</f>
        <v/>
      </c>
      <c r="C350" t="str" cm="1">
        <f t="array" aca="1" ref="C350" ca="1">_xlfn.IFS(B350="etf", _xll.YCI(A350, "security_name",TODAY()),B350&lt;&gt;"etf",_xll.YCI("M:" &amp; A350, "security_name",TODAY()))</f>
        <v>ERR: INVALID ASSET</v>
      </c>
      <c r="D350" t="str" cm="1">
        <f t="array" aca="1" ref="D350" ca="1">_xlfn.IFS($B350="etf", _xll.YCI($A350, "ycharts_benchmark_category",TODAY()),$B350&lt;&gt;"etf",_xll.YCI("M:" &amp; $A350, "ycharts_benchmark_category",TODAY()))</f>
        <v>ERR: INVALID ASSET</v>
      </c>
      <c r="E350" t="str" cm="1">
        <f t="array" aca="1" ref="E350" ca="1">_xlfn.IFS($B350="etf", _xll.YCI($A350, "ycharts_benchmark_index_symbol",TODAY()),$B350&lt;&gt;"etf",_xll.YCI("M:" &amp; $A350, "ycharts_benchmark_index_symbol",TODAY()))</f>
        <v>ERR: INVALID ASSET</v>
      </c>
      <c r="F350" t="str" cm="1">
        <f t="array" aca="1" ref="F350" ca="1">_xlfn.IFS($B350="etf", _xll.YCI($E350, "security_name",TODAY()),$B350&lt;&gt;"etf",_xll.YCI( $E350, "security_name",TODAY()))</f>
        <v>ERR: INVALID ASSET</v>
      </c>
      <c r="G350" t="str" cm="1">
        <f t="array" aca="1" ref="G350" ca="1">_xlfn.IFS($B350="etf", _xll.YCI($A350, "prospectus_benchmark_index",TODAY()),$B350&lt;&gt;"etf",_xll.YCI("M:" &amp; $A350, "prospectus_benchmark_index",TODAY()))</f>
        <v>ERR: INVALID ASSET</v>
      </c>
      <c r="H350" s="2" t="str" cm="1">
        <f t="array" aca="1" ref="H350" ca="1">_xlfn.IFS($B350="etf", _xll.YCP($A350,"quarterly_total_return",'Database Query'!$E$14),$B350&lt;&gt;"etf",_xll.YCP("M:"&amp; $A350,"quarterly_total_return",'Database Query'!$E$14))</f>
        <v>ERR: INVALID ASSET</v>
      </c>
      <c r="I350" s="2" t="e" cm="1">
        <f t="array" aca="1" ref="I350" ca="1">-_xll.YCP($E350,"quarterly_return",'Database Query'!$E$14)+H350</f>
        <v>#VALUE!</v>
      </c>
      <c r="J350" s="2" t="str" cm="1">
        <f t="array" aca="1" ref="J350" ca="1">_xlfn.IFS($B350="etf", _xll.YCP($A350,"ytd_total_return",'Database Query'!$E$14),$B350&lt;&gt;"etf",_xll.YCP("M:"&amp; $A350,"ytd_total_return",'Database Query'!$E$14))</f>
        <v>ERR: INVALID ASSET</v>
      </c>
      <c r="K350" s="2" t="e" cm="1">
        <f t="array" aca="1" ref="K350" ca="1">-_xll.YCP($E350,"ytd_return",'Database Query'!$E$14)+J350</f>
        <v>#VALUE!</v>
      </c>
      <c r="L350" s="2" t="str" cm="1">
        <f t="array" aca="1" ref="L350" ca="1">_xlfn.IFS($B350="etf", _xll.YCP($A350,"one_year_total_return",'Database Query'!$E$14),$B350&lt;&gt;"etf",_xll.YCP("M:"&amp; $A350,"one_year_total_return",'Database Query'!$E$14))</f>
        <v>ERR: INVALID ASSET</v>
      </c>
      <c r="M350" s="2" t="e" cm="1">
        <f t="array" aca="1" ref="M350" ca="1">-_xll.YCP($E350,"one_year_return",'Database Query'!$E$14)+L350</f>
        <v>#VALUE!</v>
      </c>
      <c r="N350" s="2" t="str" cm="1">
        <f t="array" aca="1" ref="N350" ca="1">_xlfn.IFS($B350="etf", _xll.YCP($A350,"three_year_total_return",'Database Query'!$E$14),$B350&lt;&gt;"etf",_xll.YCP("M:"&amp; $A350,"three_year_total_return",'Database Query'!$E$14))</f>
        <v>ERR: INVALID ASSET</v>
      </c>
      <c r="O350" s="2" t="e" cm="1">
        <f t="array" aca="1" ref="O350" ca="1">-_xll.YCP($E350,"three_year_return",'Database Query'!$E$14)+N350</f>
        <v>#VALUE!</v>
      </c>
      <c r="P350" s="2" t="str" cm="1">
        <f t="array" aca="1" ref="P350" ca="1">_xlfn.IFS($B350="etf", _xll.YCP($A350,"five_year_total_return",'Database Query'!$E$14),$B350&lt;&gt;"etf",_xll.YCP("M:"&amp; $A350,"five_year_total_return",'Database Query'!$E$14))</f>
        <v>ERR: INVALID ASSET</v>
      </c>
      <c r="Q350" s="2" t="e" cm="1">
        <f t="array" aca="1" ref="Q350" ca="1">-_xll.YCP($E350,"five_year_return",'Database Query'!$E$14)+P350</f>
        <v>#VALUE!</v>
      </c>
    </row>
    <row r="351" spans="2:17" x14ac:dyDescent="0.25">
      <c r="B351" t="str" cm="1">
        <f t="array" aca="1" ref="B351" ca="1">_xll.YCI(A351,"detailed_security_type",TODAY())</f>
        <v/>
      </c>
      <c r="C351" t="str" cm="1">
        <f t="array" aca="1" ref="C351" ca="1">_xlfn.IFS(B351="etf", _xll.YCI(A351, "security_name",TODAY()),B351&lt;&gt;"etf",_xll.YCI("M:" &amp; A351, "security_name",TODAY()))</f>
        <v>ERR: INVALID ASSET</v>
      </c>
      <c r="D351" t="str" cm="1">
        <f t="array" aca="1" ref="D351" ca="1">_xlfn.IFS($B351="etf", _xll.YCI($A351, "ycharts_benchmark_category",TODAY()),$B351&lt;&gt;"etf",_xll.YCI("M:" &amp; $A351, "ycharts_benchmark_category",TODAY()))</f>
        <v>ERR: INVALID ASSET</v>
      </c>
      <c r="E351" t="str" cm="1">
        <f t="array" aca="1" ref="E351" ca="1">_xlfn.IFS($B351="etf", _xll.YCI($A351, "ycharts_benchmark_index_symbol",TODAY()),$B351&lt;&gt;"etf",_xll.YCI("M:" &amp; $A351, "ycharts_benchmark_index_symbol",TODAY()))</f>
        <v>ERR: INVALID ASSET</v>
      </c>
      <c r="F351" t="str" cm="1">
        <f t="array" aca="1" ref="F351" ca="1">_xlfn.IFS($B351="etf", _xll.YCI($E351, "security_name",TODAY()),$B351&lt;&gt;"etf",_xll.YCI( $E351, "security_name",TODAY()))</f>
        <v>ERR: INVALID ASSET</v>
      </c>
      <c r="G351" t="str" cm="1">
        <f t="array" aca="1" ref="G351" ca="1">_xlfn.IFS($B351="etf", _xll.YCI($A351, "prospectus_benchmark_index",TODAY()),$B351&lt;&gt;"etf",_xll.YCI("M:" &amp; $A351, "prospectus_benchmark_index",TODAY()))</f>
        <v>ERR: INVALID ASSET</v>
      </c>
      <c r="H351" s="2" t="str" cm="1">
        <f t="array" aca="1" ref="H351" ca="1">_xlfn.IFS($B351="etf", _xll.YCP($A351,"quarterly_total_return",'Database Query'!$E$14),$B351&lt;&gt;"etf",_xll.YCP("M:"&amp; $A351,"quarterly_total_return",'Database Query'!$E$14))</f>
        <v>ERR: INVALID ASSET</v>
      </c>
      <c r="I351" s="2" t="e" cm="1">
        <f t="array" aca="1" ref="I351" ca="1">-_xll.YCP($E351,"quarterly_return",'Database Query'!$E$14)+H351</f>
        <v>#VALUE!</v>
      </c>
      <c r="J351" s="2" t="str" cm="1">
        <f t="array" aca="1" ref="J351" ca="1">_xlfn.IFS($B351="etf", _xll.YCP($A351,"ytd_total_return",'Database Query'!$E$14),$B351&lt;&gt;"etf",_xll.YCP("M:"&amp; $A351,"ytd_total_return",'Database Query'!$E$14))</f>
        <v>ERR: INVALID ASSET</v>
      </c>
      <c r="K351" s="2" t="e" cm="1">
        <f t="array" aca="1" ref="K351" ca="1">-_xll.YCP($E351,"ytd_return",'Database Query'!$E$14)+J351</f>
        <v>#VALUE!</v>
      </c>
      <c r="L351" s="2" t="str" cm="1">
        <f t="array" aca="1" ref="L351" ca="1">_xlfn.IFS($B351="etf", _xll.YCP($A351,"one_year_total_return",'Database Query'!$E$14),$B351&lt;&gt;"etf",_xll.YCP("M:"&amp; $A351,"one_year_total_return",'Database Query'!$E$14))</f>
        <v>ERR: INVALID ASSET</v>
      </c>
      <c r="M351" s="2" t="e" cm="1">
        <f t="array" aca="1" ref="M351" ca="1">-_xll.YCP($E351,"one_year_return",'Database Query'!$E$14)+L351</f>
        <v>#VALUE!</v>
      </c>
      <c r="N351" s="2" t="str" cm="1">
        <f t="array" aca="1" ref="N351" ca="1">_xlfn.IFS($B351="etf", _xll.YCP($A351,"three_year_total_return",'Database Query'!$E$14),$B351&lt;&gt;"etf",_xll.YCP("M:"&amp; $A351,"three_year_total_return",'Database Query'!$E$14))</f>
        <v>ERR: INVALID ASSET</v>
      </c>
      <c r="O351" s="2" t="e" cm="1">
        <f t="array" aca="1" ref="O351" ca="1">-_xll.YCP($E351,"three_year_return",'Database Query'!$E$14)+N351</f>
        <v>#VALUE!</v>
      </c>
      <c r="P351" s="2" t="str" cm="1">
        <f t="array" aca="1" ref="P351" ca="1">_xlfn.IFS($B351="etf", _xll.YCP($A351,"five_year_total_return",'Database Query'!$E$14),$B351&lt;&gt;"etf",_xll.YCP("M:"&amp; $A351,"five_year_total_return",'Database Query'!$E$14))</f>
        <v>ERR: INVALID ASSET</v>
      </c>
      <c r="Q351" s="2" t="e" cm="1">
        <f t="array" aca="1" ref="Q351" ca="1">-_xll.YCP($E351,"five_year_return",'Database Query'!$E$14)+P351</f>
        <v>#VALUE!</v>
      </c>
    </row>
    <row r="352" spans="2:17" x14ac:dyDescent="0.25">
      <c r="B352" t="str" cm="1">
        <f t="array" aca="1" ref="B352" ca="1">_xll.YCI(A352,"detailed_security_type",TODAY())</f>
        <v/>
      </c>
      <c r="C352" t="str" cm="1">
        <f t="array" aca="1" ref="C352" ca="1">_xlfn.IFS(B352="etf", _xll.YCI(A352, "security_name",TODAY()),B352&lt;&gt;"etf",_xll.YCI("M:" &amp; A352, "security_name",TODAY()))</f>
        <v>ERR: INVALID ASSET</v>
      </c>
      <c r="D352" t="str" cm="1">
        <f t="array" aca="1" ref="D352" ca="1">_xlfn.IFS($B352="etf", _xll.YCI($A352, "ycharts_benchmark_category",TODAY()),$B352&lt;&gt;"etf",_xll.YCI("M:" &amp; $A352, "ycharts_benchmark_category",TODAY()))</f>
        <v>ERR: INVALID ASSET</v>
      </c>
      <c r="E352" t="str" cm="1">
        <f t="array" aca="1" ref="E352" ca="1">_xlfn.IFS($B352="etf", _xll.YCI($A352, "ycharts_benchmark_index_symbol",TODAY()),$B352&lt;&gt;"etf",_xll.YCI("M:" &amp; $A352, "ycharts_benchmark_index_symbol",TODAY()))</f>
        <v>ERR: INVALID ASSET</v>
      </c>
      <c r="F352" t="str" cm="1">
        <f t="array" aca="1" ref="F352" ca="1">_xlfn.IFS($B352="etf", _xll.YCI($E352, "security_name",TODAY()),$B352&lt;&gt;"etf",_xll.YCI( $E352, "security_name",TODAY()))</f>
        <v>ERR: INVALID ASSET</v>
      </c>
      <c r="G352" t="str" cm="1">
        <f t="array" aca="1" ref="G352" ca="1">_xlfn.IFS($B352="etf", _xll.YCI($A352, "prospectus_benchmark_index",TODAY()),$B352&lt;&gt;"etf",_xll.YCI("M:" &amp; $A352, "prospectus_benchmark_index",TODAY()))</f>
        <v>ERR: INVALID ASSET</v>
      </c>
      <c r="H352" s="2" t="str" cm="1">
        <f t="array" aca="1" ref="H352" ca="1">_xlfn.IFS($B352="etf", _xll.YCP($A352,"quarterly_total_return",'Database Query'!$E$14),$B352&lt;&gt;"etf",_xll.YCP("M:"&amp; $A352,"quarterly_total_return",'Database Query'!$E$14))</f>
        <v>ERR: INVALID ASSET</v>
      </c>
      <c r="I352" s="2" t="e" cm="1">
        <f t="array" aca="1" ref="I352" ca="1">-_xll.YCP($E352,"quarterly_return",'Database Query'!$E$14)+H352</f>
        <v>#VALUE!</v>
      </c>
      <c r="J352" s="2" t="str" cm="1">
        <f t="array" aca="1" ref="J352" ca="1">_xlfn.IFS($B352="etf", _xll.YCP($A352,"ytd_total_return",'Database Query'!$E$14),$B352&lt;&gt;"etf",_xll.YCP("M:"&amp; $A352,"ytd_total_return",'Database Query'!$E$14))</f>
        <v>ERR: INVALID ASSET</v>
      </c>
      <c r="K352" s="2" t="e" cm="1">
        <f t="array" aca="1" ref="K352" ca="1">-_xll.YCP($E352,"ytd_return",'Database Query'!$E$14)+J352</f>
        <v>#VALUE!</v>
      </c>
      <c r="L352" s="2" t="str" cm="1">
        <f t="array" aca="1" ref="L352" ca="1">_xlfn.IFS($B352="etf", _xll.YCP($A352,"one_year_total_return",'Database Query'!$E$14),$B352&lt;&gt;"etf",_xll.YCP("M:"&amp; $A352,"one_year_total_return",'Database Query'!$E$14))</f>
        <v>ERR: INVALID ASSET</v>
      </c>
      <c r="M352" s="2" t="e" cm="1">
        <f t="array" aca="1" ref="M352" ca="1">-_xll.YCP($E352,"one_year_return",'Database Query'!$E$14)+L352</f>
        <v>#VALUE!</v>
      </c>
      <c r="N352" s="2" t="str" cm="1">
        <f t="array" aca="1" ref="N352" ca="1">_xlfn.IFS($B352="etf", _xll.YCP($A352,"three_year_total_return",'Database Query'!$E$14),$B352&lt;&gt;"etf",_xll.YCP("M:"&amp; $A352,"three_year_total_return",'Database Query'!$E$14))</f>
        <v>ERR: INVALID ASSET</v>
      </c>
      <c r="O352" s="2" t="e" cm="1">
        <f t="array" aca="1" ref="O352" ca="1">-_xll.YCP($E352,"three_year_return",'Database Query'!$E$14)+N352</f>
        <v>#VALUE!</v>
      </c>
      <c r="P352" s="2" t="str" cm="1">
        <f t="array" aca="1" ref="P352" ca="1">_xlfn.IFS($B352="etf", _xll.YCP($A352,"five_year_total_return",'Database Query'!$E$14),$B352&lt;&gt;"etf",_xll.YCP("M:"&amp; $A352,"five_year_total_return",'Database Query'!$E$14))</f>
        <v>ERR: INVALID ASSET</v>
      </c>
      <c r="Q352" s="2" t="e" cm="1">
        <f t="array" aca="1" ref="Q352" ca="1">-_xll.YCP($E352,"five_year_return",'Database Query'!$E$14)+P352</f>
        <v>#VALUE!</v>
      </c>
    </row>
    <row r="353" spans="2:17" x14ac:dyDescent="0.25">
      <c r="B353" t="str" cm="1">
        <f t="array" aca="1" ref="B353" ca="1">_xll.YCI(A353,"detailed_security_type",TODAY())</f>
        <v/>
      </c>
      <c r="C353" t="str" cm="1">
        <f t="array" aca="1" ref="C353" ca="1">_xlfn.IFS(B353="etf", _xll.YCI(A353, "security_name",TODAY()),B353&lt;&gt;"etf",_xll.YCI("M:" &amp; A353, "security_name",TODAY()))</f>
        <v>ERR: INVALID ASSET</v>
      </c>
      <c r="D353" t="str" cm="1">
        <f t="array" aca="1" ref="D353" ca="1">_xlfn.IFS($B353="etf", _xll.YCI($A353, "ycharts_benchmark_category",TODAY()),$B353&lt;&gt;"etf",_xll.YCI("M:" &amp; $A353, "ycharts_benchmark_category",TODAY()))</f>
        <v>ERR: INVALID ASSET</v>
      </c>
      <c r="E353" t="str" cm="1">
        <f t="array" aca="1" ref="E353" ca="1">_xlfn.IFS($B353="etf", _xll.YCI($A353, "ycharts_benchmark_index_symbol",TODAY()),$B353&lt;&gt;"etf",_xll.YCI("M:" &amp; $A353, "ycharts_benchmark_index_symbol",TODAY()))</f>
        <v>ERR: INVALID ASSET</v>
      </c>
      <c r="F353" t="str" cm="1">
        <f t="array" aca="1" ref="F353" ca="1">_xlfn.IFS($B353="etf", _xll.YCI($E353, "security_name",TODAY()),$B353&lt;&gt;"etf",_xll.YCI( $E353, "security_name",TODAY()))</f>
        <v>ERR: INVALID ASSET</v>
      </c>
      <c r="G353" t="str" cm="1">
        <f t="array" aca="1" ref="G353" ca="1">_xlfn.IFS($B353="etf", _xll.YCI($A353, "prospectus_benchmark_index",TODAY()),$B353&lt;&gt;"etf",_xll.YCI("M:" &amp; $A353, "prospectus_benchmark_index",TODAY()))</f>
        <v>ERR: INVALID ASSET</v>
      </c>
      <c r="H353" s="2" t="str" cm="1">
        <f t="array" aca="1" ref="H353" ca="1">_xlfn.IFS($B353="etf", _xll.YCP($A353,"quarterly_total_return",'Database Query'!$E$14),$B353&lt;&gt;"etf",_xll.YCP("M:"&amp; $A353,"quarterly_total_return",'Database Query'!$E$14))</f>
        <v>ERR: INVALID ASSET</v>
      </c>
      <c r="I353" s="2" t="e" cm="1">
        <f t="array" aca="1" ref="I353" ca="1">-_xll.YCP($E353,"quarterly_return",'Database Query'!$E$14)+H353</f>
        <v>#VALUE!</v>
      </c>
      <c r="J353" s="2" t="str" cm="1">
        <f t="array" aca="1" ref="J353" ca="1">_xlfn.IFS($B353="etf", _xll.YCP($A353,"ytd_total_return",'Database Query'!$E$14),$B353&lt;&gt;"etf",_xll.YCP("M:"&amp; $A353,"ytd_total_return",'Database Query'!$E$14))</f>
        <v>ERR: INVALID ASSET</v>
      </c>
      <c r="K353" s="2" t="e" cm="1">
        <f t="array" aca="1" ref="K353" ca="1">-_xll.YCP($E353,"ytd_return",'Database Query'!$E$14)+J353</f>
        <v>#VALUE!</v>
      </c>
      <c r="L353" s="2" t="str" cm="1">
        <f t="array" aca="1" ref="L353" ca="1">_xlfn.IFS($B353="etf", _xll.YCP($A353,"one_year_total_return",'Database Query'!$E$14),$B353&lt;&gt;"etf",_xll.YCP("M:"&amp; $A353,"one_year_total_return",'Database Query'!$E$14))</f>
        <v>ERR: INVALID ASSET</v>
      </c>
      <c r="M353" s="2" t="e" cm="1">
        <f t="array" aca="1" ref="M353" ca="1">-_xll.YCP($E353,"one_year_return",'Database Query'!$E$14)+L353</f>
        <v>#VALUE!</v>
      </c>
      <c r="N353" s="2" t="str" cm="1">
        <f t="array" aca="1" ref="N353" ca="1">_xlfn.IFS($B353="etf", _xll.YCP($A353,"three_year_total_return",'Database Query'!$E$14),$B353&lt;&gt;"etf",_xll.YCP("M:"&amp; $A353,"three_year_total_return",'Database Query'!$E$14))</f>
        <v>ERR: INVALID ASSET</v>
      </c>
      <c r="O353" s="2" t="e" cm="1">
        <f t="array" aca="1" ref="O353" ca="1">-_xll.YCP($E353,"three_year_return",'Database Query'!$E$14)+N353</f>
        <v>#VALUE!</v>
      </c>
      <c r="P353" s="2" t="str" cm="1">
        <f t="array" aca="1" ref="P353" ca="1">_xlfn.IFS($B353="etf", _xll.YCP($A353,"five_year_total_return",'Database Query'!$E$14),$B353&lt;&gt;"etf",_xll.YCP("M:"&amp; $A353,"five_year_total_return",'Database Query'!$E$14))</f>
        <v>ERR: INVALID ASSET</v>
      </c>
      <c r="Q353" s="2" t="e" cm="1">
        <f t="array" aca="1" ref="Q353" ca="1">-_xll.YCP($E353,"five_year_return",'Database Query'!$E$14)+P353</f>
        <v>#VALUE!</v>
      </c>
    </row>
    <row r="354" spans="2:17" x14ac:dyDescent="0.25">
      <c r="B354" t="str" cm="1">
        <f t="array" aca="1" ref="B354" ca="1">_xll.YCI(A354,"detailed_security_type",TODAY())</f>
        <v/>
      </c>
      <c r="C354" t="str" cm="1">
        <f t="array" aca="1" ref="C354" ca="1">_xlfn.IFS(B354="etf", _xll.YCI(A354, "security_name",TODAY()),B354&lt;&gt;"etf",_xll.YCI("M:" &amp; A354, "security_name",TODAY()))</f>
        <v>ERR: INVALID ASSET</v>
      </c>
      <c r="D354" t="str" cm="1">
        <f t="array" aca="1" ref="D354" ca="1">_xlfn.IFS($B354="etf", _xll.YCI($A354, "ycharts_benchmark_category",TODAY()),$B354&lt;&gt;"etf",_xll.YCI("M:" &amp; $A354, "ycharts_benchmark_category",TODAY()))</f>
        <v>ERR: INVALID ASSET</v>
      </c>
      <c r="E354" t="str" cm="1">
        <f t="array" aca="1" ref="E354" ca="1">_xlfn.IFS($B354="etf", _xll.YCI($A354, "ycharts_benchmark_index_symbol",TODAY()),$B354&lt;&gt;"etf",_xll.YCI("M:" &amp; $A354, "ycharts_benchmark_index_symbol",TODAY()))</f>
        <v>ERR: INVALID ASSET</v>
      </c>
      <c r="F354" t="str" cm="1">
        <f t="array" aca="1" ref="F354" ca="1">_xlfn.IFS($B354="etf", _xll.YCI($E354, "security_name",TODAY()),$B354&lt;&gt;"etf",_xll.YCI( $E354, "security_name",TODAY()))</f>
        <v>ERR: INVALID ASSET</v>
      </c>
      <c r="G354" t="str" cm="1">
        <f t="array" aca="1" ref="G354" ca="1">_xlfn.IFS($B354="etf", _xll.YCI($A354, "prospectus_benchmark_index",TODAY()),$B354&lt;&gt;"etf",_xll.YCI("M:" &amp; $A354, "prospectus_benchmark_index",TODAY()))</f>
        <v>ERR: INVALID ASSET</v>
      </c>
      <c r="H354" s="2" t="str" cm="1">
        <f t="array" aca="1" ref="H354" ca="1">_xlfn.IFS($B354="etf", _xll.YCP($A354,"quarterly_total_return",'Database Query'!$E$14),$B354&lt;&gt;"etf",_xll.YCP("M:"&amp; $A354,"quarterly_total_return",'Database Query'!$E$14))</f>
        <v>ERR: INVALID ASSET</v>
      </c>
      <c r="I354" s="2" t="e" cm="1">
        <f t="array" aca="1" ref="I354" ca="1">-_xll.YCP($E354,"quarterly_return",'Database Query'!$E$14)+H354</f>
        <v>#VALUE!</v>
      </c>
      <c r="J354" s="2" t="str" cm="1">
        <f t="array" aca="1" ref="J354" ca="1">_xlfn.IFS($B354="etf", _xll.YCP($A354,"ytd_total_return",'Database Query'!$E$14),$B354&lt;&gt;"etf",_xll.YCP("M:"&amp; $A354,"ytd_total_return",'Database Query'!$E$14))</f>
        <v>ERR: INVALID ASSET</v>
      </c>
      <c r="K354" s="2" t="e" cm="1">
        <f t="array" aca="1" ref="K354" ca="1">-_xll.YCP($E354,"ytd_return",'Database Query'!$E$14)+J354</f>
        <v>#VALUE!</v>
      </c>
      <c r="L354" s="2" t="str" cm="1">
        <f t="array" aca="1" ref="L354" ca="1">_xlfn.IFS($B354="etf", _xll.YCP($A354,"one_year_total_return",'Database Query'!$E$14),$B354&lt;&gt;"etf",_xll.YCP("M:"&amp; $A354,"one_year_total_return",'Database Query'!$E$14))</f>
        <v>ERR: INVALID ASSET</v>
      </c>
      <c r="M354" s="2" t="e" cm="1">
        <f t="array" aca="1" ref="M354" ca="1">-_xll.YCP($E354,"one_year_return",'Database Query'!$E$14)+L354</f>
        <v>#VALUE!</v>
      </c>
      <c r="N354" s="2" t="str" cm="1">
        <f t="array" aca="1" ref="N354" ca="1">_xlfn.IFS($B354="etf", _xll.YCP($A354,"three_year_total_return",'Database Query'!$E$14),$B354&lt;&gt;"etf",_xll.YCP("M:"&amp; $A354,"three_year_total_return",'Database Query'!$E$14))</f>
        <v>ERR: INVALID ASSET</v>
      </c>
      <c r="O354" s="2" t="e" cm="1">
        <f t="array" aca="1" ref="O354" ca="1">-_xll.YCP($E354,"three_year_return",'Database Query'!$E$14)+N354</f>
        <v>#VALUE!</v>
      </c>
      <c r="P354" s="2" t="str" cm="1">
        <f t="array" aca="1" ref="P354" ca="1">_xlfn.IFS($B354="etf", _xll.YCP($A354,"five_year_total_return",'Database Query'!$E$14),$B354&lt;&gt;"etf",_xll.YCP("M:"&amp; $A354,"five_year_total_return",'Database Query'!$E$14))</f>
        <v>ERR: INVALID ASSET</v>
      </c>
      <c r="Q354" s="2" t="e" cm="1">
        <f t="array" aca="1" ref="Q354" ca="1">-_xll.YCP($E354,"five_year_return",'Database Query'!$E$14)+P354</f>
        <v>#VALUE!</v>
      </c>
    </row>
    <row r="355" spans="2:17" x14ac:dyDescent="0.25">
      <c r="B355" t="str" cm="1">
        <f t="array" aca="1" ref="B355" ca="1">_xll.YCI(A355,"detailed_security_type",TODAY())</f>
        <v/>
      </c>
      <c r="C355" t="str" cm="1">
        <f t="array" aca="1" ref="C355" ca="1">_xlfn.IFS(B355="etf", _xll.YCI(A355, "security_name",TODAY()),B355&lt;&gt;"etf",_xll.YCI("M:" &amp; A355, "security_name",TODAY()))</f>
        <v>ERR: INVALID ASSET</v>
      </c>
      <c r="D355" t="str" cm="1">
        <f t="array" aca="1" ref="D355" ca="1">_xlfn.IFS($B355="etf", _xll.YCI($A355, "ycharts_benchmark_category",TODAY()),$B355&lt;&gt;"etf",_xll.YCI("M:" &amp; $A355, "ycharts_benchmark_category",TODAY()))</f>
        <v>ERR: INVALID ASSET</v>
      </c>
      <c r="E355" t="str" cm="1">
        <f t="array" aca="1" ref="E355" ca="1">_xlfn.IFS($B355="etf", _xll.YCI($A355, "ycharts_benchmark_index_symbol",TODAY()),$B355&lt;&gt;"etf",_xll.YCI("M:" &amp; $A355, "ycharts_benchmark_index_symbol",TODAY()))</f>
        <v>ERR: INVALID ASSET</v>
      </c>
      <c r="F355" t="str" cm="1">
        <f t="array" aca="1" ref="F355" ca="1">_xlfn.IFS($B355="etf", _xll.YCI($E355, "security_name",TODAY()),$B355&lt;&gt;"etf",_xll.YCI( $E355, "security_name",TODAY()))</f>
        <v>ERR: INVALID ASSET</v>
      </c>
      <c r="G355" t="str" cm="1">
        <f t="array" aca="1" ref="G355" ca="1">_xlfn.IFS($B355="etf", _xll.YCI($A355, "prospectus_benchmark_index",TODAY()),$B355&lt;&gt;"etf",_xll.YCI("M:" &amp; $A355, "prospectus_benchmark_index",TODAY()))</f>
        <v>ERR: INVALID ASSET</v>
      </c>
      <c r="H355" s="2" t="str" cm="1">
        <f t="array" aca="1" ref="H355" ca="1">_xlfn.IFS($B355="etf", _xll.YCP($A355,"quarterly_total_return",'Database Query'!$E$14),$B355&lt;&gt;"etf",_xll.YCP("M:"&amp; $A355,"quarterly_total_return",'Database Query'!$E$14))</f>
        <v>ERR: INVALID ASSET</v>
      </c>
      <c r="I355" s="2" t="e" cm="1">
        <f t="array" aca="1" ref="I355" ca="1">-_xll.YCP($E355,"quarterly_return",'Database Query'!$E$14)+H355</f>
        <v>#VALUE!</v>
      </c>
      <c r="J355" s="2" t="str" cm="1">
        <f t="array" aca="1" ref="J355" ca="1">_xlfn.IFS($B355="etf", _xll.YCP($A355,"ytd_total_return",'Database Query'!$E$14),$B355&lt;&gt;"etf",_xll.YCP("M:"&amp; $A355,"ytd_total_return",'Database Query'!$E$14))</f>
        <v>ERR: INVALID ASSET</v>
      </c>
      <c r="K355" s="2" t="e" cm="1">
        <f t="array" aca="1" ref="K355" ca="1">-_xll.YCP($E355,"ytd_return",'Database Query'!$E$14)+J355</f>
        <v>#VALUE!</v>
      </c>
      <c r="L355" s="2" t="str" cm="1">
        <f t="array" aca="1" ref="L355" ca="1">_xlfn.IFS($B355="etf", _xll.YCP($A355,"one_year_total_return",'Database Query'!$E$14),$B355&lt;&gt;"etf",_xll.YCP("M:"&amp; $A355,"one_year_total_return",'Database Query'!$E$14))</f>
        <v>ERR: INVALID ASSET</v>
      </c>
      <c r="M355" s="2" t="e" cm="1">
        <f t="array" aca="1" ref="M355" ca="1">-_xll.YCP($E355,"one_year_return",'Database Query'!$E$14)+L355</f>
        <v>#VALUE!</v>
      </c>
      <c r="N355" s="2" t="str" cm="1">
        <f t="array" aca="1" ref="N355" ca="1">_xlfn.IFS($B355="etf", _xll.YCP($A355,"three_year_total_return",'Database Query'!$E$14),$B355&lt;&gt;"etf",_xll.YCP("M:"&amp; $A355,"three_year_total_return",'Database Query'!$E$14))</f>
        <v>ERR: INVALID ASSET</v>
      </c>
      <c r="O355" s="2" t="e" cm="1">
        <f t="array" aca="1" ref="O355" ca="1">-_xll.YCP($E355,"three_year_return",'Database Query'!$E$14)+N355</f>
        <v>#VALUE!</v>
      </c>
      <c r="P355" s="2" t="str" cm="1">
        <f t="array" aca="1" ref="P355" ca="1">_xlfn.IFS($B355="etf", _xll.YCP($A355,"five_year_total_return",'Database Query'!$E$14),$B355&lt;&gt;"etf",_xll.YCP("M:"&amp; $A355,"five_year_total_return",'Database Query'!$E$14))</f>
        <v>ERR: INVALID ASSET</v>
      </c>
      <c r="Q355" s="2" t="e" cm="1">
        <f t="array" aca="1" ref="Q355" ca="1">-_xll.YCP($E355,"five_year_return",'Database Query'!$E$14)+P355</f>
        <v>#VALUE!</v>
      </c>
    </row>
    <row r="356" spans="2:17" x14ac:dyDescent="0.25">
      <c r="B356" t="str" cm="1">
        <f t="array" aca="1" ref="B356" ca="1">_xll.YCI(A356,"detailed_security_type",TODAY())</f>
        <v/>
      </c>
      <c r="C356" t="str" cm="1">
        <f t="array" aca="1" ref="C356" ca="1">_xlfn.IFS(B356="etf", _xll.YCI(A356, "security_name",TODAY()),B356&lt;&gt;"etf",_xll.YCI("M:" &amp; A356, "security_name",TODAY()))</f>
        <v>ERR: INVALID ASSET</v>
      </c>
      <c r="D356" t="str" cm="1">
        <f t="array" aca="1" ref="D356" ca="1">_xlfn.IFS($B356="etf", _xll.YCI($A356, "ycharts_benchmark_category",TODAY()),$B356&lt;&gt;"etf",_xll.YCI("M:" &amp; $A356, "ycharts_benchmark_category",TODAY()))</f>
        <v>ERR: INVALID ASSET</v>
      </c>
      <c r="E356" t="str" cm="1">
        <f t="array" aca="1" ref="E356" ca="1">_xlfn.IFS($B356="etf", _xll.YCI($A356, "ycharts_benchmark_index_symbol",TODAY()),$B356&lt;&gt;"etf",_xll.YCI("M:" &amp; $A356, "ycharts_benchmark_index_symbol",TODAY()))</f>
        <v>ERR: INVALID ASSET</v>
      </c>
      <c r="F356" t="str" cm="1">
        <f t="array" aca="1" ref="F356" ca="1">_xlfn.IFS($B356="etf", _xll.YCI($E356, "security_name",TODAY()),$B356&lt;&gt;"etf",_xll.YCI( $E356, "security_name",TODAY()))</f>
        <v>ERR: INVALID ASSET</v>
      </c>
      <c r="G356" t="str" cm="1">
        <f t="array" aca="1" ref="G356" ca="1">_xlfn.IFS($B356="etf", _xll.YCI($A356, "prospectus_benchmark_index",TODAY()),$B356&lt;&gt;"etf",_xll.YCI("M:" &amp; $A356, "prospectus_benchmark_index",TODAY()))</f>
        <v>ERR: INVALID ASSET</v>
      </c>
      <c r="H356" s="2" t="str" cm="1">
        <f t="array" aca="1" ref="H356" ca="1">_xlfn.IFS($B356="etf", _xll.YCP($A356,"quarterly_total_return",'Database Query'!$E$14),$B356&lt;&gt;"etf",_xll.YCP("M:"&amp; $A356,"quarterly_total_return",'Database Query'!$E$14))</f>
        <v>ERR: INVALID ASSET</v>
      </c>
      <c r="I356" s="2" t="e" cm="1">
        <f t="array" aca="1" ref="I356" ca="1">-_xll.YCP($E356,"quarterly_return",'Database Query'!$E$14)+H356</f>
        <v>#VALUE!</v>
      </c>
      <c r="J356" s="2" t="str" cm="1">
        <f t="array" aca="1" ref="J356" ca="1">_xlfn.IFS($B356="etf", _xll.YCP($A356,"ytd_total_return",'Database Query'!$E$14),$B356&lt;&gt;"etf",_xll.YCP("M:"&amp; $A356,"ytd_total_return",'Database Query'!$E$14))</f>
        <v>ERR: INVALID ASSET</v>
      </c>
      <c r="K356" s="2" t="e" cm="1">
        <f t="array" aca="1" ref="K356" ca="1">-_xll.YCP($E356,"ytd_return",'Database Query'!$E$14)+J356</f>
        <v>#VALUE!</v>
      </c>
      <c r="L356" s="2" t="str" cm="1">
        <f t="array" aca="1" ref="L356" ca="1">_xlfn.IFS($B356="etf", _xll.YCP($A356,"one_year_total_return",'Database Query'!$E$14),$B356&lt;&gt;"etf",_xll.YCP("M:"&amp; $A356,"one_year_total_return",'Database Query'!$E$14))</f>
        <v>ERR: INVALID ASSET</v>
      </c>
      <c r="M356" s="2" t="e" cm="1">
        <f t="array" aca="1" ref="M356" ca="1">-_xll.YCP($E356,"one_year_return",'Database Query'!$E$14)+L356</f>
        <v>#VALUE!</v>
      </c>
      <c r="N356" s="2" t="str" cm="1">
        <f t="array" aca="1" ref="N356" ca="1">_xlfn.IFS($B356="etf", _xll.YCP($A356,"three_year_total_return",'Database Query'!$E$14),$B356&lt;&gt;"etf",_xll.YCP("M:"&amp; $A356,"three_year_total_return",'Database Query'!$E$14))</f>
        <v>ERR: INVALID ASSET</v>
      </c>
      <c r="O356" s="2" t="e" cm="1">
        <f t="array" aca="1" ref="O356" ca="1">-_xll.YCP($E356,"three_year_return",'Database Query'!$E$14)+N356</f>
        <v>#VALUE!</v>
      </c>
      <c r="P356" s="2" t="str" cm="1">
        <f t="array" aca="1" ref="P356" ca="1">_xlfn.IFS($B356="etf", _xll.YCP($A356,"five_year_total_return",'Database Query'!$E$14),$B356&lt;&gt;"etf",_xll.YCP("M:"&amp; $A356,"five_year_total_return",'Database Query'!$E$14))</f>
        <v>ERR: INVALID ASSET</v>
      </c>
      <c r="Q356" s="2" t="e" cm="1">
        <f t="array" aca="1" ref="Q356" ca="1">-_xll.YCP($E356,"five_year_return",'Database Query'!$E$14)+P356</f>
        <v>#VALUE!</v>
      </c>
    </row>
    <row r="357" spans="2:17" x14ac:dyDescent="0.25">
      <c r="B357" t="str" cm="1">
        <f t="array" aca="1" ref="B357" ca="1">_xll.YCI(A357,"detailed_security_type",TODAY())</f>
        <v/>
      </c>
      <c r="C357" t="str" cm="1">
        <f t="array" aca="1" ref="C357" ca="1">_xlfn.IFS(B357="etf", _xll.YCI(A357, "security_name",TODAY()),B357&lt;&gt;"etf",_xll.YCI("M:" &amp; A357, "security_name",TODAY()))</f>
        <v>ERR: INVALID ASSET</v>
      </c>
      <c r="D357" t="str" cm="1">
        <f t="array" aca="1" ref="D357" ca="1">_xlfn.IFS($B357="etf", _xll.YCI($A357, "ycharts_benchmark_category",TODAY()),$B357&lt;&gt;"etf",_xll.YCI("M:" &amp; $A357, "ycharts_benchmark_category",TODAY()))</f>
        <v>ERR: INVALID ASSET</v>
      </c>
      <c r="E357" t="str" cm="1">
        <f t="array" aca="1" ref="E357" ca="1">_xlfn.IFS($B357="etf", _xll.YCI($A357, "ycharts_benchmark_index_symbol",TODAY()),$B357&lt;&gt;"etf",_xll.YCI("M:" &amp; $A357, "ycharts_benchmark_index_symbol",TODAY()))</f>
        <v>ERR: INVALID ASSET</v>
      </c>
      <c r="F357" t="str" cm="1">
        <f t="array" aca="1" ref="F357" ca="1">_xlfn.IFS($B357="etf", _xll.YCI($E357, "security_name",TODAY()),$B357&lt;&gt;"etf",_xll.YCI( $E357, "security_name",TODAY()))</f>
        <v>ERR: INVALID ASSET</v>
      </c>
      <c r="G357" t="str" cm="1">
        <f t="array" aca="1" ref="G357" ca="1">_xlfn.IFS($B357="etf", _xll.YCI($A357, "prospectus_benchmark_index",TODAY()),$B357&lt;&gt;"etf",_xll.YCI("M:" &amp; $A357, "prospectus_benchmark_index",TODAY()))</f>
        <v>ERR: INVALID ASSET</v>
      </c>
      <c r="H357" s="2" t="str" cm="1">
        <f t="array" aca="1" ref="H357" ca="1">_xlfn.IFS($B357="etf", _xll.YCP($A357,"quarterly_total_return",'Database Query'!$E$14),$B357&lt;&gt;"etf",_xll.YCP("M:"&amp; $A357,"quarterly_total_return",'Database Query'!$E$14))</f>
        <v>ERR: INVALID ASSET</v>
      </c>
      <c r="I357" s="2" t="e" cm="1">
        <f t="array" aca="1" ref="I357" ca="1">-_xll.YCP($E357,"quarterly_return",'Database Query'!$E$14)+H357</f>
        <v>#VALUE!</v>
      </c>
      <c r="J357" s="2" t="str" cm="1">
        <f t="array" aca="1" ref="J357" ca="1">_xlfn.IFS($B357="etf", _xll.YCP($A357,"ytd_total_return",'Database Query'!$E$14),$B357&lt;&gt;"etf",_xll.YCP("M:"&amp; $A357,"ytd_total_return",'Database Query'!$E$14))</f>
        <v>ERR: INVALID ASSET</v>
      </c>
      <c r="K357" s="2" t="e" cm="1">
        <f t="array" aca="1" ref="K357" ca="1">-_xll.YCP($E357,"ytd_return",'Database Query'!$E$14)+J357</f>
        <v>#VALUE!</v>
      </c>
      <c r="L357" s="2" t="str" cm="1">
        <f t="array" aca="1" ref="L357" ca="1">_xlfn.IFS($B357="etf", _xll.YCP($A357,"one_year_total_return",'Database Query'!$E$14),$B357&lt;&gt;"etf",_xll.YCP("M:"&amp; $A357,"one_year_total_return",'Database Query'!$E$14))</f>
        <v>ERR: INVALID ASSET</v>
      </c>
      <c r="M357" s="2" t="e" cm="1">
        <f t="array" aca="1" ref="M357" ca="1">-_xll.YCP($E357,"one_year_return",'Database Query'!$E$14)+L357</f>
        <v>#VALUE!</v>
      </c>
      <c r="N357" s="2" t="str" cm="1">
        <f t="array" aca="1" ref="N357" ca="1">_xlfn.IFS($B357="etf", _xll.YCP($A357,"three_year_total_return",'Database Query'!$E$14),$B357&lt;&gt;"etf",_xll.YCP("M:"&amp; $A357,"three_year_total_return",'Database Query'!$E$14))</f>
        <v>ERR: INVALID ASSET</v>
      </c>
      <c r="O357" s="2" t="e" cm="1">
        <f t="array" aca="1" ref="O357" ca="1">-_xll.YCP($E357,"three_year_return",'Database Query'!$E$14)+N357</f>
        <v>#VALUE!</v>
      </c>
      <c r="P357" s="2" t="str" cm="1">
        <f t="array" aca="1" ref="P357" ca="1">_xlfn.IFS($B357="etf", _xll.YCP($A357,"five_year_total_return",'Database Query'!$E$14),$B357&lt;&gt;"etf",_xll.YCP("M:"&amp; $A357,"five_year_total_return",'Database Query'!$E$14))</f>
        <v>ERR: INVALID ASSET</v>
      </c>
      <c r="Q357" s="2" t="e" cm="1">
        <f t="array" aca="1" ref="Q357" ca="1">-_xll.YCP($E357,"five_year_return",'Database Query'!$E$14)+P357</f>
        <v>#VALUE!</v>
      </c>
    </row>
    <row r="358" spans="2:17" x14ac:dyDescent="0.25">
      <c r="B358" t="str" cm="1">
        <f t="array" aca="1" ref="B358" ca="1">_xll.YCI(A358,"detailed_security_type",TODAY())</f>
        <v/>
      </c>
      <c r="C358" t="str" cm="1">
        <f t="array" aca="1" ref="C358" ca="1">_xlfn.IFS(B358="etf", _xll.YCI(A358, "security_name",TODAY()),B358&lt;&gt;"etf",_xll.YCI("M:" &amp; A358, "security_name",TODAY()))</f>
        <v>ERR: INVALID ASSET</v>
      </c>
      <c r="D358" t="str" cm="1">
        <f t="array" aca="1" ref="D358" ca="1">_xlfn.IFS($B358="etf", _xll.YCI($A358, "ycharts_benchmark_category",TODAY()),$B358&lt;&gt;"etf",_xll.YCI("M:" &amp; $A358, "ycharts_benchmark_category",TODAY()))</f>
        <v>ERR: INVALID ASSET</v>
      </c>
      <c r="E358" t="str" cm="1">
        <f t="array" aca="1" ref="E358" ca="1">_xlfn.IFS($B358="etf", _xll.YCI($A358, "ycharts_benchmark_index_symbol",TODAY()),$B358&lt;&gt;"etf",_xll.YCI("M:" &amp; $A358, "ycharts_benchmark_index_symbol",TODAY()))</f>
        <v>ERR: INVALID ASSET</v>
      </c>
      <c r="F358" t="str" cm="1">
        <f t="array" aca="1" ref="F358" ca="1">_xlfn.IFS($B358="etf", _xll.YCI($E358, "security_name",TODAY()),$B358&lt;&gt;"etf",_xll.YCI( $E358, "security_name",TODAY()))</f>
        <v>ERR: INVALID ASSET</v>
      </c>
      <c r="G358" t="str" cm="1">
        <f t="array" aca="1" ref="G358" ca="1">_xlfn.IFS($B358="etf", _xll.YCI($A358, "prospectus_benchmark_index",TODAY()),$B358&lt;&gt;"etf",_xll.YCI("M:" &amp; $A358, "prospectus_benchmark_index",TODAY()))</f>
        <v>ERR: INVALID ASSET</v>
      </c>
      <c r="H358" s="2" t="str" cm="1">
        <f t="array" aca="1" ref="H358" ca="1">_xlfn.IFS($B358="etf", _xll.YCP($A358,"quarterly_total_return",'Database Query'!$E$14),$B358&lt;&gt;"etf",_xll.YCP("M:"&amp; $A358,"quarterly_total_return",'Database Query'!$E$14))</f>
        <v>ERR: INVALID ASSET</v>
      </c>
      <c r="I358" s="2" t="e" cm="1">
        <f t="array" aca="1" ref="I358" ca="1">-_xll.YCP($E358,"quarterly_return",'Database Query'!$E$14)+H358</f>
        <v>#VALUE!</v>
      </c>
      <c r="J358" s="2" t="str" cm="1">
        <f t="array" aca="1" ref="J358" ca="1">_xlfn.IFS($B358="etf", _xll.YCP($A358,"ytd_total_return",'Database Query'!$E$14),$B358&lt;&gt;"etf",_xll.YCP("M:"&amp; $A358,"ytd_total_return",'Database Query'!$E$14))</f>
        <v>ERR: INVALID ASSET</v>
      </c>
      <c r="K358" s="2" t="e" cm="1">
        <f t="array" aca="1" ref="K358" ca="1">-_xll.YCP($E358,"ytd_return",'Database Query'!$E$14)+J358</f>
        <v>#VALUE!</v>
      </c>
      <c r="L358" s="2" t="str" cm="1">
        <f t="array" aca="1" ref="L358" ca="1">_xlfn.IFS($B358="etf", _xll.YCP($A358,"one_year_total_return",'Database Query'!$E$14),$B358&lt;&gt;"etf",_xll.YCP("M:"&amp; $A358,"one_year_total_return",'Database Query'!$E$14))</f>
        <v>ERR: INVALID ASSET</v>
      </c>
      <c r="M358" s="2" t="e" cm="1">
        <f t="array" aca="1" ref="M358" ca="1">-_xll.YCP($E358,"one_year_return",'Database Query'!$E$14)+L358</f>
        <v>#VALUE!</v>
      </c>
      <c r="N358" s="2" t="str" cm="1">
        <f t="array" aca="1" ref="N358" ca="1">_xlfn.IFS($B358="etf", _xll.YCP($A358,"three_year_total_return",'Database Query'!$E$14),$B358&lt;&gt;"etf",_xll.YCP("M:"&amp; $A358,"three_year_total_return",'Database Query'!$E$14))</f>
        <v>ERR: INVALID ASSET</v>
      </c>
      <c r="O358" s="2" t="e" cm="1">
        <f t="array" aca="1" ref="O358" ca="1">-_xll.YCP($E358,"three_year_return",'Database Query'!$E$14)+N358</f>
        <v>#VALUE!</v>
      </c>
      <c r="P358" s="2" t="str" cm="1">
        <f t="array" aca="1" ref="P358" ca="1">_xlfn.IFS($B358="etf", _xll.YCP($A358,"five_year_total_return",'Database Query'!$E$14),$B358&lt;&gt;"etf",_xll.YCP("M:"&amp; $A358,"five_year_total_return",'Database Query'!$E$14))</f>
        <v>ERR: INVALID ASSET</v>
      </c>
      <c r="Q358" s="2" t="e" cm="1">
        <f t="array" aca="1" ref="Q358" ca="1">-_xll.YCP($E358,"five_year_return",'Database Query'!$E$14)+P358</f>
        <v>#VALUE!</v>
      </c>
    </row>
    <row r="359" spans="2:17" x14ac:dyDescent="0.25">
      <c r="B359" t="str" cm="1">
        <f t="array" aca="1" ref="B359" ca="1">_xll.YCI(A359,"detailed_security_type",TODAY())</f>
        <v/>
      </c>
      <c r="C359" t="str" cm="1">
        <f t="array" aca="1" ref="C359" ca="1">_xlfn.IFS(B359="etf", _xll.YCI(A359, "security_name",TODAY()),B359&lt;&gt;"etf",_xll.YCI("M:" &amp; A359, "security_name",TODAY()))</f>
        <v>ERR: INVALID ASSET</v>
      </c>
      <c r="D359" t="str" cm="1">
        <f t="array" aca="1" ref="D359" ca="1">_xlfn.IFS($B359="etf", _xll.YCI($A359, "ycharts_benchmark_category",TODAY()),$B359&lt;&gt;"etf",_xll.YCI("M:" &amp; $A359, "ycharts_benchmark_category",TODAY()))</f>
        <v>ERR: INVALID ASSET</v>
      </c>
      <c r="E359" t="str" cm="1">
        <f t="array" aca="1" ref="E359" ca="1">_xlfn.IFS($B359="etf", _xll.YCI($A359, "ycharts_benchmark_index_symbol",TODAY()),$B359&lt;&gt;"etf",_xll.YCI("M:" &amp; $A359, "ycharts_benchmark_index_symbol",TODAY()))</f>
        <v>ERR: INVALID ASSET</v>
      </c>
      <c r="F359" t="str" cm="1">
        <f t="array" aca="1" ref="F359" ca="1">_xlfn.IFS($B359="etf", _xll.YCI($E359, "security_name",TODAY()),$B359&lt;&gt;"etf",_xll.YCI( $E359, "security_name",TODAY()))</f>
        <v>ERR: INVALID ASSET</v>
      </c>
      <c r="G359" t="str" cm="1">
        <f t="array" aca="1" ref="G359" ca="1">_xlfn.IFS($B359="etf", _xll.YCI($A359, "prospectus_benchmark_index",TODAY()),$B359&lt;&gt;"etf",_xll.YCI("M:" &amp; $A359, "prospectus_benchmark_index",TODAY()))</f>
        <v>ERR: INVALID ASSET</v>
      </c>
      <c r="H359" s="2" t="str" cm="1">
        <f t="array" aca="1" ref="H359" ca="1">_xlfn.IFS($B359="etf", _xll.YCP($A359,"quarterly_total_return",'Database Query'!$E$14),$B359&lt;&gt;"etf",_xll.YCP("M:"&amp; $A359,"quarterly_total_return",'Database Query'!$E$14))</f>
        <v>ERR: INVALID ASSET</v>
      </c>
      <c r="I359" s="2" t="e" cm="1">
        <f t="array" aca="1" ref="I359" ca="1">-_xll.YCP($E359,"quarterly_return",'Database Query'!$E$14)+H359</f>
        <v>#VALUE!</v>
      </c>
      <c r="J359" s="2" t="str" cm="1">
        <f t="array" aca="1" ref="J359" ca="1">_xlfn.IFS($B359="etf", _xll.YCP($A359,"ytd_total_return",'Database Query'!$E$14),$B359&lt;&gt;"etf",_xll.YCP("M:"&amp; $A359,"ytd_total_return",'Database Query'!$E$14))</f>
        <v>ERR: INVALID ASSET</v>
      </c>
      <c r="K359" s="2" t="e" cm="1">
        <f t="array" aca="1" ref="K359" ca="1">-_xll.YCP($E359,"ytd_return",'Database Query'!$E$14)+J359</f>
        <v>#VALUE!</v>
      </c>
      <c r="L359" s="2" t="str" cm="1">
        <f t="array" aca="1" ref="L359" ca="1">_xlfn.IFS($B359="etf", _xll.YCP($A359,"one_year_total_return",'Database Query'!$E$14),$B359&lt;&gt;"etf",_xll.YCP("M:"&amp; $A359,"one_year_total_return",'Database Query'!$E$14))</f>
        <v>ERR: INVALID ASSET</v>
      </c>
      <c r="M359" s="2" t="e" cm="1">
        <f t="array" aca="1" ref="M359" ca="1">-_xll.YCP($E359,"one_year_return",'Database Query'!$E$14)+L359</f>
        <v>#VALUE!</v>
      </c>
      <c r="N359" s="2" t="str" cm="1">
        <f t="array" aca="1" ref="N359" ca="1">_xlfn.IFS($B359="etf", _xll.YCP($A359,"three_year_total_return",'Database Query'!$E$14),$B359&lt;&gt;"etf",_xll.YCP("M:"&amp; $A359,"three_year_total_return",'Database Query'!$E$14))</f>
        <v>ERR: INVALID ASSET</v>
      </c>
      <c r="O359" s="2" t="e" cm="1">
        <f t="array" aca="1" ref="O359" ca="1">-_xll.YCP($E359,"three_year_return",'Database Query'!$E$14)+N359</f>
        <v>#VALUE!</v>
      </c>
      <c r="P359" s="2" t="str" cm="1">
        <f t="array" aca="1" ref="P359" ca="1">_xlfn.IFS($B359="etf", _xll.YCP($A359,"five_year_total_return",'Database Query'!$E$14),$B359&lt;&gt;"etf",_xll.YCP("M:"&amp; $A359,"five_year_total_return",'Database Query'!$E$14))</f>
        <v>ERR: INVALID ASSET</v>
      </c>
      <c r="Q359" s="2" t="e" cm="1">
        <f t="array" aca="1" ref="Q359" ca="1">-_xll.YCP($E359,"five_year_return",'Database Query'!$E$14)+P359</f>
        <v>#VALUE!</v>
      </c>
    </row>
    <row r="360" spans="2:17" x14ac:dyDescent="0.25">
      <c r="B360" t="str" cm="1">
        <f t="array" aca="1" ref="B360" ca="1">_xll.YCI(A360,"detailed_security_type",TODAY())</f>
        <v/>
      </c>
      <c r="C360" t="str" cm="1">
        <f t="array" aca="1" ref="C360" ca="1">_xlfn.IFS(B360="etf", _xll.YCI(A360, "security_name",TODAY()),B360&lt;&gt;"etf",_xll.YCI("M:" &amp; A360, "security_name",TODAY()))</f>
        <v>ERR: INVALID ASSET</v>
      </c>
      <c r="D360" t="str" cm="1">
        <f t="array" aca="1" ref="D360" ca="1">_xlfn.IFS($B360="etf", _xll.YCI($A360, "ycharts_benchmark_category",TODAY()),$B360&lt;&gt;"etf",_xll.YCI("M:" &amp; $A360, "ycharts_benchmark_category",TODAY()))</f>
        <v>ERR: INVALID ASSET</v>
      </c>
      <c r="E360" t="str" cm="1">
        <f t="array" aca="1" ref="E360" ca="1">_xlfn.IFS($B360="etf", _xll.YCI($A360, "ycharts_benchmark_index_symbol",TODAY()),$B360&lt;&gt;"etf",_xll.YCI("M:" &amp; $A360, "ycharts_benchmark_index_symbol",TODAY()))</f>
        <v>ERR: INVALID ASSET</v>
      </c>
      <c r="F360" t="str" cm="1">
        <f t="array" aca="1" ref="F360" ca="1">_xlfn.IFS($B360="etf", _xll.YCI($E360, "security_name",TODAY()),$B360&lt;&gt;"etf",_xll.YCI( $E360, "security_name",TODAY()))</f>
        <v>ERR: INVALID ASSET</v>
      </c>
      <c r="G360" t="str" cm="1">
        <f t="array" aca="1" ref="G360" ca="1">_xlfn.IFS($B360="etf", _xll.YCI($A360, "prospectus_benchmark_index",TODAY()),$B360&lt;&gt;"etf",_xll.YCI("M:" &amp; $A360, "prospectus_benchmark_index",TODAY()))</f>
        <v>ERR: INVALID ASSET</v>
      </c>
      <c r="H360" s="2" t="str" cm="1">
        <f t="array" aca="1" ref="H360" ca="1">_xlfn.IFS($B360="etf", _xll.YCP($A360,"quarterly_total_return",'Database Query'!$E$14),$B360&lt;&gt;"etf",_xll.YCP("M:"&amp; $A360,"quarterly_total_return",'Database Query'!$E$14))</f>
        <v>ERR: INVALID ASSET</v>
      </c>
      <c r="I360" s="2" t="e" cm="1">
        <f t="array" aca="1" ref="I360" ca="1">-_xll.YCP($E360,"quarterly_return",'Database Query'!$E$14)+H360</f>
        <v>#VALUE!</v>
      </c>
      <c r="J360" s="2" t="str" cm="1">
        <f t="array" aca="1" ref="J360" ca="1">_xlfn.IFS($B360="etf", _xll.YCP($A360,"ytd_total_return",'Database Query'!$E$14),$B360&lt;&gt;"etf",_xll.YCP("M:"&amp; $A360,"ytd_total_return",'Database Query'!$E$14))</f>
        <v>ERR: INVALID ASSET</v>
      </c>
      <c r="K360" s="2" t="e" cm="1">
        <f t="array" aca="1" ref="K360" ca="1">-_xll.YCP($E360,"ytd_return",'Database Query'!$E$14)+J360</f>
        <v>#VALUE!</v>
      </c>
      <c r="L360" s="2" t="str" cm="1">
        <f t="array" aca="1" ref="L360" ca="1">_xlfn.IFS($B360="etf", _xll.YCP($A360,"one_year_total_return",'Database Query'!$E$14),$B360&lt;&gt;"etf",_xll.YCP("M:"&amp; $A360,"one_year_total_return",'Database Query'!$E$14))</f>
        <v>ERR: INVALID ASSET</v>
      </c>
      <c r="M360" s="2" t="e" cm="1">
        <f t="array" aca="1" ref="M360" ca="1">-_xll.YCP($E360,"one_year_return",'Database Query'!$E$14)+L360</f>
        <v>#VALUE!</v>
      </c>
      <c r="N360" s="2" t="str" cm="1">
        <f t="array" aca="1" ref="N360" ca="1">_xlfn.IFS($B360="etf", _xll.YCP($A360,"three_year_total_return",'Database Query'!$E$14),$B360&lt;&gt;"etf",_xll.YCP("M:"&amp; $A360,"three_year_total_return",'Database Query'!$E$14))</f>
        <v>ERR: INVALID ASSET</v>
      </c>
      <c r="O360" s="2" t="e" cm="1">
        <f t="array" aca="1" ref="O360" ca="1">-_xll.YCP($E360,"three_year_return",'Database Query'!$E$14)+N360</f>
        <v>#VALUE!</v>
      </c>
      <c r="P360" s="2" t="str" cm="1">
        <f t="array" aca="1" ref="P360" ca="1">_xlfn.IFS($B360="etf", _xll.YCP($A360,"five_year_total_return",'Database Query'!$E$14),$B360&lt;&gt;"etf",_xll.YCP("M:"&amp; $A360,"five_year_total_return",'Database Query'!$E$14))</f>
        <v>ERR: INVALID ASSET</v>
      </c>
      <c r="Q360" s="2" t="e" cm="1">
        <f t="array" aca="1" ref="Q360" ca="1">-_xll.YCP($E360,"five_year_return",'Database Query'!$E$14)+P360</f>
        <v>#VALUE!</v>
      </c>
    </row>
    <row r="361" spans="2:17" x14ac:dyDescent="0.25">
      <c r="B361" t="str" cm="1">
        <f t="array" aca="1" ref="B361" ca="1">_xll.YCI(A361,"detailed_security_type",TODAY())</f>
        <v/>
      </c>
      <c r="C361" t="str" cm="1">
        <f t="array" aca="1" ref="C361" ca="1">_xlfn.IFS(B361="etf", _xll.YCI(A361, "security_name",TODAY()),B361&lt;&gt;"etf",_xll.YCI("M:" &amp; A361, "security_name",TODAY()))</f>
        <v>ERR: INVALID ASSET</v>
      </c>
      <c r="D361" t="str" cm="1">
        <f t="array" aca="1" ref="D361" ca="1">_xlfn.IFS($B361="etf", _xll.YCI($A361, "ycharts_benchmark_category",TODAY()),$B361&lt;&gt;"etf",_xll.YCI("M:" &amp; $A361, "ycharts_benchmark_category",TODAY()))</f>
        <v>ERR: INVALID ASSET</v>
      </c>
      <c r="E361" t="str" cm="1">
        <f t="array" aca="1" ref="E361" ca="1">_xlfn.IFS($B361="etf", _xll.YCI($A361, "ycharts_benchmark_index_symbol",TODAY()),$B361&lt;&gt;"etf",_xll.YCI("M:" &amp; $A361, "ycharts_benchmark_index_symbol",TODAY()))</f>
        <v>ERR: INVALID ASSET</v>
      </c>
      <c r="F361" t="str" cm="1">
        <f t="array" aca="1" ref="F361" ca="1">_xlfn.IFS($B361="etf", _xll.YCI($E361, "security_name",TODAY()),$B361&lt;&gt;"etf",_xll.YCI( $E361, "security_name",TODAY()))</f>
        <v>ERR: INVALID ASSET</v>
      </c>
      <c r="G361" t="str" cm="1">
        <f t="array" aca="1" ref="G361" ca="1">_xlfn.IFS($B361="etf", _xll.YCI($A361, "prospectus_benchmark_index",TODAY()),$B361&lt;&gt;"etf",_xll.YCI("M:" &amp; $A361, "prospectus_benchmark_index",TODAY()))</f>
        <v>ERR: INVALID ASSET</v>
      </c>
      <c r="H361" s="2" t="str" cm="1">
        <f t="array" aca="1" ref="H361" ca="1">_xlfn.IFS($B361="etf", _xll.YCP($A361,"quarterly_total_return",'Database Query'!$E$14),$B361&lt;&gt;"etf",_xll.YCP("M:"&amp; $A361,"quarterly_total_return",'Database Query'!$E$14))</f>
        <v>ERR: INVALID ASSET</v>
      </c>
      <c r="I361" s="2" t="e" cm="1">
        <f t="array" aca="1" ref="I361" ca="1">-_xll.YCP($E361,"quarterly_return",'Database Query'!$E$14)+H361</f>
        <v>#VALUE!</v>
      </c>
      <c r="J361" s="2" t="str" cm="1">
        <f t="array" aca="1" ref="J361" ca="1">_xlfn.IFS($B361="etf", _xll.YCP($A361,"ytd_total_return",'Database Query'!$E$14),$B361&lt;&gt;"etf",_xll.YCP("M:"&amp; $A361,"ytd_total_return",'Database Query'!$E$14))</f>
        <v>ERR: INVALID ASSET</v>
      </c>
      <c r="K361" s="2" t="e" cm="1">
        <f t="array" aca="1" ref="K361" ca="1">-_xll.YCP($E361,"ytd_return",'Database Query'!$E$14)+J361</f>
        <v>#VALUE!</v>
      </c>
      <c r="L361" s="2" t="str" cm="1">
        <f t="array" aca="1" ref="L361" ca="1">_xlfn.IFS($B361="etf", _xll.YCP($A361,"one_year_total_return",'Database Query'!$E$14),$B361&lt;&gt;"etf",_xll.YCP("M:"&amp; $A361,"one_year_total_return",'Database Query'!$E$14))</f>
        <v>ERR: INVALID ASSET</v>
      </c>
      <c r="M361" s="2" t="e" cm="1">
        <f t="array" aca="1" ref="M361" ca="1">-_xll.YCP($E361,"one_year_return",'Database Query'!$E$14)+L361</f>
        <v>#VALUE!</v>
      </c>
      <c r="N361" s="2" t="str" cm="1">
        <f t="array" aca="1" ref="N361" ca="1">_xlfn.IFS($B361="etf", _xll.YCP($A361,"three_year_total_return",'Database Query'!$E$14),$B361&lt;&gt;"etf",_xll.YCP("M:"&amp; $A361,"three_year_total_return",'Database Query'!$E$14))</f>
        <v>ERR: INVALID ASSET</v>
      </c>
      <c r="O361" s="2" t="e" cm="1">
        <f t="array" aca="1" ref="O361" ca="1">-_xll.YCP($E361,"three_year_return",'Database Query'!$E$14)+N361</f>
        <v>#VALUE!</v>
      </c>
      <c r="P361" s="2" t="str" cm="1">
        <f t="array" aca="1" ref="P361" ca="1">_xlfn.IFS($B361="etf", _xll.YCP($A361,"five_year_total_return",'Database Query'!$E$14),$B361&lt;&gt;"etf",_xll.YCP("M:"&amp; $A361,"five_year_total_return",'Database Query'!$E$14))</f>
        <v>ERR: INVALID ASSET</v>
      </c>
      <c r="Q361" s="2" t="e" cm="1">
        <f t="array" aca="1" ref="Q361" ca="1">-_xll.YCP($E361,"five_year_return",'Database Query'!$E$14)+P361</f>
        <v>#VALUE!</v>
      </c>
    </row>
    <row r="362" spans="2:17" x14ac:dyDescent="0.25">
      <c r="B362" t="str" cm="1">
        <f t="array" aca="1" ref="B362" ca="1">_xll.YCI(A362,"detailed_security_type",TODAY())</f>
        <v/>
      </c>
      <c r="C362" t="str" cm="1">
        <f t="array" aca="1" ref="C362" ca="1">_xlfn.IFS(B362="etf", _xll.YCI(A362, "security_name",TODAY()),B362&lt;&gt;"etf",_xll.YCI("M:" &amp; A362, "security_name",TODAY()))</f>
        <v>ERR: INVALID ASSET</v>
      </c>
      <c r="D362" t="str" cm="1">
        <f t="array" aca="1" ref="D362" ca="1">_xlfn.IFS($B362="etf", _xll.YCI($A362, "ycharts_benchmark_category",TODAY()),$B362&lt;&gt;"etf",_xll.YCI("M:" &amp; $A362, "ycharts_benchmark_category",TODAY()))</f>
        <v>ERR: INVALID ASSET</v>
      </c>
      <c r="E362" t="str" cm="1">
        <f t="array" aca="1" ref="E362" ca="1">_xlfn.IFS($B362="etf", _xll.YCI($A362, "ycharts_benchmark_index_symbol",TODAY()),$B362&lt;&gt;"etf",_xll.YCI("M:" &amp; $A362, "ycharts_benchmark_index_symbol",TODAY()))</f>
        <v>ERR: INVALID ASSET</v>
      </c>
      <c r="F362" t="str" cm="1">
        <f t="array" aca="1" ref="F362" ca="1">_xlfn.IFS($B362="etf", _xll.YCI($E362, "security_name",TODAY()),$B362&lt;&gt;"etf",_xll.YCI( $E362, "security_name",TODAY()))</f>
        <v>ERR: INVALID ASSET</v>
      </c>
      <c r="G362" t="str" cm="1">
        <f t="array" aca="1" ref="G362" ca="1">_xlfn.IFS($B362="etf", _xll.YCI($A362, "prospectus_benchmark_index",TODAY()),$B362&lt;&gt;"etf",_xll.YCI("M:" &amp; $A362, "prospectus_benchmark_index",TODAY()))</f>
        <v>ERR: INVALID ASSET</v>
      </c>
      <c r="H362" s="2" t="str" cm="1">
        <f t="array" aca="1" ref="H362" ca="1">_xlfn.IFS($B362="etf", _xll.YCP($A362,"quarterly_total_return",'Database Query'!$E$14),$B362&lt;&gt;"etf",_xll.YCP("M:"&amp; $A362,"quarterly_total_return",'Database Query'!$E$14))</f>
        <v>ERR: INVALID ASSET</v>
      </c>
      <c r="I362" s="2" t="e" cm="1">
        <f t="array" aca="1" ref="I362" ca="1">-_xll.YCP($E362,"quarterly_return",'Database Query'!$E$14)+H362</f>
        <v>#VALUE!</v>
      </c>
      <c r="J362" s="2" t="str" cm="1">
        <f t="array" aca="1" ref="J362" ca="1">_xlfn.IFS($B362="etf", _xll.YCP($A362,"ytd_total_return",'Database Query'!$E$14),$B362&lt;&gt;"etf",_xll.YCP("M:"&amp; $A362,"ytd_total_return",'Database Query'!$E$14))</f>
        <v>ERR: INVALID ASSET</v>
      </c>
      <c r="K362" s="2" t="e" cm="1">
        <f t="array" aca="1" ref="K362" ca="1">-_xll.YCP($E362,"ytd_return",'Database Query'!$E$14)+J362</f>
        <v>#VALUE!</v>
      </c>
      <c r="L362" s="2" t="str" cm="1">
        <f t="array" aca="1" ref="L362" ca="1">_xlfn.IFS($B362="etf", _xll.YCP($A362,"one_year_total_return",'Database Query'!$E$14),$B362&lt;&gt;"etf",_xll.YCP("M:"&amp; $A362,"one_year_total_return",'Database Query'!$E$14))</f>
        <v>ERR: INVALID ASSET</v>
      </c>
      <c r="M362" s="2" t="e" cm="1">
        <f t="array" aca="1" ref="M362" ca="1">-_xll.YCP($E362,"one_year_return",'Database Query'!$E$14)+L362</f>
        <v>#VALUE!</v>
      </c>
      <c r="N362" s="2" t="str" cm="1">
        <f t="array" aca="1" ref="N362" ca="1">_xlfn.IFS($B362="etf", _xll.YCP($A362,"three_year_total_return",'Database Query'!$E$14),$B362&lt;&gt;"etf",_xll.YCP("M:"&amp; $A362,"three_year_total_return",'Database Query'!$E$14))</f>
        <v>ERR: INVALID ASSET</v>
      </c>
      <c r="O362" s="2" t="e" cm="1">
        <f t="array" aca="1" ref="O362" ca="1">-_xll.YCP($E362,"three_year_return",'Database Query'!$E$14)+N362</f>
        <v>#VALUE!</v>
      </c>
      <c r="P362" s="2" t="str" cm="1">
        <f t="array" aca="1" ref="P362" ca="1">_xlfn.IFS($B362="etf", _xll.YCP($A362,"five_year_total_return",'Database Query'!$E$14),$B362&lt;&gt;"etf",_xll.YCP("M:"&amp; $A362,"five_year_total_return",'Database Query'!$E$14))</f>
        <v>ERR: INVALID ASSET</v>
      </c>
      <c r="Q362" s="2" t="e" cm="1">
        <f t="array" aca="1" ref="Q362" ca="1">-_xll.YCP($E362,"five_year_return",'Database Query'!$E$14)+P362</f>
        <v>#VALUE!</v>
      </c>
    </row>
    <row r="363" spans="2:17" x14ac:dyDescent="0.25">
      <c r="B363" t="str" cm="1">
        <f t="array" aca="1" ref="B363" ca="1">_xll.YCI(A363,"detailed_security_type",TODAY())</f>
        <v/>
      </c>
      <c r="C363" t="str" cm="1">
        <f t="array" aca="1" ref="C363" ca="1">_xlfn.IFS(B363="etf", _xll.YCI(A363, "security_name",TODAY()),B363&lt;&gt;"etf",_xll.YCI("M:" &amp; A363, "security_name",TODAY()))</f>
        <v>ERR: INVALID ASSET</v>
      </c>
      <c r="D363" t="str" cm="1">
        <f t="array" aca="1" ref="D363" ca="1">_xlfn.IFS($B363="etf", _xll.YCI($A363, "ycharts_benchmark_category",TODAY()),$B363&lt;&gt;"etf",_xll.YCI("M:" &amp; $A363, "ycharts_benchmark_category",TODAY()))</f>
        <v>ERR: INVALID ASSET</v>
      </c>
      <c r="E363" t="str" cm="1">
        <f t="array" aca="1" ref="E363" ca="1">_xlfn.IFS($B363="etf", _xll.YCI($A363, "ycharts_benchmark_index_symbol",TODAY()),$B363&lt;&gt;"etf",_xll.YCI("M:" &amp; $A363, "ycharts_benchmark_index_symbol",TODAY()))</f>
        <v>ERR: INVALID ASSET</v>
      </c>
      <c r="F363" t="str" cm="1">
        <f t="array" aca="1" ref="F363" ca="1">_xlfn.IFS($B363="etf", _xll.YCI($E363, "security_name",TODAY()),$B363&lt;&gt;"etf",_xll.YCI( $E363, "security_name",TODAY()))</f>
        <v>ERR: INVALID ASSET</v>
      </c>
      <c r="G363" t="str" cm="1">
        <f t="array" aca="1" ref="G363" ca="1">_xlfn.IFS($B363="etf", _xll.YCI($A363, "prospectus_benchmark_index",TODAY()),$B363&lt;&gt;"etf",_xll.YCI("M:" &amp; $A363, "prospectus_benchmark_index",TODAY()))</f>
        <v>ERR: INVALID ASSET</v>
      </c>
      <c r="H363" s="2" t="str" cm="1">
        <f t="array" aca="1" ref="H363" ca="1">_xlfn.IFS($B363="etf", _xll.YCP($A363,"quarterly_total_return",'Database Query'!$E$14),$B363&lt;&gt;"etf",_xll.YCP("M:"&amp; $A363,"quarterly_total_return",'Database Query'!$E$14))</f>
        <v>ERR: INVALID ASSET</v>
      </c>
      <c r="I363" s="2" t="e" cm="1">
        <f t="array" aca="1" ref="I363" ca="1">-_xll.YCP($E363,"quarterly_return",'Database Query'!$E$14)+H363</f>
        <v>#VALUE!</v>
      </c>
      <c r="J363" s="2" t="str" cm="1">
        <f t="array" aca="1" ref="J363" ca="1">_xlfn.IFS($B363="etf", _xll.YCP($A363,"ytd_total_return",'Database Query'!$E$14),$B363&lt;&gt;"etf",_xll.YCP("M:"&amp; $A363,"ytd_total_return",'Database Query'!$E$14))</f>
        <v>ERR: INVALID ASSET</v>
      </c>
      <c r="K363" s="2" t="e" cm="1">
        <f t="array" aca="1" ref="K363" ca="1">-_xll.YCP($E363,"ytd_return",'Database Query'!$E$14)+J363</f>
        <v>#VALUE!</v>
      </c>
      <c r="L363" s="2" t="str" cm="1">
        <f t="array" aca="1" ref="L363" ca="1">_xlfn.IFS($B363="etf", _xll.YCP($A363,"one_year_total_return",'Database Query'!$E$14),$B363&lt;&gt;"etf",_xll.YCP("M:"&amp; $A363,"one_year_total_return",'Database Query'!$E$14))</f>
        <v>ERR: INVALID ASSET</v>
      </c>
      <c r="M363" s="2" t="e" cm="1">
        <f t="array" aca="1" ref="M363" ca="1">-_xll.YCP($E363,"one_year_return",'Database Query'!$E$14)+L363</f>
        <v>#VALUE!</v>
      </c>
      <c r="N363" s="2" t="str" cm="1">
        <f t="array" aca="1" ref="N363" ca="1">_xlfn.IFS($B363="etf", _xll.YCP($A363,"three_year_total_return",'Database Query'!$E$14),$B363&lt;&gt;"etf",_xll.YCP("M:"&amp; $A363,"three_year_total_return",'Database Query'!$E$14))</f>
        <v>ERR: INVALID ASSET</v>
      </c>
      <c r="O363" s="2" t="e" cm="1">
        <f t="array" aca="1" ref="O363" ca="1">-_xll.YCP($E363,"three_year_return",'Database Query'!$E$14)+N363</f>
        <v>#VALUE!</v>
      </c>
      <c r="P363" s="2" t="str" cm="1">
        <f t="array" aca="1" ref="P363" ca="1">_xlfn.IFS($B363="etf", _xll.YCP($A363,"five_year_total_return",'Database Query'!$E$14),$B363&lt;&gt;"etf",_xll.YCP("M:"&amp; $A363,"five_year_total_return",'Database Query'!$E$14))</f>
        <v>ERR: INVALID ASSET</v>
      </c>
      <c r="Q363" s="2" t="e" cm="1">
        <f t="array" aca="1" ref="Q363" ca="1">-_xll.YCP($E363,"five_year_return",'Database Query'!$E$14)+P363</f>
        <v>#VALUE!</v>
      </c>
    </row>
    <row r="364" spans="2:17" x14ac:dyDescent="0.25">
      <c r="B364" t="str" cm="1">
        <f t="array" aca="1" ref="B364" ca="1">_xll.YCI(A364,"detailed_security_type",TODAY())</f>
        <v/>
      </c>
      <c r="C364" t="str" cm="1">
        <f t="array" aca="1" ref="C364" ca="1">_xlfn.IFS(B364="etf", _xll.YCI(A364, "security_name",TODAY()),B364&lt;&gt;"etf",_xll.YCI("M:" &amp; A364, "security_name",TODAY()))</f>
        <v>ERR: INVALID ASSET</v>
      </c>
      <c r="D364" t="str" cm="1">
        <f t="array" aca="1" ref="D364" ca="1">_xlfn.IFS($B364="etf", _xll.YCI($A364, "ycharts_benchmark_category",TODAY()),$B364&lt;&gt;"etf",_xll.YCI("M:" &amp; $A364, "ycharts_benchmark_category",TODAY()))</f>
        <v>ERR: INVALID ASSET</v>
      </c>
      <c r="E364" t="str" cm="1">
        <f t="array" aca="1" ref="E364" ca="1">_xlfn.IFS($B364="etf", _xll.YCI($A364, "ycharts_benchmark_index_symbol",TODAY()),$B364&lt;&gt;"etf",_xll.YCI("M:" &amp; $A364, "ycharts_benchmark_index_symbol",TODAY()))</f>
        <v>ERR: INVALID ASSET</v>
      </c>
      <c r="F364" t="str" cm="1">
        <f t="array" aca="1" ref="F364" ca="1">_xlfn.IFS($B364="etf", _xll.YCI($E364, "security_name",TODAY()),$B364&lt;&gt;"etf",_xll.YCI( $E364, "security_name",TODAY()))</f>
        <v>ERR: INVALID ASSET</v>
      </c>
      <c r="G364" t="str" cm="1">
        <f t="array" aca="1" ref="G364" ca="1">_xlfn.IFS($B364="etf", _xll.YCI($A364, "prospectus_benchmark_index",TODAY()),$B364&lt;&gt;"etf",_xll.YCI("M:" &amp; $A364, "prospectus_benchmark_index",TODAY()))</f>
        <v>ERR: INVALID ASSET</v>
      </c>
      <c r="H364" s="2" t="str" cm="1">
        <f t="array" aca="1" ref="H364" ca="1">_xlfn.IFS($B364="etf", _xll.YCP($A364,"quarterly_total_return",'Database Query'!$E$14),$B364&lt;&gt;"etf",_xll.YCP("M:"&amp; $A364,"quarterly_total_return",'Database Query'!$E$14))</f>
        <v>ERR: INVALID ASSET</v>
      </c>
      <c r="I364" s="2" t="e" cm="1">
        <f t="array" aca="1" ref="I364" ca="1">-_xll.YCP($E364,"quarterly_return",'Database Query'!$E$14)+H364</f>
        <v>#VALUE!</v>
      </c>
      <c r="J364" s="2" t="str" cm="1">
        <f t="array" aca="1" ref="J364" ca="1">_xlfn.IFS($B364="etf", _xll.YCP($A364,"ytd_total_return",'Database Query'!$E$14),$B364&lt;&gt;"etf",_xll.YCP("M:"&amp; $A364,"ytd_total_return",'Database Query'!$E$14))</f>
        <v>ERR: INVALID ASSET</v>
      </c>
      <c r="K364" s="2" t="e" cm="1">
        <f t="array" aca="1" ref="K364" ca="1">-_xll.YCP($E364,"ytd_return",'Database Query'!$E$14)+J364</f>
        <v>#VALUE!</v>
      </c>
      <c r="L364" s="2" t="str" cm="1">
        <f t="array" aca="1" ref="L364" ca="1">_xlfn.IFS($B364="etf", _xll.YCP($A364,"one_year_total_return",'Database Query'!$E$14),$B364&lt;&gt;"etf",_xll.YCP("M:"&amp; $A364,"one_year_total_return",'Database Query'!$E$14))</f>
        <v>ERR: INVALID ASSET</v>
      </c>
      <c r="M364" s="2" t="e" cm="1">
        <f t="array" aca="1" ref="M364" ca="1">-_xll.YCP($E364,"one_year_return",'Database Query'!$E$14)+L364</f>
        <v>#VALUE!</v>
      </c>
      <c r="N364" s="2" t="str" cm="1">
        <f t="array" aca="1" ref="N364" ca="1">_xlfn.IFS($B364="etf", _xll.YCP($A364,"three_year_total_return",'Database Query'!$E$14),$B364&lt;&gt;"etf",_xll.YCP("M:"&amp; $A364,"three_year_total_return",'Database Query'!$E$14))</f>
        <v>ERR: INVALID ASSET</v>
      </c>
      <c r="O364" s="2" t="e" cm="1">
        <f t="array" aca="1" ref="O364" ca="1">-_xll.YCP($E364,"three_year_return",'Database Query'!$E$14)+N364</f>
        <v>#VALUE!</v>
      </c>
      <c r="P364" s="2" t="str" cm="1">
        <f t="array" aca="1" ref="P364" ca="1">_xlfn.IFS($B364="etf", _xll.YCP($A364,"five_year_total_return",'Database Query'!$E$14),$B364&lt;&gt;"etf",_xll.YCP("M:"&amp; $A364,"five_year_total_return",'Database Query'!$E$14))</f>
        <v>ERR: INVALID ASSET</v>
      </c>
      <c r="Q364" s="2" t="e" cm="1">
        <f t="array" aca="1" ref="Q364" ca="1">-_xll.YCP($E364,"five_year_return",'Database Query'!$E$14)+P364</f>
        <v>#VALUE!</v>
      </c>
    </row>
    <row r="365" spans="2:17" x14ac:dyDescent="0.25">
      <c r="B365" t="str" cm="1">
        <f t="array" aca="1" ref="B365" ca="1">_xll.YCI(A365,"detailed_security_type",TODAY())</f>
        <v/>
      </c>
      <c r="C365" t="str" cm="1">
        <f t="array" aca="1" ref="C365" ca="1">_xlfn.IFS(B365="etf", _xll.YCI(A365, "security_name",TODAY()),B365&lt;&gt;"etf",_xll.YCI("M:" &amp; A365, "security_name",TODAY()))</f>
        <v>ERR: INVALID ASSET</v>
      </c>
      <c r="D365" t="str" cm="1">
        <f t="array" aca="1" ref="D365" ca="1">_xlfn.IFS($B365="etf", _xll.YCI($A365, "ycharts_benchmark_category",TODAY()),$B365&lt;&gt;"etf",_xll.YCI("M:" &amp; $A365, "ycharts_benchmark_category",TODAY()))</f>
        <v>ERR: INVALID ASSET</v>
      </c>
      <c r="E365" t="str" cm="1">
        <f t="array" aca="1" ref="E365" ca="1">_xlfn.IFS($B365="etf", _xll.YCI($A365, "ycharts_benchmark_index_symbol",TODAY()),$B365&lt;&gt;"etf",_xll.YCI("M:" &amp; $A365, "ycharts_benchmark_index_symbol",TODAY()))</f>
        <v>ERR: INVALID ASSET</v>
      </c>
      <c r="F365" t="str" cm="1">
        <f t="array" aca="1" ref="F365" ca="1">_xlfn.IFS($B365="etf", _xll.YCI($E365, "security_name",TODAY()),$B365&lt;&gt;"etf",_xll.YCI( $E365, "security_name",TODAY()))</f>
        <v>ERR: INVALID ASSET</v>
      </c>
      <c r="G365" t="str" cm="1">
        <f t="array" aca="1" ref="G365" ca="1">_xlfn.IFS($B365="etf", _xll.YCI($A365, "prospectus_benchmark_index",TODAY()),$B365&lt;&gt;"etf",_xll.YCI("M:" &amp; $A365, "prospectus_benchmark_index",TODAY()))</f>
        <v>ERR: INVALID ASSET</v>
      </c>
      <c r="H365" s="2" t="str" cm="1">
        <f t="array" aca="1" ref="H365" ca="1">_xlfn.IFS($B365="etf", _xll.YCP($A365,"quarterly_total_return",'Database Query'!$E$14),$B365&lt;&gt;"etf",_xll.YCP("M:"&amp; $A365,"quarterly_total_return",'Database Query'!$E$14))</f>
        <v>ERR: INVALID ASSET</v>
      </c>
      <c r="I365" s="2" t="e" cm="1">
        <f t="array" aca="1" ref="I365" ca="1">-_xll.YCP($E365,"quarterly_return",'Database Query'!$E$14)+H365</f>
        <v>#VALUE!</v>
      </c>
      <c r="J365" s="2" t="str" cm="1">
        <f t="array" aca="1" ref="J365" ca="1">_xlfn.IFS($B365="etf", _xll.YCP($A365,"ytd_total_return",'Database Query'!$E$14),$B365&lt;&gt;"etf",_xll.YCP("M:"&amp; $A365,"ytd_total_return",'Database Query'!$E$14))</f>
        <v>ERR: INVALID ASSET</v>
      </c>
      <c r="K365" s="2" t="e" cm="1">
        <f t="array" aca="1" ref="K365" ca="1">-_xll.YCP($E365,"ytd_return",'Database Query'!$E$14)+J365</f>
        <v>#VALUE!</v>
      </c>
      <c r="L365" s="2" t="str" cm="1">
        <f t="array" aca="1" ref="L365" ca="1">_xlfn.IFS($B365="etf", _xll.YCP($A365,"one_year_total_return",'Database Query'!$E$14),$B365&lt;&gt;"etf",_xll.YCP("M:"&amp; $A365,"one_year_total_return",'Database Query'!$E$14))</f>
        <v>ERR: INVALID ASSET</v>
      </c>
      <c r="M365" s="2" t="e" cm="1">
        <f t="array" aca="1" ref="M365" ca="1">-_xll.YCP($E365,"one_year_return",'Database Query'!$E$14)+L365</f>
        <v>#VALUE!</v>
      </c>
      <c r="N365" s="2" t="str" cm="1">
        <f t="array" aca="1" ref="N365" ca="1">_xlfn.IFS($B365="etf", _xll.YCP($A365,"three_year_total_return",'Database Query'!$E$14),$B365&lt;&gt;"etf",_xll.YCP("M:"&amp; $A365,"three_year_total_return",'Database Query'!$E$14))</f>
        <v>ERR: INVALID ASSET</v>
      </c>
      <c r="O365" s="2" t="e" cm="1">
        <f t="array" aca="1" ref="O365" ca="1">-_xll.YCP($E365,"three_year_return",'Database Query'!$E$14)+N365</f>
        <v>#VALUE!</v>
      </c>
      <c r="P365" s="2" t="str" cm="1">
        <f t="array" aca="1" ref="P365" ca="1">_xlfn.IFS($B365="etf", _xll.YCP($A365,"five_year_total_return",'Database Query'!$E$14),$B365&lt;&gt;"etf",_xll.YCP("M:"&amp; $A365,"five_year_total_return",'Database Query'!$E$14))</f>
        <v>ERR: INVALID ASSET</v>
      </c>
      <c r="Q365" s="2" t="e" cm="1">
        <f t="array" aca="1" ref="Q365" ca="1">-_xll.YCP($E365,"five_year_return",'Database Query'!$E$14)+P365</f>
        <v>#VALUE!</v>
      </c>
    </row>
    <row r="366" spans="2:17" x14ac:dyDescent="0.25">
      <c r="B366" t="str" cm="1">
        <f t="array" aca="1" ref="B366" ca="1">_xll.YCI(A366,"detailed_security_type",TODAY())</f>
        <v/>
      </c>
      <c r="C366" t="str" cm="1">
        <f t="array" aca="1" ref="C366" ca="1">_xlfn.IFS(B366="etf", _xll.YCI(A366, "security_name",TODAY()),B366&lt;&gt;"etf",_xll.YCI("M:" &amp; A366, "security_name",TODAY()))</f>
        <v>ERR: INVALID ASSET</v>
      </c>
      <c r="D366" t="str" cm="1">
        <f t="array" aca="1" ref="D366" ca="1">_xlfn.IFS($B366="etf", _xll.YCI($A366, "ycharts_benchmark_category",TODAY()),$B366&lt;&gt;"etf",_xll.YCI("M:" &amp; $A366, "ycharts_benchmark_category",TODAY()))</f>
        <v>ERR: INVALID ASSET</v>
      </c>
      <c r="E366" t="str" cm="1">
        <f t="array" aca="1" ref="E366" ca="1">_xlfn.IFS($B366="etf", _xll.YCI($A366, "ycharts_benchmark_index_symbol",TODAY()),$B366&lt;&gt;"etf",_xll.YCI("M:" &amp; $A366, "ycharts_benchmark_index_symbol",TODAY()))</f>
        <v>ERR: INVALID ASSET</v>
      </c>
      <c r="F366" t="str" cm="1">
        <f t="array" aca="1" ref="F366" ca="1">_xlfn.IFS($B366="etf", _xll.YCI($E366, "security_name",TODAY()),$B366&lt;&gt;"etf",_xll.YCI( $E366, "security_name",TODAY()))</f>
        <v>ERR: INVALID ASSET</v>
      </c>
      <c r="G366" t="str" cm="1">
        <f t="array" aca="1" ref="G366" ca="1">_xlfn.IFS($B366="etf", _xll.YCI($A366, "prospectus_benchmark_index",TODAY()),$B366&lt;&gt;"etf",_xll.YCI("M:" &amp; $A366, "prospectus_benchmark_index",TODAY()))</f>
        <v>ERR: INVALID ASSET</v>
      </c>
      <c r="H366" s="2" t="str" cm="1">
        <f t="array" aca="1" ref="H366" ca="1">_xlfn.IFS($B366="etf", _xll.YCP($A366,"quarterly_total_return",'Database Query'!$E$14),$B366&lt;&gt;"etf",_xll.YCP("M:"&amp; $A366,"quarterly_total_return",'Database Query'!$E$14))</f>
        <v>ERR: INVALID ASSET</v>
      </c>
      <c r="I366" s="2" t="e" cm="1">
        <f t="array" aca="1" ref="I366" ca="1">-_xll.YCP($E366,"quarterly_return",'Database Query'!$E$14)+H366</f>
        <v>#VALUE!</v>
      </c>
      <c r="J366" s="2" t="str" cm="1">
        <f t="array" aca="1" ref="J366" ca="1">_xlfn.IFS($B366="etf", _xll.YCP($A366,"ytd_total_return",'Database Query'!$E$14),$B366&lt;&gt;"etf",_xll.YCP("M:"&amp; $A366,"ytd_total_return",'Database Query'!$E$14))</f>
        <v>ERR: INVALID ASSET</v>
      </c>
      <c r="K366" s="2" t="e" cm="1">
        <f t="array" aca="1" ref="K366" ca="1">-_xll.YCP($E366,"ytd_return",'Database Query'!$E$14)+J366</f>
        <v>#VALUE!</v>
      </c>
      <c r="L366" s="2" t="str" cm="1">
        <f t="array" aca="1" ref="L366" ca="1">_xlfn.IFS($B366="etf", _xll.YCP($A366,"one_year_total_return",'Database Query'!$E$14),$B366&lt;&gt;"etf",_xll.YCP("M:"&amp; $A366,"one_year_total_return",'Database Query'!$E$14))</f>
        <v>ERR: INVALID ASSET</v>
      </c>
      <c r="M366" s="2" t="e" cm="1">
        <f t="array" aca="1" ref="M366" ca="1">-_xll.YCP($E366,"one_year_return",'Database Query'!$E$14)+L366</f>
        <v>#VALUE!</v>
      </c>
      <c r="N366" s="2" t="str" cm="1">
        <f t="array" aca="1" ref="N366" ca="1">_xlfn.IFS($B366="etf", _xll.YCP($A366,"three_year_total_return",'Database Query'!$E$14),$B366&lt;&gt;"etf",_xll.YCP("M:"&amp; $A366,"three_year_total_return",'Database Query'!$E$14))</f>
        <v>ERR: INVALID ASSET</v>
      </c>
      <c r="O366" s="2" t="e" cm="1">
        <f t="array" aca="1" ref="O366" ca="1">-_xll.YCP($E366,"three_year_return",'Database Query'!$E$14)+N366</f>
        <v>#VALUE!</v>
      </c>
      <c r="P366" s="2" t="str" cm="1">
        <f t="array" aca="1" ref="P366" ca="1">_xlfn.IFS($B366="etf", _xll.YCP($A366,"five_year_total_return",'Database Query'!$E$14),$B366&lt;&gt;"etf",_xll.YCP("M:"&amp; $A366,"five_year_total_return",'Database Query'!$E$14))</f>
        <v>ERR: INVALID ASSET</v>
      </c>
      <c r="Q366" s="2" t="e" cm="1">
        <f t="array" aca="1" ref="Q366" ca="1">-_xll.YCP($E366,"five_year_return",'Database Query'!$E$14)+P366</f>
        <v>#VALUE!</v>
      </c>
    </row>
    <row r="367" spans="2:17" x14ac:dyDescent="0.25">
      <c r="B367" t="str" cm="1">
        <f t="array" aca="1" ref="B367" ca="1">_xll.YCI(A367,"detailed_security_type",TODAY())</f>
        <v/>
      </c>
      <c r="C367" t="str" cm="1">
        <f t="array" aca="1" ref="C367" ca="1">_xlfn.IFS(B367="etf", _xll.YCI(A367, "security_name",TODAY()),B367&lt;&gt;"etf",_xll.YCI("M:" &amp; A367, "security_name",TODAY()))</f>
        <v>ERR: INVALID ASSET</v>
      </c>
      <c r="D367" t="str" cm="1">
        <f t="array" aca="1" ref="D367" ca="1">_xlfn.IFS($B367="etf", _xll.YCI($A367, "ycharts_benchmark_category",TODAY()),$B367&lt;&gt;"etf",_xll.YCI("M:" &amp; $A367, "ycharts_benchmark_category",TODAY()))</f>
        <v>ERR: INVALID ASSET</v>
      </c>
      <c r="E367" t="str" cm="1">
        <f t="array" aca="1" ref="E367" ca="1">_xlfn.IFS($B367="etf", _xll.YCI($A367, "ycharts_benchmark_index_symbol",TODAY()),$B367&lt;&gt;"etf",_xll.YCI("M:" &amp; $A367, "ycharts_benchmark_index_symbol",TODAY()))</f>
        <v>ERR: INVALID ASSET</v>
      </c>
      <c r="F367" t="str" cm="1">
        <f t="array" aca="1" ref="F367" ca="1">_xlfn.IFS($B367="etf", _xll.YCI($E367, "security_name",TODAY()),$B367&lt;&gt;"etf",_xll.YCI( $E367, "security_name",TODAY()))</f>
        <v>ERR: INVALID ASSET</v>
      </c>
      <c r="G367" t="str" cm="1">
        <f t="array" aca="1" ref="G367" ca="1">_xlfn.IFS($B367="etf", _xll.YCI($A367, "prospectus_benchmark_index",TODAY()),$B367&lt;&gt;"etf",_xll.YCI("M:" &amp; $A367, "prospectus_benchmark_index",TODAY()))</f>
        <v>ERR: INVALID ASSET</v>
      </c>
      <c r="H367" s="2" t="str" cm="1">
        <f t="array" aca="1" ref="H367" ca="1">_xlfn.IFS($B367="etf", _xll.YCP($A367,"quarterly_total_return",'Database Query'!$E$14),$B367&lt;&gt;"etf",_xll.YCP("M:"&amp; $A367,"quarterly_total_return",'Database Query'!$E$14))</f>
        <v>ERR: INVALID ASSET</v>
      </c>
      <c r="I367" s="2" t="e" cm="1">
        <f t="array" aca="1" ref="I367" ca="1">-_xll.YCP($E367,"quarterly_return",'Database Query'!$E$14)+H367</f>
        <v>#VALUE!</v>
      </c>
      <c r="J367" s="2" t="str" cm="1">
        <f t="array" aca="1" ref="J367" ca="1">_xlfn.IFS($B367="etf", _xll.YCP($A367,"ytd_total_return",'Database Query'!$E$14),$B367&lt;&gt;"etf",_xll.YCP("M:"&amp; $A367,"ytd_total_return",'Database Query'!$E$14))</f>
        <v>ERR: INVALID ASSET</v>
      </c>
      <c r="K367" s="2" t="e" cm="1">
        <f t="array" aca="1" ref="K367" ca="1">-_xll.YCP($E367,"ytd_return",'Database Query'!$E$14)+J367</f>
        <v>#VALUE!</v>
      </c>
      <c r="L367" s="2" t="str" cm="1">
        <f t="array" aca="1" ref="L367" ca="1">_xlfn.IFS($B367="etf", _xll.YCP($A367,"one_year_total_return",'Database Query'!$E$14),$B367&lt;&gt;"etf",_xll.YCP("M:"&amp; $A367,"one_year_total_return",'Database Query'!$E$14))</f>
        <v>ERR: INVALID ASSET</v>
      </c>
      <c r="M367" s="2" t="e" cm="1">
        <f t="array" aca="1" ref="M367" ca="1">-_xll.YCP($E367,"one_year_return",'Database Query'!$E$14)+L367</f>
        <v>#VALUE!</v>
      </c>
      <c r="N367" s="2" t="str" cm="1">
        <f t="array" aca="1" ref="N367" ca="1">_xlfn.IFS($B367="etf", _xll.YCP($A367,"three_year_total_return",'Database Query'!$E$14),$B367&lt;&gt;"etf",_xll.YCP("M:"&amp; $A367,"three_year_total_return",'Database Query'!$E$14))</f>
        <v>ERR: INVALID ASSET</v>
      </c>
      <c r="O367" s="2" t="e" cm="1">
        <f t="array" aca="1" ref="O367" ca="1">-_xll.YCP($E367,"three_year_return",'Database Query'!$E$14)+N367</f>
        <v>#VALUE!</v>
      </c>
      <c r="P367" s="2" t="str" cm="1">
        <f t="array" aca="1" ref="P367" ca="1">_xlfn.IFS($B367="etf", _xll.YCP($A367,"five_year_total_return",'Database Query'!$E$14),$B367&lt;&gt;"etf",_xll.YCP("M:"&amp; $A367,"five_year_total_return",'Database Query'!$E$14))</f>
        <v>ERR: INVALID ASSET</v>
      </c>
      <c r="Q367" s="2" t="e" cm="1">
        <f t="array" aca="1" ref="Q367" ca="1">-_xll.YCP($E367,"five_year_return",'Database Query'!$E$14)+P367</f>
        <v>#VALUE!</v>
      </c>
    </row>
    <row r="368" spans="2:17" x14ac:dyDescent="0.25">
      <c r="B368" t="str" cm="1">
        <f t="array" aca="1" ref="B368" ca="1">_xll.YCI(A368,"detailed_security_type",TODAY())</f>
        <v/>
      </c>
      <c r="C368" t="str" cm="1">
        <f t="array" aca="1" ref="C368" ca="1">_xlfn.IFS(B368="etf", _xll.YCI(A368, "security_name",TODAY()),B368&lt;&gt;"etf",_xll.YCI("M:" &amp; A368, "security_name",TODAY()))</f>
        <v>ERR: INVALID ASSET</v>
      </c>
      <c r="D368" t="str" cm="1">
        <f t="array" aca="1" ref="D368" ca="1">_xlfn.IFS($B368="etf", _xll.YCI($A368, "ycharts_benchmark_category",TODAY()),$B368&lt;&gt;"etf",_xll.YCI("M:" &amp; $A368, "ycharts_benchmark_category",TODAY()))</f>
        <v>ERR: INVALID ASSET</v>
      </c>
      <c r="E368" t="str" cm="1">
        <f t="array" aca="1" ref="E368" ca="1">_xlfn.IFS($B368="etf", _xll.YCI($A368, "ycharts_benchmark_index_symbol",TODAY()),$B368&lt;&gt;"etf",_xll.YCI("M:" &amp; $A368, "ycharts_benchmark_index_symbol",TODAY()))</f>
        <v>ERR: INVALID ASSET</v>
      </c>
      <c r="F368" t="str" cm="1">
        <f t="array" aca="1" ref="F368" ca="1">_xlfn.IFS($B368="etf", _xll.YCI($E368, "security_name",TODAY()),$B368&lt;&gt;"etf",_xll.YCI( $E368, "security_name",TODAY()))</f>
        <v>ERR: INVALID ASSET</v>
      </c>
      <c r="G368" t="str" cm="1">
        <f t="array" aca="1" ref="G368" ca="1">_xlfn.IFS($B368="etf", _xll.YCI($A368, "prospectus_benchmark_index",TODAY()),$B368&lt;&gt;"etf",_xll.YCI("M:" &amp; $A368, "prospectus_benchmark_index",TODAY()))</f>
        <v>ERR: INVALID ASSET</v>
      </c>
      <c r="H368" s="2" t="str" cm="1">
        <f t="array" aca="1" ref="H368" ca="1">_xlfn.IFS($B368="etf", _xll.YCP($A368,"quarterly_total_return",'Database Query'!$E$14),$B368&lt;&gt;"etf",_xll.YCP("M:"&amp; $A368,"quarterly_total_return",'Database Query'!$E$14))</f>
        <v>ERR: INVALID ASSET</v>
      </c>
      <c r="I368" s="2" t="e" cm="1">
        <f t="array" aca="1" ref="I368" ca="1">-_xll.YCP($E368,"quarterly_return",'Database Query'!$E$14)+H368</f>
        <v>#VALUE!</v>
      </c>
      <c r="J368" s="2" t="str" cm="1">
        <f t="array" aca="1" ref="J368" ca="1">_xlfn.IFS($B368="etf", _xll.YCP($A368,"ytd_total_return",'Database Query'!$E$14),$B368&lt;&gt;"etf",_xll.YCP("M:"&amp; $A368,"ytd_total_return",'Database Query'!$E$14))</f>
        <v>ERR: INVALID ASSET</v>
      </c>
      <c r="K368" s="2" t="e" cm="1">
        <f t="array" aca="1" ref="K368" ca="1">-_xll.YCP($E368,"ytd_return",'Database Query'!$E$14)+J368</f>
        <v>#VALUE!</v>
      </c>
      <c r="L368" s="2" t="str" cm="1">
        <f t="array" aca="1" ref="L368" ca="1">_xlfn.IFS($B368="etf", _xll.YCP($A368,"one_year_total_return",'Database Query'!$E$14),$B368&lt;&gt;"etf",_xll.YCP("M:"&amp; $A368,"one_year_total_return",'Database Query'!$E$14))</f>
        <v>ERR: INVALID ASSET</v>
      </c>
      <c r="M368" s="2" t="e" cm="1">
        <f t="array" aca="1" ref="M368" ca="1">-_xll.YCP($E368,"one_year_return",'Database Query'!$E$14)+L368</f>
        <v>#VALUE!</v>
      </c>
      <c r="N368" s="2" t="str" cm="1">
        <f t="array" aca="1" ref="N368" ca="1">_xlfn.IFS($B368="etf", _xll.YCP($A368,"three_year_total_return",'Database Query'!$E$14),$B368&lt;&gt;"etf",_xll.YCP("M:"&amp; $A368,"three_year_total_return",'Database Query'!$E$14))</f>
        <v>ERR: INVALID ASSET</v>
      </c>
      <c r="O368" s="2" t="e" cm="1">
        <f t="array" aca="1" ref="O368" ca="1">-_xll.YCP($E368,"three_year_return",'Database Query'!$E$14)+N368</f>
        <v>#VALUE!</v>
      </c>
      <c r="P368" s="2" t="str" cm="1">
        <f t="array" aca="1" ref="P368" ca="1">_xlfn.IFS($B368="etf", _xll.YCP($A368,"five_year_total_return",'Database Query'!$E$14),$B368&lt;&gt;"etf",_xll.YCP("M:"&amp; $A368,"five_year_total_return",'Database Query'!$E$14))</f>
        <v>ERR: INVALID ASSET</v>
      </c>
      <c r="Q368" s="2" t="e" cm="1">
        <f t="array" aca="1" ref="Q368" ca="1">-_xll.YCP($E368,"five_year_return",'Database Query'!$E$14)+P368</f>
        <v>#VALUE!</v>
      </c>
    </row>
    <row r="369" spans="2:17" x14ac:dyDescent="0.25">
      <c r="B369" t="str" cm="1">
        <f t="array" aca="1" ref="B369" ca="1">_xll.YCI(A369,"detailed_security_type",TODAY())</f>
        <v/>
      </c>
      <c r="C369" t="str" cm="1">
        <f t="array" aca="1" ref="C369" ca="1">_xlfn.IFS(B369="etf", _xll.YCI(A369, "security_name",TODAY()),B369&lt;&gt;"etf",_xll.YCI("M:" &amp; A369, "security_name",TODAY()))</f>
        <v>ERR: INVALID ASSET</v>
      </c>
      <c r="D369" t="str" cm="1">
        <f t="array" aca="1" ref="D369" ca="1">_xlfn.IFS($B369="etf", _xll.YCI($A369, "ycharts_benchmark_category",TODAY()),$B369&lt;&gt;"etf",_xll.YCI("M:" &amp; $A369, "ycharts_benchmark_category",TODAY()))</f>
        <v>ERR: INVALID ASSET</v>
      </c>
      <c r="E369" t="str" cm="1">
        <f t="array" aca="1" ref="E369" ca="1">_xlfn.IFS($B369="etf", _xll.YCI($A369, "ycharts_benchmark_index_symbol",TODAY()),$B369&lt;&gt;"etf",_xll.YCI("M:" &amp; $A369, "ycharts_benchmark_index_symbol",TODAY()))</f>
        <v>ERR: INVALID ASSET</v>
      </c>
      <c r="F369" t="str" cm="1">
        <f t="array" aca="1" ref="F369" ca="1">_xlfn.IFS($B369="etf", _xll.YCI($E369, "security_name",TODAY()),$B369&lt;&gt;"etf",_xll.YCI( $E369, "security_name",TODAY()))</f>
        <v>ERR: INVALID ASSET</v>
      </c>
      <c r="G369" t="str" cm="1">
        <f t="array" aca="1" ref="G369" ca="1">_xlfn.IFS($B369="etf", _xll.YCI($A369, "prospectus_benchmark_index",TODAY()),$B369&lt;&gt;"etf",_xll.YCI("M:" &amp; $A369, "prospectus_benchmark_index",TODAY()))</f>
        <v>ERR: INVALID ASSET</v>
      </c>
      <c r="H369" s="2" t="str" cm="1">
        <f t="array" aca="1" ref="H369" ca="1">_xlfn.IFS($B369="etf", _xll.YCP($A369,"quarterly_total_return",'Database Query'!$E$14),$B369&lt;&gt;"etf",_xll.YCP("M:"&amp; $A369,"quarterly_total_return",'Database Query'!$E$14))</f>
        <v>ERR: INVALID ASSET</v>
      </c>
      <c r="I369" s="2" t="e" cm="1">
        <f t="array" aca="1" ref="I369" ca="1">-_xll.YCP($E369,"quarterly_return",'Database Query'!$E$14)+H369</f>
        <v>#VALUE!</v>
      </c>
      <c r="J369" s="2" t="str" cm="1">
        <f t="array" aca="1" ref="J369" ca="1">_xlfn.IFS($B369="etf", _xll.YCP($A369,"ytd_total_return",'Database Query'!$E$14),$B369&lt;&gt;"etf",_xll.YCP("M:"&amp; $A369,"ytd_total_return",'Database Query'!$E$14))</f>
        <v>ERR: INVALID ASSET</v>
      </c>
      <c r="K369" s="2" t="e" cm="1">
        <f t="array" aca="1" ref="K369" ca="1">-_xll.YCP($E369,"ytd_return",'Database Query'!$E$14)+J369</f>
        <v>#VALUE!</v>
      </c>
      <c r="L369" s="2" t="str" cm="1">
        <f t="array" aca="1" ref="L369" ca="1">_xlfn.IFS($B369="etf", _xll.YCP($A369,"one_year_total_return",'Database Query'!$E$14),$B369&lt;&gt;"etf",_xll.YCP("M:"&amp; $A369,"one_year_total_return",'Database Query'!$E$14))</f>
        <v>ERR: INVALID ASSET</v>
      </c>
      <c r="M369" s="2" t="e" cm="1">
        <f t="array" aca="1" ref="M369" ca="1">-_xll.YCP($E369,"one_year_return",'Database Query'!$E$14)+L369</f>
        <v>#VALUE!</v>
      </c>
      <c r="N369" s="2" t="str" cm="1">
        <f t="array" aca="1" ref="N369" ca="1">_xlfn.IFS($B369="etf", _xll.YCP($A369,"three_year_total_return",'Database Query'!$E$14),$B369&lt;&gt;"etf",_xll.YCP("M:"&amp; $A369,"three_year_total_return",'Database Query'!$E$14))</f>
        <v>ERR: INVALID ASSET</v>
      </c>
      <c r="O369" s="2" t="e" cm="1">
        <f t="array" aca="1" ref="O369" ca="1">-_xll.YCP($E369,"three_year_return",'Database Query'!$E$14)+N369</f>
        <v>#VALUE!</v>
      </c>
      <c r="P369" s="2" t="str" cm="1">
        <f t="array" aca="1" ref="P369" ca="1">_xlfn.IFS($B369="etf", _xll.YCP($A369,"five_year_total_return",'Database Query'!$E$14),$B369&lt;&gt;"etf",_xll.YCP("M:"&amp; $A369,"five_year_total_return",'Database Query'!$E$14))</f>
        <v>ERR: INVALID ASSET</v>
      </c>
      <c r="Q369" s="2" t="e" cm="1">
        <f t="array" aca="1" ref="Q369" ca="1">-_xll.YCP($E369,"five_year_return",'Database Query'!$E$14)+P369</f>
        <v>#VALUE!</v>
      </c>
    </row>
    <row r="370" spans="2:17" x14ac:dyDescent="0.25">
      <c r="B370" t="str" cm="1">
        <f t="array" aca="1" ref="B370" ca="1">_xll.YCI(A370,"detailed_security_type",TODAY())</f>
        <v/>
      </c>
      <c r="C370" t="str" cm="1">
        <f t="array" aca="1" ref="C370" ca="1">_xlfn.IFS(B370="etf", _xll.YCI(A370, "security_name",TODAY()),B370&lt;&gt;"etf",_xll.YCI("M:" &amp; A370, "security_name",TODAY()))</f>
        <v>ERR: INVALID ASSET</v>
      </c>
      <c r="D370" t="str" cm="1">
        <f t="array" aca="1" ref="D370" ca="1">_xlfn.IFS($B370="etf", _xll.YCI($A370, "ycharts_benchmark_category",TODAY()),$B370&lt;&gt;"etf",_xll.YCI("M:" &amp; $A370, "ycharts_benchmark_category",TODAY()))</f>
        <v>ERR: INVALID ASSET</v>
      </c>
      <c r="E370" t="str" cm="1">
        <f t="array" aca="1" ref="E370" ca="1">_xlfn.IFS($B370="etf", _xll.YCI($A370, "ycharts_benchmark_index_symbol",TODAY()),$B370&lt;&gt;"etf",_xll.YCI("M:" &amp; $A370, "ycharts_benchmark_index_symbol",TODAY()))</f>
        <v>ERR: INVALID ASSET</v>
      </c>
      <c r="F370" t="str" cm="1">
        <f t="array" aca="1" ref="F370" ca="1">_xlfn.IFS($B370="etf", _xll.YCI($E370, "security_name",TODAY()),$B370&lt;&gt;"etf",_xll.YCI( $E370, "security_name",TODAY()))</f>
        <v>ERR: INVALID ASSET</v>
      </c>
      <c r="G370" t="str" cm="1">
        <f t="array" aca="1" ref="G370" ca="1">_xlfn.IFS($B370="etf", _xll.YCI($A370, "prospectus_benchmark_index",TODAY()),$B370&lt;&gt;"etf",_xll.YCI("M:" &amp; $A370, "prospectus_benchmark_index",TODAY()))</f>
        <v>ERR: INVALID ASSET</v>
      </c>
      <c r="H370" s="2" t="str" cm="1">
        <f t="array" aca="1" ref="H370" ca="1">_xlfn.IFS($B370="etf", _xll.YCP($A370,"quarterly_total_return",'Database Query'!$E$14),$B370&lt;&gt;"etf",_xll.YCP("M:"&amp; $A370,"quarterly_total_return",'Database Query'!$E$14))</f>
        <v>ERR: INVALID ASSET</v>
      </c>
      <c r="I370" s="2" t="e" cm="1">
        <f t="array" aca="1" ref="I370" ca="1">-_xll.YCP($E370,"quarterly_return",'Database Query'!$E$14)+H370</f>
        <v>#VALUE!</v>
      </c>
      <c r="J370" s="2" t="str" cm="1">
        <f t="array" aca="1" ref="J370" ca="1">_xlfn.IFS($B370="etf", _xll.YCP($A370,"ytd_total_return",'Database Query'!$E$14),$B370&lt;&gt;"etf",_xll.YCP("M:"&amp; $A370,"ytd_total_return",'Database Query'!$E$14))</f>
        <v>ERR: INVALID ASSET</v>
      </c>
      <c r="K370" s="2" t="e" cm="1">
        <f t="array" aca="1" ref="K370" ca="1">-_xll.YCP($E370,"ytd_return",'Database Query'!$E$14)+J370</f>
        <v>#VALUE!</v>
      </c>
      <c r="L370" s="2" t="str" cm="1">
        <f t="array" aca="1" ref="L370" ca="1">_xlfn.IFS($B370="etf", _xll.YCP($A370,"one_year_total_return",'Database Query'!$E$14),$B370&lt;&gt;"etf",_xll.YCP("M:"&amp; $A370,"one_year_total_return",'Database Query'!$E$14))</f>
        <v>ERR: INVALID ASSET</v>
      </c>
      <c r="M370" s="2" t="e" cm="1">
        <f t="array" aca="1" ref="M370" ca="1">-_xll.YCP($E370,"one_year_return",'Database Query'!$E$14)+L370</f>
        <v>#VALUE!</v>
      </c>
      <c r="N370" s="2" t="str" cm="1">
        <f t="array" aca="1" ref="N370" ca="1">_xlfn.IFS($B370="etf", _xll.YCP($A370,"three_year_total_return",'Database Query'!$E$14),$B370&lt;&gt;"etf",_xll.YCP("M:"&amp; $A370,"three_year_total_return",'Database Query'!$E$14))</f>
        <v>ERR: INVALID ASSET</v>
      </c>
      <c r="O370" s="2" t="e" cm="1">
        <f t="array" aca="1" ref="O370" ca="1">-_xll.YCP($E370,"three_year_return",'Database Query'!$E$14)+N370</f>
        <v>#VALUE!</v>
      </c>
      <c r="P370" s="2" t="str" cm="1">
        <f t="array" aca="1" ref="P370" ca="1">_xlfn.IFS($B370="etf", _xll.YCP($A370,"five_year_total_return",'Database Query'!$E$14),$B370&lt;&gt;"etf",_xll.YCP("M:"&amp; $A370,"five_year_total_return",'Database Query'!$E$14))</f>
        <v>ERR: INVALID ASSET</v>
      </c>
      <c r="Q370" s="2" t="e" cm="1">
        <f t="array" aca="1" ref="Q370" ca="1">-_xll.YCP($E370,"five_year_return",'Database Query'!$E$14)+P370</f>
        <v>#VALUE!</v>
      </c>
    </row>
    <row r="371" spans="2:17" x14ac:dyDescent="0.25">
      <c r="B371" t="str" cm="1">
        <f t="array" aca="1" ref="B371" ca="1">_xll.YCI(A371,"detailed_security_type",TODAY())</f>
        <v/>
      </c>
      <c r="C371" t="str" cm="1">
        <f t="array" aca="1" ref="C371" ca="1">_xlfn.IFS(B371="etf", _xll.YCI(A371, "security_name",TODAY()),B371&lt;&gt;"etf",_xll.YCI("M:" &amp; A371, "security_name",TODAY()))</f>
        <v>ERR: INVALID ASSET</v>
      </c>
      <c r="D371" t="str" cm="1">
        <f t="array" aca="1" ref="D371" ca="1">_xlfn.IFS($B371="etf", _xll.YCI($A371, "ycharts_benchmark_category",TODAY()),$B371&lt;&gt;"etf",_xll.YCI("M:" &amp; $A371, "ycharts_benchmark_category",TODAY()))</f>
        <v>ERR: INVALID ASSET</v>
      </c>
      <c r="E371" t="str" cm="1">
        <f t="array" aca="1" ref="E371" ca="1">_xlfn.IFS($B371="etf", _xll.YCI($A371, "ycharts_benchmark_index_symbol",TODAY()),$B371&lt;&gt;"etf",_xll.YCI("M:" &amp; $A371, "ycharts_benchmark_index_symbol",TODAY()))</f>
        <v>ERR: INVALID ASSET</v>
      </c>
      <c r="F371" t="str" cm="1">
        <f t="array" aca="1" ref="F371" ca="1">_xlfn.IFS($B371="etf", _xll.YCI($E371, "security_name",TODAY()),$B371&lt;&gt;"etf",_xll.YCI( $E371, "security_name",TODAY()))</f>
        <v>ERR: INVALID ASSET</v>
      </c>
      <c r="G371" t="str" cm="1">
        <f t="array" aca="1" ref="G371" ca="1">_xlfn.IFS($B371="etf", _xll.YCI($A371, "prospectus_benchmark_index",TODAY()),$B371&lt;&gt;"etf",_xll.YCI("M:" &amp; $A371, "prospectus_benchmark_index",TODAY()))</f>
        <v>ERR: INVALID ASSET</v>
      </c>
      <c r="H371" s="2" t="str" cm="1">
        <f t="array" aca="1" ref="H371" ca="1">_xlfn.IFS($B371="etf", _xll.YCP($A371,"quarterly_total_return",'Database Query'!$E$14),$B371&lt;&gt;"etf",_xll.YCP("M:"&amp; $A371,"quarterly_total_return",'Database Query'!$E$14))</f>
        <v>ERR: INVALID ASSET</v>
      </c>
      <c r="I371" s="2" t="e" cm="1">
        <f t="array" aca="1" ref="I371" ca="1">-_xll.YCP($E371,"quarterly_return",'Database Query'!$E$14)+H371</f>
        <v>#VALUE!</v>
      </c>
      <c r="J371" s="2" t="str" cm="1">
        <f t="array" aca="1" ref="J371" ca="1">_xlfn.IFS($B371="etf", _xll.YCP($A371,"ytd_total_return",'Database Query'!$E$14),$B371&lt;&gt;"etf",_xll.YCP("M:"&amp; $A371,"ytd_total_return",'Database Query'!$E$14))</f>
        <v>ERR: INVALID ASSET</v>
      </c>
      <c r="K371" s="2" t="e" cm="1">
        <f t="array" aca="1" ref="K371" ca="1">-_xll.YCP($E371,"ytd_return",'Database Query'!$E$14)+J371</f>
        <v>#VALUE!</v>
      </c>
      <c r="L371" s="2" t="str" cm="1">
        <f t="array" aca="1" ref="L371" ca="1">_xlfn.IFS($B371="etf", _xll.YCP($A371,"one_year_total_return",'Database Query'!$E$14),$B371&lt;&gt;"etf",_xll.YCP("M:"&amp; $A371,"one_year_total_return",'Database Query'!$E$14))</f>
        <v>ERR: INVALID ASSET</v>
      </c>
      <c r="M371" s="2" t="e" cm="1">
        <f t="array" aca="1" ref="M371" ca="1">-_xll.YCP($E371,"one_year_return",'Database Query'!$E$14)+L371</f>
        <v>#VALUE!</v>
      </c>
      <c r="N371" s="2" t="str" cm="1">
        <f t="array" aca="1" ref="N371" ca="1">_xlfn.IFS($B371="etf", _xll.YCP($A371,"three_year_total_return",'Database Query'!$E$14),$B371&lt;&gt;"etf",_xll.YCP("M:"&amp; $A371,"three_year_total_return",'Database Query'!$E$14))</f>
        <v>ERR: INVALID ASSET</v>
      </c>
      <c r="O371" s="2" t="e" cm="1">
        <f t="array" aca="1" ref="O371" ca="1">-_xll.YCP($E371,"three_year_return",'Database Query'!$E$14)+N371</f>
        <v>#VALUE!</v>
      </c>
      <c r="P371" s="2" t="str" cm="1">
        <f t="array" aca="1" ref="P371" ca="1">_xlfn.IFS($B371="etf", _xll.YCP($A371,"five_year_total_return",'Database Query'!$E$14),$B371&lt;&gt;"etf",_xll.YCP("M:"&amp; $A371,"five_year_total_return",'Database Query'!$E$14))</f>
        <v>ERR: INVALID ASSET</v>
      </c>
      <c r="Q371" s="2" t="e" cm="1">
        <f t="array" aca="1" ref="Q371" ca="1">-_xll.YCP($E371,"five_year_return",'Database Query'!$E$14)+P371</f>
        <v>#VALUE!</v>
      </c>
    </row>
    <row r="372" spans="2:17" x14ac:dyDescent="0.25">
      <c r="B372" t="str" cm="1">
        <f t="array" aca="1" ref="B372" ca="1">_xll.YCI(A372,"detailed_security_type",TODAY())</f>
        <v/>
      </c>
      <c r="C372" t="str" cm="1">
        <f t="array" aca="1" ref="C372" ca="1">_xlfn.IFS(B372="etf", _xll.YCI(A372, "security_name",TODAY()),B372&lt;&gt;"etf",_xll.YCI("M:" &amp; A372, "security_name",TODAY()))</f>
        <v>ERR: INVALID ASSET</v>
      </c>
      <c r="D372" t="str" cm="1">
        <f t="array" aca="1" ref="D372" ca="1">_xlfn.IFS($B372="etf", _xll.YCI($A372, "ycharts_benchmark_category",TODAY()),$B372&lt;&gt;"etf",_xll.YCI("M:" &amp; $A372, "ycharts_benchmark_category",TODAY()))</f>
        <v>ERR: INVALID ASSET</v>
      </c>
      <c r="E372" t="str" cm="1">
        <f t="array" aca="1" ref="E372" ca="1">_xlfn.IFS($B372="etf", _xll.YCI($A372, "ycharts_benchmark_index_symbol",TODAY()),$B372&lt;&gt;"etf",_xll.YCI("M:" &amp; $A372, "ycharts_benchmark_index_symbol",TODAY()))</f>
        <v>ERR: INVALID ASSET</v>
      </c>
      <c r="F372" t="str" cm="1">
        <f t="array" aca="1" ref="F372" ca="1">_xlfn.IFS($B372="etf", _xll.YCI($E372, "security_name",TODAY()),$B372&lt;&gt;"etf",_xll.YCI( $E372, "security_name",TODAY()))</f>
        <v>ERR: INVALID ASSET</v>
      </c>
      <c r="G372" t="str" cm="1">
        <f t="array" aca="1" ref="G372" ca="1">_xlfn.IFS($B372="etf", _xll.YCI($A372, "prospectus_benchmark_index",TODAY()),$B372&lt;&gt;"etf",_xll.YCI("M:" &amp; $A372, "prospectus_benchmark_index",TODAY()))</f>
        <v>ERR: INVALID ASSET</v>
      </c>
      <c r="H372" s="2" t="str" cm="1">
        <f t="array" aca="1" ref="H372" ca="1">_xlfn.IFS($B372="etf", _xll.YCP($A372,"quarterly_total_return",'Database Query'!$E$14),$B372&lt;&gt;"etf",_xll.YCP("M:"&amp; $A372,"quarterly_total_return",'Database Query'!$E$14))</f>
        <v>ERR: INVALID ASSET</v>
      </c>
      <c r="I372" s="2" t="e" cm="1">
        <f t="array" aca="1" ref="I372" ca="1">-_xll.YCP($E372,"quarterly_return",'Database Query'!$E$14)+H372</f>
        <v>#VALUE!</v>
      </c>
      <c r="J372" s="2" t="str" cm="1">
        <f t="array" aca="1" ref="J372" ca="1">_xlfn.IFS($B372="etf", _xll.YCP($A372,"ytd_total_return",'Database Query'!$E$14),$B372&lt;&gt;"etf",_xll.YCP("M:"&amp; $A372,"ytd_total_return",'Database Query'!$E$14))</f>
        <v>ERR: INVALID ASSET</v>
      </c>
      <c r="K372" s="2" t="e" cm="1">
        <f t="array" aca="1" ref="K372" ca="1">-_xll.YCP($E372,"ytd_return",'Database Query'!$E$14)+J372</f>
        <v>#VALUE!</v>
      </c>
      <c r="L372" s="2" t="str" cm="1">
        <f t="array" aca="1" ref="L372" ca="1">_xlfn.IFS($B372="etf", _xll.YCP($A372,"one_year_total_return",'Database Query'!$E$14),$B372&lt;&gt;"etf",_xll.YCP("M:"&amp; $A372,"one_year_total_return",'Database Query'!$E$14))</f>
        <v>ERR: INVALID ASSET</v>
      </c>
      <c r="M372" s="2" t="e" cm="1">
        <f t="array" aca="1" ref="M372" ca="1">-_xll.YCP($E372,"one_year_return",'Database Query'!$E$14)+L372</f>
        <v>#VALUE!</v>
      </c>
      <c r="N372" s="2" t="str" cm="1">
        <f t="array" aca="1" ref="N372" ca="1">_xlfn.IFS($B372="etf", _xll.YCP($A372,"three_year_total_return",'Database Query'!$E$14),$B372&lt;&gt;"etf",_xll.YCP("M:"&amp; $A372,"three_year_total_return",'Database Query'!$E$14))</f>
        <v>ERR: INVALID ASSET</v>
      </c>
      <c r="O372" s="2" t="e" cm="1">
        <f t="array" aca="1" ref="O372" ca="1">-_xll.YCP($E372,"three_year_return",'Database Query'!$E$14)+N372</f>
        <v>#VALUE!</v>
      </c>
      <c r="P372" s="2" t="str" cm="1">
        <f t="array" aca="1" ref="P372" ca="1">_xlfn.IFS($B372="etf", _xll.YCP($A372,"five_year_total_return",'Database Query'!$E$14),$B372&lt;&gt;"etf",_xll.YCP("M:"&amp; $A372,"five_year_total_return",'Database Query'!$E$14))</f>
        <v>ERR: INVALID ASSET</v>
      </c>
      <c r="Q372" s="2" t="e" cm="1">
        <f t="array" aca="1" ref="Q372" ca="1">-_xll.YCP($E372,"five_year_return",'Database Query'!$E$14)+P372</f>
        <v>#VALUE!</v>
      </c>
    </row>
    <row r="373" spans="2:17" x14ac:dyDescent="0.25">
      <c r="B373" t="str" cm="1">
        <f t="array" aca="1" ref="B373" ca="1">_xll.YCI(A373,"detailed_security_type",TODAY())</f>
        <v/>
      </c>
      <c r="C373" t="str" cm="1">
        <f t="array" aca="1" ref="C373" ca="1">_xlfn.IFS(B373="etf", _xll.YCI(A373, "security_name",TODAY()),B373&lt;&gt;"etf",_xll.YCI("M:" &amp; A373, "security_name",TODAY()))</f>
        <v>ERR: INVALID ASSET</v>
      </c>
      <c r="D373" t="str" cm="1">
        <f t="array" aca="1" ref="D373" ca="1">_xlfn.IFS($B373="etf", _xll.YCI($A373, "ycharts_benchmark_category",TODAY()),$B373&lt;&gt;"etf",_xll.YCI("M:" &amp; $A373, "ycharts_benchmark_category",TODAY()))</f>
        <v>ERR: INVALID ASSET</v>
      </c>
      <c r="E373" t="str" cm="1">
        <f t="array" aca="1" ref="E373" ca="1">_xlfn.IFS($B373="etf", _xll.YCI($A373, "ycharts_benchmark_index_symbol",TODAY()),$B373&lt;&gt;"etf",_xll.YCI("M:" &amp; $A373, "ycharts_benchmark_index_symbol",TODAY()))</f>
        <v>ERR: INVALID ASSET</v>
      </c>
      <c r="F373" t="str" cm="1">
        <f t="array" aca="1" ref="F373" ca="1">_xlfn.IFS($B373="etf", _xll.YCI($E373, "security_name",TODAY()),$B373&lt;&gt;"etf",_xll.YCI( $E373, "security_name",TODAY()))</f>
        <v>ERR: INVALID ASSET</v>
      </c>
      <c r="G373" t="str" cm="1">
        <f t="array" aca="1" ref="G373" ca="1">_xlfn.IFS($B373="etf", _xll.YCI($A373, "prospectus_benchmark_index",TODAY()),$B373&lt;&gt;"etf",_xll.YCI("M:" &amp; $A373, "prospectus_benchmark_index",TODAY()))</f>
        <v>ERR: INVALID ASSET</v>
      </c>
      <c r="H373" s="2" t="str" cm="1">
        <f t="array" aca="1" ref="H373" ca="1">_xlfn.IFS($B373="etf", _xll.YCP($A373,"quarterly_total_return",'Database Query'!$E$14),$B373&lt;&gt;"etf",_xll.YCP("M:"&amp; $A373,"quarterly_total_return",'Database Query'!$E$14))</f>
        <v>ERR: INVALID ASSET</v>
      </c>
      <c r="I373" s="2" t="e" cm="1">
        <f t="array" aca="1" ref="I373" ca="1">-_xll.YCP($E373,"quarterly_return",'Database Query'!$E$14)+H373</f>
        <v>#VALUE!</v>
      </c>
      <c r="J373" s="2" t="str" cm="1">
        <f t="array" aca="1" ref="J373" ca="1">_xlfn.IFS($B373="etf", _xll.YCP($A373,"ytd_total_return",'Database Query'!$E$14),$B373&lt;&gt;"etf",_xll.YCP("M:"&amp; $A373,"ytd_total_return",'Database Query'!$E$14))</f>
        <v>ERR: INVALID ASSET</v>
      </c>
      <c r="K373" s="2" t="e" cm="1">
        <f t="array" aca="1" ref="K373" ca="1">-_xll.YCP($E373,"ytd_return",'Database Query'!$E$14)+J373</f>
        <v>#VALUE!</v>
      </c>
      <c r="L373" s="2" t="str" cm="1">
        <f t="array" aca="1" ref="L373" ca="1">_xlfn.IFS($B373="etf", _xll.YCP($A373,"one_year_total_return",'Database Query'!$E$14),$B373&lt;&gt;"etf",_xll.YCP("M:"&amp; $A373,"one_year_total_return",'Database Query'!$E$14))</f>
        <v>ERR: INVALID ASSET</v>
      </c>
      <c r="M373" s="2" t="e" cm="1">
        <f t="array" aca="1" ref="M373" ca="1">-_xll.YCP($E373,"one_year_return",'Database Query'!$E$14)+L373</f>
        <v>#VALUE!</v>
      </c>
      <c r="N373" s="2" t="str" cm="1">
        <f t="array" aca="1" ref="N373" ca="1">_xlfn.IFS($B373="etf", _xll.YCP($A373,"three_year_total_return",'Database Query'!$E$14),$B373&lt;&gt;"etf",_xll.YCP("M:"&amp; $A373,"three_year_total_return",'Database Query'!$E$14))</f>
        <v>ERR: INVALID ASSET</v>
      </c>
      <c r="O373" s="2" t="e" cm="1">
        <f t="array" aca="1" ref="O373" ca="1">-_xll.YCP($E373,"three_year_return",'Database Query'!$E$14)+N373</f>
        <v>#VALUE!</v>
      </c>
      <c r="P373" s="2" t="str" cm="1">
        <f t="array" aca="1" ref="P373" ca="1">_xlfn.IFS($B373="etf", _xll.YCP($A373,"five_year_total_return",'Database Query'!$E$14),$B373&lt;&gt;"etf",_xll.YCP("M:"&amp; $A373,"five_year_total_return",'Database Query'!$E$14))</f>
        <v>ERR: INVALID ASSET</v>
      </c>
      <c r="Q373" s="2" t="e" cm="1">
        <f t="array" aca="1" ref="Q373" ca="1">-_xll.YCP($E373,"five_year_return",'Database Query'!$E$14)+P373</f>
        <v>#VALUE!</v>
      </c>
    </row>
    <row r="374" spans="2:17" x14ac:dyDescent="0.25">
      <c r="B374" t="str" cm="1">
        <f t="array" aca="1" ref="B374" ca="1">_xll.YCI(A374,"detailed_security_type",TODAY())</f>
        <v/>
      </c>
      <c r="C374" t="str" cm="1">
        <f t="array" aca="1" ref="C374" ca="1">_xlfn.IFS(B374="etf", _xll.YCI(A374, "security_name",TODAY()),B374&lt;&gt;"etf",_xll.YCI("M:" &amp; A374, "security_name",TODAY()))</f>
        <v>ERR: INVALID ASSET</v>
      </c>
      <c r="D374" t="str" cm="1">
        <f t="array" aca="1" ref="D374" ca="1">_xlfn.IFS($B374="etf", _xll.YCI($A374, "ycharts_benchmark_category",TODAY()),$B374&lt;&gt;"etf",_xll.YCI("M:" &amp; $A374, "ycharts_benchmark_category",TODAY()))</f>
        <v>ERR: INVALID ASSET</v>
      </c>
      <c r="E374" t="str" cm="1">
        <f t="array" aca="1" ref="E374" ca="1">_xlfn.IFS($B374="etf", _xll.YCI($A374, "ycharts_benchmark_index_symbol",TODAY()),$B374&lt;&gt;"etf",_xll.YCI("M:" &amp; $A374, "ycharts_benchmark_index_symbol",TODAY()))</f>
        <v>ERR: INVALID ASSET</v>
      </c>
      <c r="F374" t="str" cm="1">
        <f t="array" aca="1" ref="F374" ca="1">_xlfn.IFS($B374="etf", _xll.YCI($E374, "security_name",TODAY()),$B374&lt;&gt;"etf",_xll.YCI( $E374, "security_name",TODAY()))</f>
        <v>ERR: INVALID ASSET</v>
      </c>
      <c r="G374" t="str" cm="1">
        <f t="array" aca="1" ref="G374" ca="1">_xlfn.IFS($B374="etf", _xll.YCI($A374, "prospectus_benchmark_index",TODAY()),$B374&lt;&gt;"etf",_xll.YCI("M:" &amp; $A374, "prospectus_benchmark_index",TODAY()))</f>
        <v>ERR: INVALID ASSET</v>
      </c>
      <c r="H374" s="2" t="str" cm="1">
        <f t="array" aca="1" ref="H374" ca="1">_xlfn.IFS($B374="etf", _xll.YCP($A374,"quarterly_total_return",'Database Query'!$E$14),$B374&lt;&gt;"etf",_xll.YCP("M:"&amp; $A374,"quarterly_total_return",'Database Query'!$E$14))</f>
        <v>ERR: INVALID ASSET</v>
      </c>
      <c r="I374" s="2" t="e" cm="1">
        <f t="array" aca="1" ref="I374" ca="1">-_xll.YCP($E374,"quarterly_return",'Database Query'!$E$14)+H374</f>
        <v>#VALUE!</v>
      </c>
      <c r="J374" s="2" t="str" cm="1">
        <f t="array" aca="1" ref="J374" ca="1">_xlfn.IFS($B374="etf", _xll.YCP($A374,"ytd_total_return",'Database Query'!$E$14),$B374&lt;&gt;"etf",_xll.YCP("M:"&amp; $A374,"ytd_total_return",'Database Query'!$E$14))</f>
        <v>ERR: INVALID ASSET</v>
      </c>
      <c r="K374" s="2" t="e" cm="1">
        <f t="array" aca="1" ref="K374" ca="1">-_xll.YCP($E374,"ytd_return",'Database Query'!$E$14)+J374</f>
        <v>#VALUE!</v>
      </c>
      <c r="L374" s="2" t="str" cm="1">
        <f t="array" aca="1" ref="L374" ca="1">_xlfn.IFS($B374="etf", _xll.YCP($A374,"one_year_total_return",'Database Query'!$E$14),$B374&lt;&gt;"etf",_xll.YCP("M:"&amp; $A374,"one_year_total_return",'Database Query'!$E$14))</f>
        <v>ERR: INVALID ASSET</v>
      </c>
      <c r="M374" s="2" t="e" cm="1">
        <f t="array" aca="1" ref="M374" ca="1">-_xll.YCP($E374,"one_year_return",'Database Query'!$E$14)+L374</f>
        <v>#VALUE!</v>
      </c>
      <c r="N374" s="2" t="str" cm="1">
        <f t="array" aca="1" ref="N374" ca="1">_xlfn.IFS($B374="etf", _xll.YCP($A374,"three_year_total_return",'Database Query'!$E$14),$B374&lt;&gt;"etf",_xll.YCP("M:"&amp; $A374,"three_year_total_return",'Database Query'!$E$14))</f>
        <v>ERR: INVALID ASSET</v>
      </c>
      <c r="O374" s="2" t="e" cm="1">
        <f t="array" aca="1" ref="O374" ca="1">-_xll.YCP($E374,"three_year_return",'Database Query'!$E$14)+N374</f>
        <v>#VALUE!</v>
      </c>
      <c r="P374" s="2" t="str" cm="1">
        <f t="array" aca="1" ref="P374" ca="1">_xlfn.IFS($B374="etf", _xll.YCP($A374,"five_year_total_return",'Database Query'!$E$14),$B374&lt;&gt;"etf",_xll.YCP("M:"&amp; $A374,"five_year_total_return",'Database Query'!$E$14))</f>
        <v>ERR: INVALID ASSET</v>
      </c>
      <c r="Q374" s="2" t="e" cm="1">
        <f t="array" aca="1" ref="Q374" ca="1">-_xll.YCP($E374,"five_year_return",'Database Query'!$E$14)+P374</f>
        <v>#VALUE!</v>
      </c>
    </row>
    <row r="375" spans="2:17" x14ac:dyDescent="0.25">
      <c r="B375" t="str" cm="1">
        <f t="array" aca="1" ref="B375" ca="1">_xll.YCI(A375,"detailed_security_type",TODAY())</f>
        <v/>
      </c>
      <c r="C375" t="str" cm="1">
        <f t="array" aca="1" ref="C375" ca="1">_xlfn.IFS(B375="etf", _xll.YCI(A375, "security_name",TODAY()),B375&lt;&gt;"etf",_xll.YCI("M:" &amp; A375, "security_name",TODAY()))</f>
        <v>ERR: INVALID ASSET</v>
      </c>
      <c r="D375" t="str" cm="1">
        <f t="array" aca="1" ref="D375" ca="1">_xlfn.IFS($B375="etf", _xll.YCI($A375, "ycharts_benchmark_category",TODAY()),$B375&lt;&gt;"etf",_xll.YCI("M:" &amp; $A375, "ycharts_benchmark_category",TODAY()))</f>
        <v>ERR: INVALID ASSET</v>
      </c>
      <c r="E375" t="str" cm="1">
        <f t="array" aca="1" ref="E375" ca="1">_xlfn.IFS($B375="etf", _xll.YCI($A375, "ycharts_benchmark_index_symbol",TODAY()),$B375&lt;&gt;"etf",_xll.YCI("M:" &amp; $A375, "ycharts_benchmark_index_symbol",TODAY()))</f>
        <v>ERR: INVALID ASSET</v>
      </c>
      <c r="F375" t="str" cm="1">
        <f t="array" aca="1" ref="F375" ca="1">_xlfn.IFS($B375="etf", _xll.YCI($E375, "security_name",TODAY()),$B375&lt;&gt;"etf",_xll.YCI( $E375, "security_name",TODAY()))</f>
        <v>ERR: INVALID ASSET</v>
      </c>
      <c r="G375" t="str" cm="1">
        <f t="array" aca="1" ref="G375" ca="1">_xlfn.IFS($B375="etf", _xll.YCI($A375, "prospectus_benchmark_index",TODAY()),$B375&lt;&gt;"etf",_xll.YCI("M:" &amp; $A375, "prospectus_benchmark_index",TODAY()))</f>
        <v>ERR: INVALID ASSET</v>
      </c>
      <c r="H375" s="2" t="str" cm="1">
        <f t="array" aca="1" ref="H375" ca="1">_xlfn.IFS($B375="etf", _xll.YCP($A375,"quarterly_total_return",'Database Query'!$E$14),$B375&lt;&gt;"etf",_xll.YCP("M:"&amp; $A375,"quarterly_total_return",'Database Query'!$E$14))</f>
        <v>ERR: INVALID ASSET</v>
      </c>
      <c r="I375" s="2" t="e" cm="1">
        <f t="array" aca="1" ref="I375" ca="1">-_xll.YCP($E375,"quarterly_return",'Database Query'!$E$14)+H375</f>
        <v>#VALUE!</v>
      </c>
      <c r="J375" s="2" t="str" cm="1">
        <f t="array" aca="1" ref="J375" ca="1">_xlfn.IFS($B375="etf", _xll.YCP($A375,"ytd_total_return",'Database Query'!$E$14),$B375&lt;&gt;"etf",_xll.YCP("M:"&amp; $A375,"ytd_total_return",'Database Query'!$E$14))</f>
        <v>ERR: INVALID ASSET</v>
      </c>
      <c r="K375" s="2" t="e" cm="1">
        <f t="array" aca="1" ref="K375" ca="1">-_xll.YCP($E375,"ytd_return",'Database Query'!$E$14)+J375</f>
        <v>#VALUE!</v>
      </c>
      <c r="L375" s="2" t="str" cm="1">
        <f t="array" aca="1" ref="L375" ca="1">_xlfn.IFS($B375="etf", _xll.YCP($A375,"one_year_total_return",'Database Query'!$E$14),$B375&lt;&gt;"etf",_xll.YCP("M:"&amp; $A375,"one_year_total_return",'Database Query'!$E$14))</f>
        <v>ERR: INVALID ASSET</v>
      </c>
      <c r="M375" s="2" t="e" cm="1">
        <f t="array" aca="1" ref="M375" ca="1">-_xll.YCP($E375,"one_year_return",'Database Query'!$E$14)+L375</f>
        <v>#VALUE!</v>
      </c>
      <c r="N375" s="2" t="str" cm="1">
        <f t="array" aca="1" ref="N375" ca="1">_xlfn.IFS($B375="etf", _xll.YCP($A375,"three_year_total_return",'Database Query'!$E$14),$B375&lt;&gt;"etf",_xll.YCP("M:"&amp; $A375,"three_year_total_return",'Database Query'!$E$14))</f>
        <v>ERR: INVALID ASSET</v>
      </c>
      <c r="O375" s="2" t="e" cm="1">
        <f t="array" aca="1" ref="O375" ca="1">-_xll.YCP($E375,"three_year_return",'Database Query'!$E$14)+N375</f>
        <v>#VALUE!</v>
      </c>
      <c r="P375" s="2" t="str" cm="1">
        <f t="array" aca="1" ref="P375" ca="1">_xlfn.IFS($B375="etf", _xll.YCP($A375,"five_year_total_return",'Database Query'!$E$14),$B375&lt;&gt;"etf",_xll.YCP("M:"&amp; $A375,"five_year_total_return",'Database Query'!$E$14))</f>
        <v>ERR: INVALID ASSET</v>
      </c>
      <c r="Q375" s="2" t="e" cm="1">
        <f t="array" aca="1" ref="Q375" ca="1">-_xll.YCP($E375,"five_year_return",'Database Query'!$E$14)+P375</f>
        <v>#VALUE!</v>
      </c>
    </row>
    <row r="376" spans="2:17" x14ac:dyDescent="0.25">
      <c r="B376" t="str" cm="1">
        <f t="array" aca="1" ref="B376" ca="1">_xll.YCI(A376,"detailed_security_type",TODAY())</f>
        <v/>
      </c>
      <c r="C376" t="str" cm="1">
        <f t="array" aca="1" ref="C376" ca="1">_xlfn.IFS(B376="etf", _xll.YCI(A376, "security_name",TODAY()),B376&lt;&gt;"etf",_xll.YCI("M:" &amp; A376, "security_name",TODAY()))</f>
        <v>ERR: INVALID ASSET</v>
      </c>
      <c r="D376" t="str" cm="1">
        <f t="array" aca="1" ref="D376" ca="1">_xlfn.IFS($B376="etf", _xll.YCI($A376, "ycharts_benchmark_category",TODAY()),$B376&lt;&gt;"etf",_xll.YCI("M:" &amp; $A376, "ycharts_benchmark_category",TODAY()))</f>
        <v>ERR: INVALID ASSET</v>
      </c>
      <c r="E376" t="str" cm="1">
        <f t="array" aca="1" ref="E376" ca="1">_xlfn.IFS($B376="etf", _xll.YCI($A376, "ycharts_benchmark_index_symbol",TODAY()),$B376&lt;&gt;"etf",_xll.YCI("M:" &amp; $A376, "ycharts_benchmark_index_symbol",TODAY()))</f>
        <v>ERR: INVALID ASSET</v>
      </c>
      <c r="F376" t="str" cm="1">
        <f t="array" aca="1" ref="F376" ca="1">_xlfn.IFS($B376="etf", _xll.YCI($E376, "security_name",TODAY()),$B376&lt;&gt;"etf",_xll.YCI( $E376, "security_name",TODAY()))</f>
        <v>ERR: INVALID ASSET</v>
      </c>
      <c r="G376" t="str" cm="1">
        <f t="array" aca="1" ref="G376" ca="1">_xlfn.IFS($B376="etf", _xll.YCI($A376, "prospectus_benchmark_index",TODAY()),$B376&lt;&gt;"etf",_xll.YCI("M:" &amp; $A376, "prospectus_benchmark_index",TODAY()))</f>
        <v>ERR: INVALID ASSET</v>
      </c>
      <c r="H376" s="2" t="str" cm="1">
        <f t="array" aca="1" ref="H376" ca="1">_xlfn.IFS($B376="etf", _xll.YCP($A376,"quarterly_total_return",'Database Query'!$E$14),$B376&lt;&gt;"etf",_xll.YCP("M:"&amp; $A376,"quarterly_total_return",'Database Query'!$E$14))</f>
        <v>ERR: INVALID ASSET</v>
      </c>
      <c r="I376" s="2" t="e" cm="1">
        <f t="array" aca="1" ref="I376" ca="1">-_xll.YCP($E376,"quarterly_return",'Database Query'!$E$14)+H376</f>
        <v>#VALUE!</v>
      </c>
      <c r="J376" s="2" t="str" cm="1">
        <f t="array" aca="1" ref="J376" ca="1">_xlfn.IFS($B376="etf", _xll.YCP($A376,"ytd_total_return",'Database Query'!$E$14),$B376&lt;&gt;"etf",_xll.YCP("M:"&amp; $A376,"ytd_total_return",'Database Query'!$E$14))</f>
        <v>ERR: INVALID ASSET</v>
      </c>
      <c r="K376" s="2" t="e" cm="1">
        <f t="array" aca="1" ref="K376" ca="1">-_xll.YCP($E376,"ytd_return",'Database Query'!$E$14)+J376</f>
        <v>#VALUE!</v>
      </c>
      <c r="L376" s="2" t="str" cm="1">
        <f t="array" aca="1" ref="L376" ca="1">_xlfn.IFS($B376="etf", _xll.YCP($A376,"one_year_total_return",'Database Query'!$E$14),$B376&lt;&gt;"etf",_xll.YCP("M:"&amp; $A376,"one_year_total_return",'Database Query'!$E$14))</f>
        <v>ERR: INVALID ASSET</v>
      </c>
      <c r="M376" s="2" t="e" cm="1">
        <f t="array" aca="1" ref="M376" ca="1">-_xll.YCP($E376,"one_year_return",'Database Query'!$E$14)+L376</f>
        <v>#VALUE!</v>
      </c>
      <c r="N376" s="2" t="str" cm="1">
        <f t="array" aca="1" ref="N376" ca="1">_xlfn.IFS($B376="etf", _xll.YCP($A376,"three_year_total_return",'Database Query'!$E$14),$B376&lt;&gt;"etf",_xll.YCP("M:"&amp; $A376,"three_year_total_return",'Database Query'!$E$14))</f>
        <v>ERR: INVALID ASSET</v>
      </c>
      <c r="O376" s="2" t="e" cm="1">
        <f t="array" aca="1" ref="O376" ca="1">-_xll.YCP($E376,"three_year_return",'Database Query'!$E$14)+N376</f>
        <v>#VALUE!</v>
      </c>
      <c r="P376" s="2" t="str" cm="1">
        <f t="array" aca="1" ref="P376" ca="1">_xlfn.IFS($B376="etf", _xll.YCP($A376,"five_year_total_return",'Database Query'!$E$14),$B376&lt;&gt;"etf",_xll.YCP("M:"&amp; $A376,"five_year_total_return",'Database Query'!$E$14))</f>
        <v>ERR: INVALID ASSET</v>
      </c>
      <c r="Q376" s="2" t="e" cm="1">
        <f t="array" aca="1" ref="Q376" ca="1">-_xll.YCP($E376,"five_year_return",'Database Query'!$E$14)+P376</f>
        <v>#VALUE!</v>
      </c>
    </row>
    <row r="377" spans="2:17" x14ac:dyDescent="0.25">
      <c r="B377" t="str" cm="1">
        <f t="array" aca="1" ref="B377" ca="1">_xll.YCI(A377,"detailed_security_type",TODAY())</f>
        <v/>
      </c>
      <c r="C377" t="str" cm="1">
        <f t="array" aca="1" ref="C377" ca="1">_xlfn.IFS(B377="etf", _xll.YCI(A377, "security_name",TODAY()),B377&lt;&gt;"etf",_xll.YCI("M:" &amp; A377, "security_name",TODAY()))</f>
        <v>ERR: INVALID ASSET</v>
      </c>
      <c r="D377" t="str" cm="1">
        <f t="array" aca="1" ref="D377" ca="1">_xlfn.IFS($B377="etf", _xll.YCI($A377, "ycharts_benchmark_category",TODAY()),$B377&lt;&gt;"etf",_xll.YCI("M:" &amp; $A377, "ycharts_benchmark_category",TODAY()))</f>
        <v>ERR: INVALID ASSET</v>
      </c>
      <c r="E377" t="str" cm="1">
        <f t="array" aca="1" ref="E377" ca="1">_xlfn.IFS($B377="etf", _xll.YCI($A377, "ycharts_benchmark_index_symbol",TODAY()),$B377&lt;&gt;"etf",_xll.YCI("M:" &amp; $A377, "ycharts_benchmark_index_symbol",TODAY()))</f>
        <v>ERR: INVALID ASSET</v>
      </c>
      <c r="F377" t="str" cm="1">
        <f t="array" aca="1" ref="F377" ca="1">_xlfn.IFS($B377="etf", _xll.YCI($E377, "security_name",TODAY()),$B377&lt;&gt;"etf",_xll.YCI( $E377, "security_name",TODAY()))</f>
        <v>ERR: INVALID ASSET</v>
      </c>
      <c r="G377" t="str" cm="1">
        <f t="array" aca="1" ref="G377" ca="1">_xlfn.IFS($B377="etf", _xll.YCI($A377, "prospectus_benchmark_index",TODAY()),$B377&lt;&gt;"etf",_xll.YCI("M:" &amp; $A377, "prospectus_benchmark_index",TODAY()))</f>
        <v>ERR: INVALID ASSET</v>
      </c>
      <c r="H377" s="2" t="str" cm="1">
        <f t="array" aca="1" ref="H377" ca="1">_xlfn.IFS($B377="etf", _xll.YCP($A377,"quarterly_total_return",'Database Query'!$E$14),$B377&lt;&gt;"etf",_xll.YCP("M:"&amp; $A377,"quarterly_total_return",'Database Query'!$E$14))</f>
        <v>ERR: INVALID ASSET</v>
      </c>
      <c r="I377" s="2" t="e" cm="1">
        <f t="array" aca="1" ref="I377" ca="1">-_xll.YCP($E377,"quarterly_return",'Database Query'!$E$14)+H377</f>
        <v>#VALUE!</v>
      </c>
      <c r="J377" s="2" t="str" cm="1">
        <f t="array" aca="1" ref="J377" ca="1">_xlfn.IFS($B377="etf", _xll.YCP($A377,"ytd_total_return",'Database Query'!$E$14),$B377&lt;&gt;"etf",_xll.YCP("M:"&amp; $A377,"ytd_total_return",'Database Query'!$E$14))</f>
        <v>ERR: INVALID ASSET</v>
      </c>
      <c r="K377" s="2" t="e" cm="1">
        <f t="array" aca="1" ref="K377" ca="1">-_xll.YCP($E377,"ytd_return",'Database Query'!$E$14)+J377</f>
        <v>#VALUE!</v>
      </c>
      <c r="L377" s="2" t="str" cm="1">
        <f t="array" aca="1" ref="L377" ca="1">_xlfn.IFS($B377="etf", _xll.YCP($A377,"one_year_total_return",'Database Query'!$E$14),$B377&lt;&gt;"etf",_xll.YCP("M:"&amp; $A377,"one_year_total_return",'Database Query'!$E$14))</f>
        <v>ERR: INVALID ASSET</v>
      </c>
      <c r="M377" s="2" t="e" cm="1">
        <f t="array" aca="1" ref="M377" ca="1">-_xll.YCP($E377,"one_year_return",'Database Query'!$E$14)+L377</f>
        <v>#VALUE!</v>
      </c>
      <c r="N377" s="2" t="str" cm="1">
        <f t="array" aca="1" ref="N377" ca="1">_xlfn.IFS($B377="etf", _xll.YCP($A377,"three_year_total_return",'Database Query'!$E$14),$B377&lt;&gt;"etf",_xll.YCP("M:"&amp; $A377,"three_year_total_return",'Database Query'!$E$14))</f>
        <v>ERR: INVALID ASSET</v>
      </c>
      <c r="O377" s="2" t="e" cm="1">
        <f t="array" aca="1" ref="O377" ca="1">-_xll.YCP($E377,"three_year_return",'Database Query'!$E$14)+N377</f>
        <v>#VALUE!</v>
      </c>
      <c r="P377" s="2" t="str" cm="1">
        <f t="array" aca="1" ref="P377" ca="1">_xlfn.IFS($B377="etf", _xll.YCP($A377,"five_year_total_return",'Database Query'!$E$14),$B377&lt;&gt;"etf",_xll.YCP("M:"&amp; $A377,"five_year_total_return",'Database Query'!$E$14))</f>
        <v>ERR: INVALID ASSET</v>
      </c>
      <c r="Q377" s="2" t="e" cm="1">
        <f t="array" aca="1" ref="Q377" ca="1">-_xll.YCP($E377,"five_year_return",'Database Query'!$E$14)+P377</f>
        <v>#VALUE!</v>
      </c>
    </row>
    <row r="378" spans="2:17" x14ac:dyDescent="0.25">
      <c r="B378" t="str" cm="1">
        <f t="array" aca="1" ref="B378" ca="1">_xll.YCI(A378,"detailed_security_type",TODAY())</f>
        <v/>
      </c>
      <c r="C378" t="str" cm="1">
        <f t="array" aca="1" ref="C378" ca="1">_xlfn.IFS(B378="etf", _xll.YCI(A378, "security_name",TODAY()),B378&lt;&gt;"etf",_xll.YCI("M:" &amp; A378, "security_name",TODAY()))</f>
        <v>ERR: INVALID ASSET</v>
      </c>
      <c r="D378" t="str" cm="1">
        <f t="array" aca="1" ref="D378" ca="1">_xlfn.IFS($B378="etf", _xll.YCI($A378, "ycharts_benchmark_category",TODAY()),$B378&lt;&gt;"etf",_xll.YCI("M:" &amp; $A378, "ycharts_benchmark_category",TODAY()))</f>
        <v>ERR: INVALID ASSET</v>
      </c>
      <c r="E378" t="str" cm="1">
        <f t="array" aca="1" ref="E378" ca="1">_xlfn.IFS($B378="etf", _xll.YCI($A378, "ycharts_benchmark_index_symbol",TODAY()),$B378&lt;&gt;"etf",_xll.YCI("M:" &amp; $A378, "ycharts_benchmark_index_symbol",TODAY()))</f>
        <v>ERR: INVALID ASSET</v>
      </c>
      <c r="F378" t="str" cm="1">
        <f t="array" aca="1" ref="F378" ca="1">_xlfn.IFS($B378="etf", _xll.YCI($E378, "security_name",TODAY()),$B378&lt;&gt;"etf",_xll.YCI( $E378, "security_name",TODAY()))</f>
        <v>ERR: INVALID ASSET</v>
      </c>
      <c r="G378" t="str" cm="1">
        <f t="array" aca="1" ref="G378" ca="1">_xlfn.IFS($B378="etf", _xll.YCI($A378, "prospectus_benchmark_index",TODAY()),$B378&lt;&gt;"etf",_xll.YCI("M:" &amp; $A378, "prospectus_benchmark_index",TODAY()))</f>
        <v>ERR: INVALID ASSET</v>
      </c>
      <c r="H378" s="2" t="str" cm="1">
        <f t="array" aca="1" ref="H378" ca="1">_xlfn.IFS($B378="etf", _xll.YCP($A378,"quarterly_total_return",'Database Query'!$E$14),$B378&lt;&gt;"etf",_xll.YCP("M:"&amp; $A378,"quarterly_total_return",'Database Query'!$E$14))</f>
        <v>ERR: INVALID ASSET</v>
      </c>
      <c r="I378" s="2" t="e" cm="1">
        <f t="array" aca="1" ref="I378" ca="1">-_xll.YCP($E378,"quarterly_return",'Database Query'!$E$14)+H378</f>
        <v>#VALUE!</v>
      </c>
      <c r="J378" s="2" t="str" cm="1">
        <f t="array" aca="1" ref="J378" ca="1">_xlfn.IFS($B378="etf", _xll.YCP($A378,"ytd_total_return",'Database Query'!$E$14),$B378&lt;&gt;"etf",_xll.YCP("M:"&amp; $A378,"ytd_total_return",'Database Query'!$E$14))</f>
        <v>ERR: INVALID ASSET</v>
      </c>
      <c r="K378" s="2" t="e" cm="1">
        <f t="array" aca="1" ref="K378" ca="1">-_xll.YCP($E378,"ytd_return",'Database Query'!$E$14)+J378</f>
        <v>#VALUE!</v>
      </c>
      <c r="L378" s="2" t="str" cm="1">
        <f t="array" aca="1" ref="L378" ca="1">_xlfn.IFS($B378="etf", _xll.YCP($A378,"one_year_total_return",'Database Query'!$E$14),$B378&lt;&gt;"etf",_xll.YCP("M:"&amp; $A378,"one_year_total_return",'Database Query'!$E$14))</f>
        <v>ERR: INVALID ASSET</v>
      </c>
      <c r="M378" s="2" t="e" cm="1">
        <f t="array" aca="1" ref="M378" ca="1">-_xll.YCP($E378,"one_year_return",'Database Query'!$E$14)+L378</f>
        <v>#VALUE!</v>
      </c>
      <c r="N378" s="2" t="str" cm="1">
        <f t="array" aca="1" ref="N378" ca="1">_xlfn.IFS($B378="etf", _xll.YCP($A378,"three_year_total_return",'Database Query'!$E$14),$B378&lt;&gt;"etf",_xll.YCP("M:"&amp; $A378,"three_year_total_return",'Database Query'!$E$14))</f>
        <v>ERR: INVALID ASSET</v>
      </c>
      <c r="O378" s="2" t="e" cm="1">
        <f t="array" aca="1" ref="O378" ca="1">-_xll.YCP($E378,"three_year_return",'Database Query'!$E$14)+N378</f>
        <v>#VALUE!</v>
      </c>
      <c r="P378" s="2" t="str" cm="1">
        <f t="array" aca="1" ref="P378" ca="1">_xlfn.IFS($B378="etf", _xll.YCP($A378,"five_year_total_return",'Database Query'!$E$14),$B378&lt;&gt;"etf",_xll.YCP("M:"&amp; $A378,"five_year_total_return",'Database Query'!$E$14))</f>
        <v>ERR: INVALID ASSET</v>
      </c>
      <c r="Q378" s="2" t="e" cm="1">
        <f t="array" aca="1" ref="Q378" ca="1">-_xll.YCP($E378,"five_year_return",'Database Query'!$E$14)+P378</f>
        <v>#VALUE!</v>
      </c>
    </row>
    <row r="379" spans="2:17" x14ac:dyDescent="0.25">
      <c r="B379" t="str" cm="1">
        <f t="array" aca="1" ref="B379" ca="1">_xll.YCI(A379,"detailed_security_type",TODAY())</f>
        <v/>
      </c>
      <c r="C379" t="str" cm="1">
        <f t="array" aca="1" ref="C379" ca="1">_xlfn.IFS(B379="etf", _xll.YCI(A379, "security_name",TODAY()),B379&lt;&gt;"etf",_xll.YCI("M:" &amp; A379, "security_name",TODAY()))</f>
        <v>ERR: INVALID ASSET</v>
      </c>
      <c r="D379" t="str" cm="1">
        <f t="array" aca="1" ref="D379" ca="1">_xlfn.IFS($B379="etf", _xll.YCI($A379, "ycharts_benchmark_category",TODAY()),$B379&lt;&gt;"etf",_xll.YCI("M:" &amp; $A379, "ycharts_benchmark_category",TODAY()))</f>
        <v>ERR: INVALID ASSET</v>
      </c>
      <c r="E379" t="str" cm="1">
        <f t="array" aca="1" ref="E379" ca="1">_xlfn.IFS($B379="etf", _xll.YCI($A379, "ycharts_benchmark_index_symbol",TODAY()),$B379&lt;&gt;"etf",_xll.YCI("M:" &amp; $A379, "ycharts_benchmark_index_symbol",TODAY()))</f>
        <v>ERR: INVALID ASSET</v>
      </c>
      <c r="F379" t="str" cm="1">
        <f t="array" aca="1" ref="F379" ca="1">_xlfn.IFS($B379="etf", _xll.YCI($E379, "security_name",TODAY()),$B379&lt;&gt;"etf",_xll.YCI( $E379, "security_name",TODAY()))</f>
        <v>ERR: INVALID ASSET</v>
      </c>
      <c r="G379" t="str" cm="1">
        <f t="array" aca="1" ref="G379" ca="1">_xlfn.IFS($B379="etf", _xll.YCI($A379, "prospectus_benchmark_index",TODAY()),$B379&lt;&gt;"etf",_xll.YCI("M:" &amp; $A379, "prospectus_benchmark_index",TODAY()))</f>
        <v>ERR: INVALID ASSET</v>
      </c>
      <c r="H379" s="2" t="str" cm="1">
        <f t="array" aca="1" ref="H379" ca="1">_xlfn.IFS($B379="etf", _xll.YCP($A379,"quarterly_total_return",'Database Query'!$E$14),$B379&lt;&gt;"etf",_xll.YCP("M:"&amp; $A379,"quarterly_total_return",'Database Query'!$E$14))</f>
        <v>ERR: INVALID ASSET</v>
      </c>
      <c r="I379" s="2" t="e" cm="1">
        <f t="array" aca="1" ref="I379" ca="1">-_xll.YCP($E379,"quarterly_return",'Database Query'!$E$14)+H379</f>
        <v>#VALUE!</v>
      </c>
      <c r="J379" s="2" t="str" cm="1">
        <f t="array" aca="1" ref="J379" ca="1">_xlfn.IFS($B379="etf", _xll.YCP($A379,"ytd_total_return",'Database Query'!$E$14),$B379&lt;&gt;"etf",_xll.YCP("M:"&amp; $A379,"ytd_total_return",'Database Query'!$E$14))</f>
        <v>ERR: INVALID ASSET</v>
      </c>
      <c r="K379" s="2" t="e" cm="1">
        <f t="array" aca="1" ref="K379" ca="1">-_xll.YCP($E379,"ytd_return",'Database Query'!$E$14)+J379</f>
        <v>#VALUE!</v>
      </c>
      <c r="L379" s="2" t="str" cm="1">
        <f t="array" aca="1" ref="L379" ca="1">_xlfn.IFS($B379="etf", _xll.YCP($A379,"one_year_total_return",'Database Query'!$E$14),$B379&lt;&gt;"etf",_xll.YCP("M:"&amp; $A379,"one_year_total_return",'Database Query'!$E$14))</f>
        <v>ERR: INVALID ASSET</v>
      </c>
      <c r="M379" s="2" t="e" cm="1">
        <f t="array" aca="1" ref="M379" ca="1">-_xll.YCP($E379,"one_year_return",'Database Query'!$E$14)+L379</f>
        <v>#VALUE!</v>
      </c>
      <c r="N379" s="2" t="str" cm="1">
        <f t="array" aca="1" ref="N379" ca="1">_xlfn.IFS($B379="etf", _xll.YCP($A379,"three_year_total_return",'Database Query'!$E$14),$B379&lt;&gt;"etf",_xll.YCP("M:"&amp; $A379,"three_year_total_return",'Database Query'!$E$14))</f>
        <v>ERR: INVALID ASSET</v>
      </c>
      <c r="O379" s="2" t="e" cm="1">
        <f t="array" aca="1" ref="O379" ca="1">-_xll.YCP($E379,"three_year_return",'Database Query'!$E$14)+N379</f>
        <v>#VALUE!</v>
      </c>
      <c r="P379" s="2" t="str" cm="1">
        <f t="array" aca="1" ref="P379" ca="1">_xlfn.IFS($B379="etf", _xll.YCP($A379,"five_year_total_return",'Database Query'!$E$14),$B379&lt;&gt;"etf",_xll.YCP("M:"&amp; $A379,"five_year_total_return",'Database Query'!$E$14))</f>
        <v>ERR: INVALID ASSET</v>
      </c>
      <c r="Q379" s="2" t="e" cm="1">
        <f t="array" aca="1" ref="Q379" ca="1">-_xll.YCP($E379,"five_year_return",'Database Query'!$E$14)+P379</f>
        <v>#VALUE!</v>
      </c>
    </row>
    <row r="380" spans="2:17" x14ac:dyDescent="0.25">
      <c r="B380" t="str" cm="1">
        <f t="array" aca="1" ref="B380" ca="1">_xll.YCI(A380,"detailed_security_type",TODAY())</f>
        <v/>
      </c>
      <c r="C380" t="str" cm="1">
        <f t="array" aca="1" ref="C380" ca="1">_xlfn.IFS(B380="etf", _xll.YCI(A380, "security_name",TODAY()),B380&lt;&gt;"etf",_xll.YCI("M:" &amp; A380, "security_name",TODAY()))</f>
        <v>ERR: INVALID ASSET</v>
      </c>
      <c r="D380" t="str" cm="1">
        <f t="array" aca="1" ref="D380" ca="1">_xlfn.IFS($B380="etf", _xll.YCI($A380, "ycharts_benchmark_category",TODAY()),$B380&lt;&gt;"etf",_xll.YCI("M:" &amp; $A380, "ycharts_benchmark_category",TODAY()))</f>
        <v>ERR: INVALID ASSET</v>
      </c>
      <c r="E380" t="str" cm="1">
        <f t="array" aca="1" ref="E380" ca="1">_xlfn.IFS($B380="etf", _xll.YCI($A380, "ycharts_benchmark_index_symbol",TODAY()),$B380&lt;&gt;"etf",_xll.YCI("M:" &amp; $A380, "ycharts_benchmark_index_symbol",TODAY()))</f>
        <v>ERR: INVALID ASSET</v>
      </c>
      <c r="F380" t="str" cm="1">
        <f t="array" aca="1" ref="F380" ca="1">_xlfn.IFS($B380="etf", _xll.YCI($E380, "security_name",TODAY()),$B380&lt;&gt;"etf",_xll.YCI( $E380, "security_name",TODAY()))</f>
        <v>ERR: INVALID ASSET</v>
      </c>
      <c r="G380" t="str" cm="1">
        <f t="array" aca="1" ref="G380" ca="1">_xlfn.IFS($B380="etf", _xll.YCI($A380, "prospectus_benchmark_index",TODAY()),$B380&lt;&gt;"etf",_xll.YCI("M:" &amp; $A380, "prospectus_benchmark_index",TODAY()))</f>
        <v>ERR: INVALID ASSET</v>
      </c>
      <c r="H380" s="2" t="str" cm="1">
        <f t="array" aca="1" ref="H380" ca="1">_xlfn.IFS($B380="etf", _xll.YCP($A380,"quarterly_total_return",'Database Query'!$E$14),$B380&lt;&gt;"etf",_xll.YCP("M:"&amp; $A380,"quarterly_total_return",'Database Query'!$E$14))</f>
        <v>ERR: INVALID ASSET</v>
      </c>
      <c r="I380" s="2" t="e" cm="1">
        <f t="array" aca="1" ref="I380" ca="1">-_xll.YCP($E380,"quarterly_return",'Database Query'!$E$14)+H380</f>
        <v>#VALUE!</v>
      </c>
      <c r="J380" s="2" t="str" cm="1">
        <f t="array" aca="1" ref="J380" ca="1">_xlfn.IFS($B380="etf", _xll.YCP($A380,"ytd_total_return",'Database Query'!$E$14),$B380&lt;&gt;"etf",_xll.YCP("M:"&amp; $A380,"ytd_total_return",'Database Query'!$E$14))</f>
        <v>ERR: INVALID ASSET</v>
      </c>
      <c r="K380" s="2" t="e" cm="1">
        <f t="array" aca="1" ref="K380" ca="1">-_xll.YCP($E380,"ytd_return",'Database Query'!$E$14)+J380</f>
        <v>#VALUE!</v>
      </c>
      <c r="L380" s="2" t="str" cm="1">
        <f t="array" aca="1" ref="L380" ca="1">_xlfn.IFS($B380="etf", _xll.YCP($A380,"one_year_total_return",'Database Query'!$E$14),$B380&lt;&gt;"etf",_xll.YCP("M:"&amp; $A380,"one_year_total_return",'Database Query'!$E$14))</f>
        <v>ERR: INVALID ASSET</v>
      </c>
      <c r="M380" s="2" t="e" cm="1">
        <f t="array" aca="1" ref="M380" ca="1">-_xll.YCP($E380,"one_year_return",'Database Query'!$E$14)+L380</f>
        <v>#VALUE!</v>
      </c>
      <c r="N380" s="2" t="str" cm="1">
        <f t="array" aca="1" ref="N380" ca="1">_xlfn.IFS($B380="etf", _xll.YCP($A380,"three_year_total_return",'Database Query'!$E$14),$B380&lt;&gt;"etf",_xll.YCP("M:"&amp; $A380,"three_year_total_return",'Database Query'!$E$14))</f>
        <v>ERR: INVALID ASSET</v>
      </c>
      <c r="O380" s="2" t="e" cm="1">
        <f t="array" aca="1" ref="O380" ca="1">-_xll.YCP($E380,"three_year_return",'Database Query'!$E$14)+N380</f>
        <v>#VALUE!</v>
      </c>
      <c r="P380" s="2" t="str" cm="1">
        <f t="array" aca="1" ref="P380" ca="1">_xlfn.IFS($B380="etf", _xll.YCP($A380,"five_year_total_return",'Database Query'!$E$14),$B380&lt;&gt;"etf",_xll.YCP("M:"&amp; $A380,"five_year_total_return",'Database Query'!$E$14))</f>
        <v>ERR: INVALID ASSET</v>
      </c>
      <c r="Q380" s="2" t="e" cm="1">
        <f t="array" aca="1" ref="Q380" ca="1">-_xll.YCP($E380,"five_year_return",'Database Query'!$E$14)+P380</f>
        <v>#VALUE!</v>
      </c>
    </row>
    <row r="381" spans="2:17" x14ac:dyDescent="0.25">
      <c r="B381" t="str" cm="1">
        <f t="array" aca="1" ref="B381" ca="1">_xll.YCI(A381,"detailed_security_type",TODAY())</f>
        <v/>
      </c>
      <c r="C381" t="str" cm="1">
        <f t="array" aca="1" ref="C381" ca="1">_xlfn.IFS(B381="etf", _xll.YCI(A381, "security_name",TODAY()),B381&lt;&gt;"etf",_xll.YCI("M:" &amp; A381, "security_name",TODAY()))</f>
        <v>ERR: INVALID ASSET</v>
      </c>
      <c r="D381" t="str" cm="1">
        <f t="array" aca="1" ref="D381" ca="1">_xlfn.IFS($B381="etf", _xll.YCI($A381, "ycharts_benchmark_category",TODAY()),$B381&lt;&gt;"etf",_xll.YCI("M:" &amp; $A381, "ycharts_benchmark_category",TODAY()))</f>
        <v>ERR: INVALID ASSET</v>
      </c>
      <c r="E381" t="str" cm="1">
        <f t="array" aca="1" ref="E381" ca="1">_xlfn.IFS($B381="etf", _xll.YCI($A381, "ycharts_benchmark_index_symbol",TODAY()),$B381&lt;&gt;"etf",_xll.YCI("M:" &amp; $A381, "ycharts_benchmark_index_symbol",TODAY()))</f>
        <v>ERR: INVALID ASSET</v>
      </c>
      <c r="F381" t="str" cm="1">
        <f t="array" aca="1" ref="F381" ca="1">_xlfn.IFS($B381="etf", _xll.YCI($E381, "security_name",TODAY()),$B381&lt;&gt;"etf",_xll.YCI( $E381, "security_name",TODAY()))</f>
        <v>ERR: INVALID ASSET</v>
      </c>
      <c r="G381" t="str" cm="1">
        <f t="array" aca="1" ref="G381" ca="1">_xlfn.IFS($B381="etf", _xll.YCI($A381, "prospectus_benchmark_index",TODAY()),$B381&lt;&gt;"etf",_xll.YCI("M:" &amp; $A381, "prospectus_benchmark_index",TODAY()))</f>
        <v>ERR: INVALID ASSET</v>
      </c>
      <c r="H381" s="2" t="str" cm="1">
        <f t="array" aca="1" ref="H381" ca="1">_xlfn.IFS($B381="etf", _xll.YCP($A381,"quarterly_total_return",'Database Query'!$E$14),$B381&lt;&gt;"etf",_xll.YCP("M:"&amp; $A381,"quarterly_total_return",'Database Query'!$E$14))</f>
        <v>ERR: INVALID ASSET</v>
      </c>
      <c r="I381" s="2" t="e" cm="1">
        <f t="array" aca="1" ref="I381" ca="1">-_xll.YCP($E381,"quarterly_return",'Database Query'!$E$14)+H381</f>
        <v>#VALUE!</v>
      </c>
      <c r="J381" s="2" t="str" cm="1">
        <f t="array" aca="1" ref="J381" ca="1">_xlfn.IFS($B381="etf", _xll.YCP($A381,"ytd_total_return",'Database Query'!$E$14),$B381&lt;&gt;"etf",_xll.YCP("M:"&amp; $A381,"ytd_total_return",'Database Query'!$E$14))</f>
        <v>ERR: INVALID ASSET</v>
      </c>
      <c r="K381" s="2" t="e" cm="1">
        <f t="array" aca="1" ref="K381" ca="1">-_xll.YCP($E381,"ytd_return",'Database Query'!$E$14)+J381</f>
        <v>#VALUE!</v>
      </c>
      <c r="L381" s="2" t="str" cm="1">
        <f t="array" aca="1" ref="L381" ca="1">_xlfn.IFS($B381="etf", _xll.YCP($A381,"one_year_total_return",'Database Query'!$E$14),$B381&lt;&gt;"etf",_xll.YCP("M:"&amp; $A381,"one_year_total_return",'Database Query'!$E$14))</f>
        <v>ERR: INVALID ASSET</v>
      </c>
      <c r="M381" s="2" t="e" cm="1">
        <f t="array" aca="1" ref="M381" ca="1">-_xll.YCP($E381,"one_year_return",'Database Query'!$E$14)+L381</f>
        <v>#VALUE!</v>
      </c>
      <c r="N381" s="2" t="str" cm="1">
        <f t="array" aca="1" ref="N381" ca="1">_xlfn.IFS($B381="etf", _xll.YCP($A381,"three_year_total_return",'Database Query'!$E$14),$B381&lt;&gt;"etf",_xll.YCP("M:"&amp; $A381,"three_year_total_return",'Database Query'!$E$14))</f>
        <v>ERR: INVALID ASSET</v>
      </c>
      <c r="O381" s="2" t="e" cm="1">
        <f t="array" aca="1" ref="O381" ca="1">-_xll.YCP($E381,"three_year_return",'Database Query'!$E$14)+N381</f>
        <v>#VALUE!</v>
      </c>
      <c r="P381" s="2" t="str" cm="1">
        <f t="array" aca="1" ref="P381" ca="1">_xlfn.IFS($B381="etf", _xll.YCP($A381,"five_year_total_return",'Database Query'!$E$14),$B381&lt;&gt;"etf",_xll.YCP("M:"&amp; $A381,"five_year_total_return",'Database Query'!$E$14))</f>
        <v>ERR: INVALID ASSET</v>
      </c>
      <c r="Q381" s="2" t="e" cm="1">
        <f t="array" aca="1" ref="Q381" ca="1">-_xll.YCP($E381,"five_year_return",'Database Query'!$E$14)+P381</f>
        <v>#VALUE!</v>
      </c>
    </row>
    <row r="382" spans="2:17" x14ac:dyDescent="0.25">
      <c r="B382" t="str" cm="1">
        <f t="array" aca="1" ref="B382" ca="1">_xll.YCI(A382,"detailed_security_type",TODAY())</f>
        <v/>
      </c>
      <c r="C382" t="str" cm="1">
        <f t="array" aca="1" ref="C382" ca="1">_xlfn.IFS(B382="etf", _xll.YCI(A382, "security_name",TODAY()),B382&lt;&gt;"etf",_xll.YCI("M:" &amp; A382, "security_name",TODAY()))</f>
        <v>ERR: INVALID ASSET</v>
      </c>
      <c r="D382" t="str" cm="1">
        <f t="array" aca="1" ref="D382" ca="1">_xlfn.IFS($B382="etf", _xll.YCI($A382, "ycharts_benchmark_category",TODAY()),$B382&lt;&gt;"etf",_xll.YCI("M:" &amp; $A382, "ycharts_benchmark_category",TODAY()))</f>
        <v>ERR: INVALID ASSET</v>
      </c>
      <c r="E382" t="str" cm="1">
        <f t="array" aca="1" ref="E382" ca="1">_xlfn.IFS($B382="etf", _xll.YCI($A382, "ycharts_benchmark_index_symbol",TODAY()),$B382&lt;&gt;"etf",_xll.YCI("M:" &amp; $A382, "ycharts_benchmark_index_symbol",TODAY()))</f>
        <v>ERR: INVALID ASSET</v>
      </c>
      <c r="F382" t="str" cm="1">
        <f t="array" aca="1" ref="F382" ca="1">_xlfn.IFS($B382="etf", _xll.YCI($E382, "security_name",TODAY()),$B382&lt;&gt;"etf",_xll.YCI( $E382, "security_name",TODAY()))</f>
        <v>ERR: INVALID ASSET</v>
      </c>
      <c r="G382" t="str" cm="1">
        <f t="array" aca="1" ref="G382" ca="1">_xlfn.IFS($B382="etf", _xll.YCI($A382, "prospectus_benchmark_index",TODAY()),$B382&lt;&gt;"etf",_xll.YCI("M:" &amp; $A382, "prospectus_benchmark_index",TODAY()))</f>
        <v>ERR: INVALID ASSET</v>
      </c>
      <c r="H382" s="2" t="str" cm="1">
        <f t="array" aca="1" ref="H382" ca="1">_xlfn.IFS($B382="etf", _xll.YCP($A382,"quarterly_total_return",'Database Query'!$E$14),$B382&lt;&gt;"etf",_xll.YCP("M:"&amp; $A382,"quarterly_total_return",'Database Query'!$E$14))</f>
        <v>ERR: INVALID ASSET</v>
      </c>
      <c r="I382" s="2" t="e" cm="1">
        <f t="array" aca="1" ref="I382" ca="1">-_xll.YCP($E382,"quarterly_return",'Database Query'!$E$14)+H382</f>
        <v>#VALUE!</v>
      </c>
      <c r="J382" s="2" t="str" cm="1">
        <f t="array" aca="1" ref="J382" ca="1">_xlfn.IFS($B382="etf", _xll.YCP($A382,"ytd_total_return",'Database Query'!$E$14),$B382&lt;&gt;"etf",_xll.YCP("M:"&amp; $A382,"ytd_total_return",'Database Query'!$E$14))</f>
        <v>ERR: INVALID ASSET</v>
      </c>
      <c r="K382" s="2" t="e" cm="1">
        <f t="array" aca="1" ref="K382" ca="1">-_xll.YCP($E382,"ytd_return",'Database Query'!$E$14)+J382</f>
        <v>#VALUE!</v>
      </c>
      <c r="L382" s="2" t="str" cm="1">
        <f t="array" aca="1" ref="L382" ca="1">_xlfn.IFS($B382="etf", _xll.YCP($A382,"one_year_total_return",'Database Query'!$E$14),$B382&lt;&gt;"etf",_xll.YCP("M:"&amp; $A382,"one_year_total_return",'Database Query'!$E$14))</f>
        <v>ERR: INVALID ASSET</v>
      </c>
      <c r="M382" s="2" t="e" cm="1">
        <f t="array" aca="1" ref="M382" ca="1">-_xll.YCP($E382,"one_year_return",'Database Query'!$E$14)+L382</f>
        <v>#VALUE!</v>
      </c>
      <c r="N382" s="2" t="str" cm="1">
        <f t="array" aca="1" ref="N382" ca="1">_xlfn.IFS($B382="etf", _xll.YCP($A382,"three_year_total_return",'Database Query'!$E$14),$B382&lt;&gt;"etf",_xll.YCP("M:"&amp; $A382,"three_year_total_return",'Database Query'!$E$14))</f>
        <v>ERR: INVALID ASSET</v>
      </c>
      <c r="O382" s="2" t="e" cm="1">
        <f t="array" aca="1" ref="O382" ca="1">-_xll.YCP($E382,"three_year_return",'Database Query'!$E$14)+N382</f>
        <v>#VALUE!</v>
      </c>
      <c r="P382" s="2" t="str" cm="1">
        <f t="array" aca="1" ref="P382" ca="1">_xlfn.IFS($B382="etf", _xll.YCP($A382,"five_year_total_return",'Database Query'!$E$14),$B382&lt;&gt;"etf",_xll.YCP("M:"&amp; $A382,"five_year_total_return",'Database Query'!$E$14))</f>
        <v>ERR: INVALID ASSET</v>
      </c>
      <c r="Q382" s="2" t="e" cm="1">
        <f t="array" aca="1" ref="Q382" ca="1">-_xll.YCP($E382,"five_year_return",'Database Query'!$E$14)+P382</f>
        <v>#VALUE!</v>
      </c>
    </row>
    <row r="383" spans="2:17" x14ac:dyDescent="0.25">
      <c r="B383" t="str" cm="1">
        <f t="array" aca="1" ref="B383" ca="1">_xll.YCI(A383,"detailed_security_type",TODAY())</f>
        <v/>
      </c>
      <c r="C383" t="str" cm="1">
        <f t="array" aca="1" ref="C383" ca="1">_xlfn.IFS(B383="etf", _xll.YCI(A383, "security_name",TODAY()),B383&lt;&gt;"etf",_xll.YCI("M:" &amp; A383, "security_name",TODAY()))</f>
        <v>ERR: INVALID ASSET</v>
      </c>
      <c r="D383" t="str" cm="1">
        <f t="array" aca="1" ref="D383" ca="1">_xlfn.IFS($B383="etf", _xll.YCI($A383, "ycharts_benchmark_category",TODAY()),$B383&lt;&gt;"etf",_xll.YCI("M:" &amp; $A383, "ycharts_benchmark_category",TODAY()))</f>
        <v>ERR: INVALID ASSET</v>
      </c>
      <c r="E383" t="str" cm="1">
        <f t="array" aca="1" ref="E383" ca="1">_xlfn.IFS($B383="etf", _xll.YCI($A383, "ycharts_benchmark_index_symbol",TODAY()),$B383&lt;&gt;"etf",_xll.YCI("M:" &amp; $A383, "ycharts_benchmark_index_symbol",TODAY()))</f>
        <v>ERR: INVALID ASSET</v>
      </c>
      <c r="F383" t="str" cm="1">
        <f t="array" aca="1" ref="F383" ca="1">_xlfn.IFS($B383="etf", _xll.YCI($E383, "security_name",TODAY()),$B383&lt;&gt;"etf",_xll.YCI( $E383, "security_name",TODAY()))</f>
        <v>ERR: INVALID ASSET</v>
      </c>
      <c r="G383" t="str" cm="1">
        <f t="array" aca="1" ref="G383" ca="1">_xlfn.IFS($B383="etf", _xll.YCI($A383, "prospectus_benchmark_index",TODAY()),$B383&lt;&gt;"etf",_xll.YCI("M:" &amp; $A383, "prospectus_benchmark_index",TODAY()))</f>
        <v>ERR: INVALID ASSET</v>
      </c>
      <c r="H383" s="2" t="str" cm="1">
        <f t="array" aca="1" ref="H383" ca="1">_xlfn.IFS($B383="etf", _xll.YCP($A383,"quarterly_total_return",'Database Query'!$E$14),$B383&lt;&gt;"etf",_xll.YCP("M:"&amp; $A383,"quarterly_total_return",'Database Query'!$E$14))</f>
        <v>ERR: INVALID ASSET</v>
      </c>
      <c r="I383" s="2" t="e" cm="1">
        <f t="array" aca="1" ref="I383" ca="1">-_xll.YCP($E383,"quarterly_return",'Database Query'!$E$14)+H383</f>
        <v>#VALUE!</v>
      </c>
      <c r="J383" s="2" t="str" cm="1">
        <f t="array" aca="1" ref="J383" ca="1">_xlfn.IFS($B383="etf", _xll.YCP($A383,"ytd_total_return",'Database Query'!$E$14),$B383&lt;&gt;"etf",_xll.YCP("M:"&amp; $A383,"ytd_total_return",'Database Query'!$E$14))</f>
        <v>ERR: INVALID ASSET</v>
      </c>
      <c r="K383" s="2" t="e" cm="1">
        <f t="array" aca="1" ref="K383" ca="1">-_xll.YCP($E383,"ytd_return",'Database Query'!$E$14)+J383</f>
        <v>#VALUE!</v>
      </c>
      <c r="L383" s="2" t="str" cm="1">
        <f t="array" aca="1" ref="L383" ca="1">_xlfn.IFS($B383="etf", _xll.YCP($A383,"one_year_total_return",'Database Query'!$E$14),$B383&lt;&gt;"etf",_xll.YCP("M:"&amp; $A383,"one_year_total_return",'Database Query'!$E$14))</f>
        <v>ERR: INVALID ASSET</v>
      </c>
      <c r="M383" s="2" t="e" cm="1">
        <f t="array" aca="1" ref="M383" ca="1">-_xll.YCP($E383,"one_year_return",'Database Query'!$E$14)+L383</f>
        <v>#VALUE!</v>
      </c>
      <c r="N383" s="2" t="str" cm="1">
        <f t="array" aca="1" ref="N383" ca="1">_xlfn.IFS($B383="etf", _xll.YCP($A383,"three_year_total_return",'Database Query'!$E$14),$B383&lt;&gt;"etf",_xll.YCP("M:"&amp; $A383,"three_year_total_return",'Database Query'!$E$14))</f>
        <v>ERR: INVALID ASSET</v>
      </c>
      <c r="O383" s="2" t="e" cm="1">
        <f t="array" aca="1" ref="O383" ca="1">-_xll.YCP($E383,"three_year_return",'Database Query'!$E$14)+N383</f>
        <v>#VALUE!</v>
      </c>
      <c r="P383" s="2" t="str" cm="1">
        <f t="array" aca="1" ref="P383" ca="1">_xlfn.IFS($B383="etf", _xll.YCP($A383,"five_year_total_return",'Database Query'!$E$14),$B383&lt;&gt;"etf",_xll.YCP("M:"&amp; $A383,"five_year_total_return",'Database Query'!$E$14))</f>
        <v>ERR: INVALID ASSET</v>
      </c>
      <c r="Q383" s="2" t="e" cm="1">
        <f t="array" aca="1" ref="Q383" ca="1">-_xll.YCP($E383,"five_year_return",'Database Query'!$E$14)+P383</f>
        <v>#VALUE!</v>
      </c>
    </row>
    <row r="384" spans="2:17" x14ac:dyDescent="0.25">
      <c r="B384" t="str" cm="1">
        <f t="array" aca="1" ref="B384" ca="1">_xll.YCI(A384,"detailed_security_type",TODAY())</f>
        <v/>
      </c>
      <c r="C384" t="str" cm="1">
        <f t="array" aca="1" ref="C384" ca="1">_xlfn.IFS(B384="etf", _xll.YCI(A384, "security_name",TODAY()),B384&lt;&gt;"etf",_xll.YCI("M:" &amp; A384, "security_name",TODAY()))</f>
        <v>ERR: INVALID ASSET</v>
      </c>
      <c r="D384" t="str" cm="1">
        <f t="array" aca="1" ref="D384" ca="1">_xlfn.IFS($B384="etf", _xll.YCI($A384, "ycharts_benchmark_category",TODAY()),$B384&lt;&gt;"etf",_xll.YCI("M:" &amp; $A384, "ycharts_benchmark_category",TODAY()))</f>
        <v>ERR: INVALID ASSET</v>
      </c>
      <c r="E384" t="str" cm="1">
        <f t="array" aca="1" ref="E384" ca="1">_xlfn.IFS($B384="etf", _xll.YCI($A384, "ycharts_benchmark_index_symbol",TODAY()),$B384&lt;&gt;"etf",_xll.YCI("M:" &amp; $A384, "ycharts_benchmark_index_symbol",TODAY()))</f>
        <v>ERR: INVALID ASSET</v>
      </c>
      <c r="F384" t="str" cm="1">
        <f t="array" aca="1" ref="F384" ca="1">_xlfn.IFS($B384="etf", _xll.YCI($E384, "security_name",TODAY()),$B384&lt;&gt;"etf",_xll.YCI( $E384, "security_name",TODAY()))</f>
        <v>ERR: INVALID ASSET</v>
      </c>
      <c r="G384" t="str" cm="1">
        <f t="array" aca="1" ref="G384" ca="1">_xlfn.IFS($B384="etf", _xll.YCI($A384, "prospectus_benchmark_index",TODAY()),$B384&lt;&gt;"etf",_xll.YCI("M:" &amp; $A384, "prospectus_benchmark_index",TODAY()))</f>
        <v>ERR: INVALID ASSET</v>
      </c>
      <c r="H384" s="2" t="str" cm="1">
        <f t="array" aca="1" ref="H384" ca="1">_xlfn.IFS($B384="etf", _xll.YCP($A384,"quarterly_total_return",'Database Query'!$E$14),$B384&lt;&gt;"etf",_xll.YCP("M:"&amp; $A384,"quarterly_total_return",'Database Query'!$E$14))</f>
        <v>ERR: INVALID ASSET</v>
      </c>
      <c r="I384" s="2" t="e" cm="1">
        <f t="array" aca="1" ref="I384" ca="1">-_xll.YCP($E384,"quarterly_return",'Database Query'!$E$14)+H384</f>
        <v>#VALUE!</v>
      </c>
      <c r="J384" s="2" t="str" cm="1">
        <f t="array" aca="1" ref="J384" ca="1">_xlfn.IFS($B384="etf", _xll.YCP($A384,"ytd_total_return",'Database Query'!$E$14),$B384&lt;&gt;"etf",_xll.YCP("M:"&amp; $A384,"ytd_total_return",'Database Query'!$E$14))</f>
        <v>ERR: INVALID ASSET</v>
      </c>
      <c r="K384" s="2" t="e" cm="1">
        <f t="array" aca="1" ref="K384" ca="1">-_xll.YCP($E384,"ytd_return",'Database Query'!$E$14)+J384</f>
        <v>#VALUE!</v>
      </c>
      <c r="L384" s="2" t="str" cm="1">
        <f t="array" aca="1" ref="L384" ca="1">_xlfn.IFS($B384="etf", _xll.YCP($A384,"one_year_total_return",'Database Query'!$E$14),$B384&lt;&gt;"etf",_xll.YCP("M:"&amp; $A384,"one_year_total_return",'Database Query'!$E$14))</f>
        <v>ERR: INVALID ASSET</v>
      </c>
      <c r="M384" s="2" t="e" cm="1">
        <f t="array" aca="1" ref="M384" ca="1">-_xll.YCP($E384,"one_year_return",'Database Query'!$E$14)+L384</f>
        <v>#VALUE!</v>
      </c>
      <c r="N384" s="2" t="str" cm="1">
        <f t="array" aca="1" ref="N384" ca="1">_xlfn.IFS($B384="etf", _xll.YCP($A384,"three_year_total_return",'Database Query'!$E$14),$B384&lt;&gt;"etf",_xll.YCP("M:"&amp; $A384,"three_year_total_return",'Database Query'!$E$14))</f>
        <v>ERR: INVALID ASSET</v>
      </c>
      <c r="O384" s="2" t="e" cm="1">
        <f t="array" aca="1" ref="O384" ca="1">-_xll.YCP($E384,"three_year_return",'Database Query'!$E$14)+N384</f>
        <v>#VALUE!</v>
      </c>
      <c r="P384" s="2" t="str" cm="1">
        <f t="array" aca="1" ref="P384" ca="1">_xlfn.IFS($B384="etf", _xll.YCP($A384,"five_year_total_return",'Database Query'!$E$14),$B384&lt;&gt;"etf",_xll.YCP("M:"&amp; $A384,"five_year_total_return",'Database Query'!$E$14))</f>
        <v>ERR: INVALID ASSET</v>
      </c>
      <c r="Q384" s="2" t="e" cm="1">
        <f t="array" aca="1" ref="Q384" ca="1">-_xll.YCP($E384,"five_year_return",'Database Query'!$E$14)+P384</f>
        <v>#VALUE!</v>
      </c>
    </row>
    <row r="385" spans="2:17" x14ac:dyDescent="0.25">
      <c r="B385" t="str" cm="1">
        <f t="array" aca="1" ref="B385" ca="1">_xll.YCI(A385,"detailed_security_type",TODAY())</f>
        <v/>
      </c>
      <c r="C385" t="str" cm="1">
        <f t="array" aca="1" ref="C385" ca="1">_xlfn.IFS(B385="etf", _xll.YCI(A385, "security_name",TODAY()),B385&lt;&gt;"etf",_xll.YCI("M:" &amp; A385, "security_name",TODAY()))</f>
        <v>ERR: INVALID ASSET</v>
      </c>
      <c r="D385" t="str" cm="1">
        <f t="array" aca="1" ref="D385" ca="1">_xlfn.IFS($B385="etf", _xll.YCI($A385, "ycharts_benchmark_category",TODAY()),$B385&lt;&gt;"etf",_xll.YCI("M:" &amp; $A385, "ycharts_benchmark_category",TODAY()))</f>
        <v>ERR: INVALID ASSET</v>
      </c>
      <c r="E385" t="str" cm="1">
        <f t="array" aca="1" ref="E385" ca="1">_xlfn.IFS($B385="etf", _xll.YCI($A385, "ycharts_benchmark_index_symbol",TODAY()),$B385&lt;&gt;"etf",_xll.YCI("M:" &amp; $A385, "ycharts_benchmark_index_symbol",TODAY()))</f>
        <v>ERR: INVALID ASSET</v>
      </c>
      <c r="F385" t="str" cm="1">
        <f t="array" aca="1" ref="F385" ca="1">_xlfn.IFS($B385="etf", _xll.YCI($E385, "security_name",TODAY()),$B385&lt;&gt;"etf",_xll.YCI( $E385, "security_name",TODAY()))</f>
        <v>ERR: INVALID ASSET</v>
      </c>
      <c r="G385" t="str" cm="1">
        <f t="array" aca="1" ref="G385" ca="1">_xlfn.IFS($B385="etf", _xll.YCI($A385, "prospectus_benchmark_index",TODAY()),$B385&lt;&gt;"etf",_xll.YCI("M:" &amp; $A385, "prospectus_benchmark_index",TODAY()))</f>
        <v>ERR: INVALID ASSET</v>
      </c>
      <c r="H385" s="2" t="str" cm="1">
        <f t="array" aca="1" ref="H385" ca="1">_xlfn.IFS($B385="etf", _xll.YCP($A385,"quarterly_total_return",'Database Query'!$E$14),$B385&lt;&gt;"etf",_xll.YCP("M:"&amp; $A385,"quarterly_total_return",'Database Query'!$E$14))</f>
        <v>ERR: INVALID ASSET</v>
      </c>
      <c r="I385" s="2" t="e" cm="1">
        <f t="array" aca="1" ref="I385" ca="1">-_xll.YCP($E385,"quarterly_return",'Database Query'!$E$14)+H385</f>
        <v>#VALUE!</v>
      </c>
      <c r="J385" s="2" t="str" cm="1">
        <f t="array" aca="1" ref="J385" ca="1">_xlfn.IFS($B385="etf", _xll.YCP($A385,"ytd_total_return",'Database Query'!$E$14),$B385&lt;&gt;"etf",_xll.YCP("M:"&amp; $A385,"ytd_total_return",'Database Query'!$E$14))</f>
        <v>ERR: INVALID ASSET</v>
      </c>
      <c r="K385" s="2" t="e" cm="1">
        <f t="array" aca="1" ref="K385" ca="1">-_xll.YCP($E385,"ytd_return",'Database Query'!$E$14)+J385</f>
        <v>#VALUE!</v>
      </c>
      <c r="L385" s="2" t="str" cm="1">
        <f t="array" aca="1" ref="L385" ca="1">_xlfn.IFS($B385="etf", _xll.YCP($A385,"one_year_total_return",'Database Query'!$E$14),$B385&lt;&gt;"etf",_xll.YCP("M:"&amp; $A385,"one_year_total_return",'Database Query'!$E$14))</f>
        <v>ERR: INVALID ASSET</v>
      </c>
      <c r="M385" s="2" t="e" cm="1">
        <f t="array" aca="1" ref="M385" ca="1">-_xll.YCP($E385,"one_year_return",'Database Query'!$E$14)+L385</f>
        <v>#VALUE!</v>
      </c>
      <c r="N385" s="2" t="str" cm="1">
        <f t="array" aca="1" ref="N385" ca="1">_xlfn.IFS($B385="etf", _xll.YCP($A385,"three_year_total_return",'Database Query'!$E$14),$B385&lt;&gt;"etf",_xll.YCP("M:"&amp; $A385,"three_year_total_return",'Database Query'!$E$14))</f>
        <v>ERR: INVALID ASSET</v>
      </c>
      <c r="O385" s="2" t="e" cm="1">
        <f t="array" aca="1" ref="O385" ca="1">-_xll.YCP($E385,"three_year_return",'Database Query'!$E$14)+N385</f>
        <v>#VALUE!</v>
      </c>
      <c r="P385" s="2" t="str" cm="1">
        <f t="array" aca="1" ref="P385" ca="1">_xlfn.IFS($B385="etf", _xll.YCP($A385,"five_year_total_return",'Database Query'!$E$14),$B385&lt;&gt;"etf",_xll.YCP("M:"&amp; $A385,"five_year_total_return",'Database Query'!$E$14))</f>
        <v>ERR: INVALID ASSET</v>
      </c>
      <c r="Q385" s="2" t="e" cm="1">
        <f t="array" aca="1" ref="Q385" ca="1">-_xll.YCP($E385,"five_year_return",'Database Query'!$E$14)+P385</f>
        <v>#VALUE!</v>
      </c>
    </row>
    <row r="386" spans="2:17" x14ac:dyDescent="0.25">
      <c r="B386" t="str" cm="1">
        <f t="array" aca="1" ref="B386" ca="1">_xll.YCI(A386,"detailed_security_type",TODAY())</f>
        <v/>
      </c>
      <c r="C386" t="str" cm="1">
        <f t="array" aca="1" ref="C386" ca="1">_xlfn.IFS(B386="etf", _xll.YCI(A386, "security_name",TODAY()),B386&lt;&gt;"etf",_xll.YCI("M:" &amp; A386, "security_name",TODAY()))</f>
        <v>ERR: INVALID ASSET</v>
      </c>
      <c r="D386" t="str" cm="1">
        <f t="array" aca="1" ref="D386" ca="1">_xlfn.IFS($B386="etf", _xll.YCI($A386, "ycharts_benchmark_category",TODAY()),$B386&lt;&gt;"etf",_xll.YCI("M:" &amp; $A386, "ycharts_benchmark_category",TODAY()))</f>
        <v>ERR: INVALID ASSET</v>
      </c>
      <c r="E386" t="str" cm="1">
        <f t="array" aca="1" ref="E386" ca="1">_xlfn.IFS($B386="etf", _xll.YCI($A386, "ycharts_benchmark_index_symbol",TODAY()),$B386&lt;&gt;"etf",_xll.YCI("M:" &amp; $A386, "ycharts_benchmark_index_symbol",TODAY()))</f>
        <v>ERR: INVALID ASSET</v>
      </c>
      <c r="F386" t="str" cm="1">
        <f t="array" aca="1" ref="F386" ca="1">_xlfn.IFS($B386="etf", _xll.YCI($E386, "security_name",TODAY()),$B386&lt;&gt;"etf",_xll.YCI( $E386, "security_name",TODAY()))</f>
        <v>ERR: INVALID ASSET</v>
      </c>
      <c r="G386" t="str" cm="1">
        <f t="array" aca="1" ref="G386" ca="1">_xlfn.IFS($B386="etf", _xll.YCI($A386, "prospectus_benchmark_index",TODAY()),$B386&lt;&gt;"etf",_xll.YCI("M:" &amp; $A386, "prospectus_benchmark_index",TODAY()))</f>
        <v>ERR: INVALID ASSET</v>
      </c>
      <c r="H386" s="2" t="str" cm="1">
        <f t="array" aca="1" ref="H386" ca="1">_xlfn.IFS($B386="etf", _xll.YCP($A386,"quarterly_total_return",'Database Query'!$E$14),$B386&lt;&gt;"etf",_xll.YCP("M:"&amp; $A386,"quarterly_total_return",'Database Query'!$E$14))</f>
        <v>ERR: INVALID ASSET</v>
      </c>
      <c r="I386" s="2" t="e" cm="1">
        <f t="array" aca="1" ref="I386" ca="1">-_xll.YCP($E386,"quarterly_return",'Database Query'!$E$14)+H386</f>
        <v>#VALUE!</v>
      </c>
      <c r="J386" s="2" t="str" cm="1">
        <f t="array" aca="1" ref="J386" ca="1">_xlfn.IFS($B386="etf", _xll.YCP($A386,"ytd_total_return",'Database Query'!$E$14),$B386&lt;&gt;"etf",_xll.YCP("M:"&amp; $A386,"ytd_total_return",'Database Query'!$E$14))</f>
        <v>ERR: INVALID ASSET</v>
      </c>
      <c r="K386" s="2" t="e" cm="1">
        <f t="array" aca="1" ref="K386" ca="1">-_xll.YCP($E386,"ytd_return",'Database Query'!$E$14)+J386</f>
        <v>#VALUE!</v>
      </c>
      <c r="L386" s="2" t="str" cm="1">
        <f t="array" aca="1" ref="L386" ca="1">_xlfn.IFS($B386="etf", _xll.YCP($A386,"one_year_total_return",'Database Query'!$E$14),$B386&lt;&gt;"etf",_xll.YCP("M:"&amp; $A386,"one_year_total_return",'Database Query'!$E$14))</f>
        <v>ERR: INVALID ASSET</v>
      </c>
      <c r="M386" s="2" t="e" cm="1">
        <f t="array" aca="1" ref="M386" ca="1">-_xll.YCP($E386,"one_year_return",'Database Query'!$E$14)+L386</f>
        <v>#VALUE!</v>
      </c>
      <c r="N386" s="2" t="str" cm="1">
        <f t="array" aca="1" ref="N386" ca="1">_xlfn.IFS($B386="etf", _xll.YCP($A386,"three_year_total_return",'Database Query'!$E$14),$B386&lt;&gt;"etf",_xll.YCP("M:"&amp; $A386,"three_year_total_return",'Database Query'!$E$14))</f>
        <v>ERR: INVALID ASSET</v>
      </c>
      <c r="O386" s="2" t="e" cm="1">
        <f t="array" aca="1" ref="O386" ca="1">-_xll.YCP($E386,"three_year_return",'Database Query'!$E$14)+N386</f>
        <v>#VALUE!</v>
      </c>
      <c r="P386" s="2" t="str" cm="1">
        <f t="array" aca="1" ref="P386" ca="1">_xlfn.IFS($B386="etf", _xll.YCP($A386,"five_year_total_return",'Database Query'!$E$14),$B386&lt;&gt;"etf",_xll.YCP("M:"&amp; $A386,"five_year_total_return",'Database Query'!$E$14))</f>
        <v>ERR: INVALID ASSET</v>
      </c>
      <c r="Q386" s="2" t="e" cm="1">
        <f t="array" aca="1" ref="Q386" ca="1">-_xll.YCP($E386,"five_year_return",'Database Query'!$E$14)+P386</f>
        <v>#VALUE!</v>
      </c>
    </row>
    <row r="387" spans="2:17" x14ac:dyDescent="0.25">
      <c r="B387" t="str" cm="1">
        <f t="array" aca="1" ref="B387" ca="1">_xll.YCI(A387,"detailed_security_type",TODAY())</f>
        <v/>
      </c>
      <c r="C387" t="str" cm="1">
        <f t="array" aca="1" ref="C387" ca="1">_xlfn.IFS(B387="etf", _xll.YCI(A387, "security_name",TODAY()),B387&lt;&gt;"etf",_xll.YCI("M:" &amp; A387, "security_name",TODAY()))</f>
        <v>ERR: INVALID ASSET</v>
      </c>
      <c r="D387" t="str" cm="1">
        <f t="array" aca="1" ref="D387" ca="1">_xlfn.IFS($B387="etf", _xll.YCI($A387, "ycharts_benchmark_category",TODAY()),$B387&lt;&gt;"etf",_xll.YCI("M:" &amp; $A387, "ycharts_benchmark_category",TODAY()))</f>
        <v>ERR: INVALID ASSET</v>
      </c>
      <c r="E387" t="str" cm="1">
        <f t="array" aca="1" ref="E387" ca="1">_xlfn.IFS($B387="etf", _xll.YCI($A387, "ycharts_benchmark_index_symbol",TODAY()),$B387&lt;&gt;"etf",_xll.YCI("M:" &amp; $A387, "ycharts_benchmark_index_symbol",TODAY()))</f>
        <v>ERR: INVALID ASSET</v>
      </c>
      <c r="F387" t="str" cm="1">
        <f t="array" aca="1" ref="F387" ca="1">_xlfn.IFS($B387="etf", _xll.YCI($E387, "security_name",TODAY()),$B387&lt;&gt;"etf",_xll.YCI( $E387, "security_name",TODAY()))</f>
        <v>ERR: INVALID ASSET</v>
      </c>
      <c r="G387" t="str" cm="1">
        <f t="array" aca="1" ref="G387" ca="1">_xlfn.IFS($B387="etf", _xll.YCI($A387, "prospectus_benchmark_index",TODAY()),$B387&lt;&gt;"etf",_xll.YCI("M:" &amp; $A387, "prospectus_benchmark_index",TODAY()))</f>
        <v>ERR: INVALID ASSET</v>
      </c>
      <c r="H387" s="2" t="str" cm="1">
        <f t="array" aca="1" ref="H387" ca="1">_xlfn.IFS($B387="etf", _xll.YCP($A387,"quarterly_total_return",'Database Query'!$E$14),$B387&lt;&gt;"etf",_xll.YCP("M:"&amp; $A387,"quarterly_total_return",'Database Query'!$E$14))</f>
        <v>ERR: INVALID ASSET</v>
      </c>
      <c r="I387" s="2" t="e" cm="1">
        <f t="array" aca="1" ref="I387" ca="1">-_xll.YCP($E387,"quarterly_return",'Database Query'!$E$14)+H387</f>
        <v>#VALUE!</v>
      </c>
      <c r="J387" s="2" t="str" cm="1">
        <f t="array" aca="1" ref="J387" ca="1">_xlfn.IFS($B387="etf", _xll.YCP($A387,"ytd_total_return",'Database Query'!$E$14),$B387&lt;&gt;"etf",_xll.YCP("M:"&amp; $A387,"ytd_total_return",'Database Query'!$E$14))</f>
        <v>ERR: INVALID ASSET</v>
      </c>
      <c r="K387" s="2" t="e" cm="1">
        <f t="array" aca="1" ref="K387" ca="1">-_xll.YCP($E387,"ytd_return",'Database Query'!$E$14)+J387</f>
        <v>#VALUE!</v>
      </c>
      <c r="L387" s="2" t="str" cm="1">
        <f t="array" aca="1" ref="L387" ca="1">_xlfn.IFS($B387="etf", _xll.YCP($A387,"one_year_total_return",'Database Query'!$E$14),$B387&lt;&gt;"etf",_xll.YCP("M:"&amp; $A387,"one_year_total_return",'Database Query'!$E$14))</f>
        <v>ERR: INVALID ASSET</v>
      </c>
      <c r="M387" s="2" t="e" cm="1">
        <f t="array" aca="1" ref="M387" ca="1">-_xll.YCP($E387,"one_year_return",'Database Query'!$E$14)+L387</f>
        <v>#VALUE!</v>
      </c>
      <c r="N387" s="2" t="str" cm="1">
        <f t="array" aca="1" ref="N387" ca="1">_xlfn.IFS($B387="etf", _xll.YCP($A387,"three_year_total_return",'Database Query'!$E$14),$B387&lt;&gt;"etf",_xll.YCP("M:"&amp; $A387,"three_year_total_return",'Database Query'!$E$14))</f>
        <v>ERR: INVALID ASSET</v>
      </c>
      <c r="O387" s="2" t="e" cm="1">
        <f t="array" aca="1" ref="O387" ca="1">-_xll.YCP($E387,"three_year_return",'Database Query'!$E$14)+N387</f>
        <v>#VALUE!</v>
      </c>
      <c r="P387" s="2" t="str" cm="1">
        <f t="array" aca="1" ref="P387" ca="1">_xlfn.IFS($B387="etf", _xll.YCP($A387,"five_year_total_return",'Database Query'!$E$14),$B387&lt;&gt;"etf",_xll.YCP("M:"&amp; $A387,"five_year_total_return",'Database Query'!$E$14))</f>
        <v>ERR: INVALID ASSET</v>
      </c>
      <c r="Q387" s="2" t="e" cm="1">
        <f t="array" aca="1" ref="Q387" ca="1">-_xll.YCP($E387,"five_year_return",'Database Query'!$E$14)+P387</f>
        <v>#VALUE!</v>
      </c>
    </row>
    <row r="388" spans="2:17" x14ac:dyDescent="0.25">
      <c r="B388" t="str" cm="1">
        <f t="array" aca="1" ref="B388" ca="1">_xll.YCI(A388,"detailed_security_type",TODAY())</f>
        <v/>
      </c>
      <c r="C388" t="str" cm="1">
        <f t="array" aca="1" ref="C388" ca="1">_xlfn.IFS(B388="etf", _xll.YCI(A388, "security_name",TODAY()),B388&lt;&gt;"etf",_xll.YCI("M:" &amp; A388, "security_name",TODAY()))</f>
        <v>ERR: INVALID ASSET</v>
      </c>
      <c r="D388" t="str" cm="1">
        <f t="array" aca="1" ref="D388" ca="1">_xlfn.IFS($B388="etf", _xll.YCI($A388, "ycharts_benchmark_category",TODAY()),$B388&lt;&gt;"etf",_xll.YCI("M:" &amp; $A388, "ycharts_benchmark_category",TODAY()))</f>
        <v>ERR: INVALID ASSET</v>
      </c>
      <c r="E388" t="str" cm="1">
        <f t="array" aca="1" ref="E388" ca="1">_xlfn.IFS($B388="etf", _xll.YCI($A388, "ycharts_benchmark_index_symbol",TODAY()),$B388&lt;&gt;"etf",_xll.YCI("M:" &amp; $A388, "ycharts_benchmark_index_symbol",TODAY()))</f>
        <v>ERR: INVALID ASSET</v>
      </c>
      <c r="F388" t="str" cm="1">
        <f t="array" aca="1" ref="F388" ca="1">_xlfn.IFS($B388="etf", _xll.YCI($E388, "security_name",TODAY()),$B388&lt;&gt;"etf",_xll.YCI( $E388, "security_name",TODAY()))</f>
        <v>ERR: INVALID ASSET</v>
      </c>
      <c r="G388" t="str" cm="1">
        <f t="array" aca="1" ref="G388" ca="1">_xlfn.IFS($B388="etf", _xll.YCI($A388, "prospectus_benchmark_index",TODAY()),$B388&lt;&gt;"etf",_xll.YCI("M:" &amp; $A388, "prospectus_benchmark_index",TODAY()))</f>
        <v>ERR: INVALID ASSET</v>
      </c>
      <c r="H388" s="2" t="str" cm="1">
        <f t="array" aca="1" ref="H388" ca="1">_xlfn.IFS($B388="etf", _xll.YCP($A388,"quarterly_total_return",'Database Query'!$E$14),$B388&lt;&gt;"etf",_xll.YCP("M:"&amp; $A388,"quarterly_total_return",'Database Query'!$E$14))</f>
        <v>ERR: INVALID ASSET</v>
      </c>
      <c r="I388" s="2" t="e" cm="1">
        <f t="array" aca="1" ref="I388" ca="1">-_xll.YCP($E388,"quarterly_return",'Database Query'!$E$14)+H388</f>
        <v>#VALUE!</v>
      </c>
      <c r="J388" s="2" t="str" cm="1">
        <f t="array" aca="1" ref="J388" ca="1">_xlfn.IFS($B388="etf", _xll.YCP($A388,"ytd_total_return",'Database Query'!$E$14),$B388&lt;&gt;"etf",_xll.YCP("M:"&amp; $A388,"ytd_total_return",'Database Query'!$E$14))</f>
        <v>ERR: INVALID ASSET</v>
      </c>
      <c r="K388" s="2" t="e" cm="1">
        <f t="array" aca="1" ref="K388" ca="1">-_xll.YCP($E388,"ytd_return",'Database Query'!$E$14)+J388</f>
        <v>#VALUE!</v>
      </c>
      <c r="L388" s="2" t="str" cm="1">
        <f t="array" aca="1" ref="L388" ca="1">_xlfn.IFS($B388="etf", _xll.YCP($A388,"one_year_total_return",'Database Query'!$E$14),$B388&lt;&gt;"etf",_xll.YCP("M:"&amp; $A388,"one_year_total_return",'Database Query'!$E$14))</f>
        <v>ERR: INVALID ASSET</v>
      </c>
      <c r="M388" s="2" t="e" cm="1">
        <f t="array" aca="1" ref="M388" ca="1">-_xll.YCP($E388,"one_year_return",'Database Query'!$E$14)+L388</f>
        <v>#VALUE!</v>
      </c>
      <c r="N388" s="2" t="str" cm="1">
        <f t="array" aca="1" ref="N388" ca="1">_xlfn.IFS($B388="etf", _xll.YCP($A388,"three_year_total_return",'Database Query'!$E$14),$B388&lt;&gt;"etf",_xll.YCP("M:"&amp; $A388,"three_year_total_return",'Database Query'!$E$14))</f>
        <v>ERR: INVALID ASSET</v>
      </c>
      <c r="O388" s="2" t="e" cm="1">
        <f t="array" aca="1" ref="O388" ca="1">-_xll.YCP($E388,"three_year_return",'Database Query'!$E$14)+N388</f>
        <v>#VALUE!</v>
      </c>
      <c r="P388" s="2" t="str" cm="1">
        <f t="array" aca="1" ref="P388" ca="1">_xlfn.IFS($B388="etf", _xll.YCP($A388,"five_year_total_return",'Database Query'!$E$14),$B388&lt;&gt;"etf",_xll.YCP("M:"&amp; $A388,"five_year_total_return",'Database Query'!$E$14))</f>
        <v>ERR: INVALID ASSET</v>
      </c>
      <c r="Q388" s="2" t="e" cm="1">
        <f t="array" aca="1" ref="Q388" ca="1">-_xll.YCP($E388,"five_year_return",'Database Query'!$E$14)+P388</f>
        <v>#VALUE!</v>
      </c>
    </row>
    <row r="389" spans="2:17" x14ac:dyDescent="0.25">
      <c r="B389" t="str" cm="1">
        <f t="array" aca="1" ref="B389" ca="1">_xll.YCI(A389,"detailed_security_type",TODAY())</f>
        <v/>
      </c>
      <c r="C389" t="str" cm="1">
        <f t="array" aca="1" ref="C389" ca="1">_xlfn.IFS(B389="etf", _xll.YCI(A389, "security_name",TODAY()),B389&lt;&gt;"etf",_xll.YCI("M:" &amp; A389, "security_name",TODAY()))</f>
        <v>ERR: INVALID ASSET</v>
      </c>
      <c r="D389" t="str" cm="1">
        <f t="array" aca="1" ref="D389" ca="1">_xlfn.IFS($B389="etf", _xll.YCI($A389, "ycharts_benchmark_category",TODAY()),$B389&lt;&gt;"etf",_xll.YCI("M:" &amp; $A389, "ycharts_benchmark_category",TODAY()))</f>
        <v>ERR: INVALID ASSET</v>
      </c>
      <c r="E389" t="str" cm="1">
        <f t="array" aca="1" ref="E389" ca="1">_xlfn.IFS($B389="etf", _xll.YCI($A389, "ycharts_benchmark_index_symbol",TODAY()),$B389&lt;&gt;"etf",_xll.YCI("M:" &amp; $A389, "ycharts_benchmark_index_symbol",TODAY()))</f>
        <v>ERR: INVALID ASSET</v>
      </c>
      <c r="F389" t="str" cm="1">
        <f t="array" aca="1" ref="F389" ca="1">_xlfn.IFS($B389="etf", _xll.YCI($E389, "security_name",TODAY()),$B389&lt;&gt;"etf",_xll.YCI( $E389, "security_name",TODAY()))</f>
        <v>ERR: INVALID ASSET</v>
      </c>
      <c r="G389" t="str" cm="1">
        <f t="array" aca="1" ref="G389" ca="1">_xlfn.IFS($B389="etf", _xll.YCI($A389, "prospectus_benchmark_index",TODAY()),$B389&lt;&gt;"etf",_xll.YCI("M:" &amp; $A389, "prospectus_benchmark_index",TODAY()))</f>
        <v>ERR: INVALID ASSET</v>
      </c>
      <c r="H389" s="2" t="str" cm="1">
        <f t="array" aca="1" ref="H389" ca="1">_xlfn.IFS($B389="etf", _xll.YCP($A389,"quarterly_total_return",'Database Query'!$E$14),$B389&lt;&gt;"etf",_xll.YCP("M:"&amp; $A389,"quarterly_total_return",'Database Query'!$E$14))</f>
        <v>ERR: INVALID ASSET</v>
      </c>
      <c r="I389" s="2" t="e" cm="1">
        <f t="array" aca="1" ref="I389" ca="1">-_xll.YCP($E389,"quarterly_return",'Database Query'!$E$14)+H389</f>
        <v>#VALUE!</v>
      </c>
      <c r="J389" s="2" t="str" cm="1">
        <f t="array" aca="1" ref="J389" ca="1">_xlfn.IFS($B389="etf", _xll.YCP($A389,"ytd_total_return",'Database Query'!$E$14),$B389&lt;&gt;"etf",_xll.YCP("M:"&amp; $A389,"ytd_total_return",'Database Query'!$E$14))</f>
        <v>ERR: INVALID ASSET</v>
      </c>
      <c r="K389" s="2" t="e" cm="1">
        <f t="array" aca="1" ref="K389" ca="1">-_xll.YCP($E389,"ytd_return",'Database Query'!$E$14)+J389</f>
        <v>#VALUE!</v>
      </c>
      <c r="L389" s="2" t="str" cm="1">
        <f t="array" aca="1" ref="L389" ca="1">_xlfn.IFS($B389="etf", _xll.YCP($A389,"one_year_total_return",'Database Query'!$E$14),$B389&lt;&gt;"etf",_xll.YCP("M:"&amp; $A389,"one_year_total_return",'Database Query'!$E$14))</f>
        <v>ERR: INVALID ASSET</v>
      </c>
      <c r="M389" s="2" t="e" cm="1">
        <f t="array" aca="1" ref="M389" ca="1">-_xll.YCP($E389,"one_year_return",'Database Query'!$E$14)+L389</f>
        <v>#VALUE!</v>
      </c>
      <c r="N389" s="2" t="str" cm="1">
        <f t="array" aca="1" ref="N389" ca="1">_xlfn.IFS($B389="etf", _xll.YCP($A389,"three_year_total_return",'Database Query'!$E$14),$B389&lt;&gt;"etf",_xll.YCP("M:"&amp; $A389,"three_year_total_return",'Database Query'!$E$14))</f>
        <v>ERR: INVALID ASSET</v>
      </c>
      <c r="O389" s="2" t="e" cm="1">
        <f t="array" aca="1" ref="O389" ca="1">-_xll.YCP($E389,"three_year_return",'Database Query'!$E$14)+N389</f>
        <v>#VALUE!</v>
      </c>
      <c r="P389" s="2" t="str" cm="1">
        <f t="array" aca="1" ref="P389" ca="1">_xlfn.IFS($B389="etf", _xll.YCP($A389,"five_year_total_return",'Database Query'!$E$14),$B389&lt;&gt;"etf",_xll.YCP("M:"&amp; $A389,"five_year_total_return",'Database Query'!$E$14))</f>
        <v>ERR: INVALID ASSET</v>
      </c>
      <c r="Q389" s="2" t="e" cm="1">
        <f t="array" aca="1" ref="Q389" ca="1">-_xll.YCP($E389,"five_year_return",'Database Query'!$E$14)+P389</f>
        <v>#VALUE!</v>
      </c>
    </row>
    <row r="390" spans="2:17" x14ac:dyDescent="0.25">
      <c r="B390" t="str" cm="1">
        <f t="array" aca="1" ref="B390" ca="1">_xll.YCI(A390,"detailed_security_type",TODAY())</f>
        <v/>
      </c>
      <c r="C390" t="str" cm="1">
        <f t="array" aca="1" ref="C390" ca="1">_xlfn.IFS(B390="etf", _xll.YCI(A390, "security_name",TODAY()),B390&lt;&gt;"etf",_xll.YCI("M:" &amp; A390, "security_name",TODAY()))</f>
        <v>ERR: INVALID ASSET</v>
      </c>
      <c r="D390" t="str" cm="1">
        <f t="array" aca="1" ref="D390" ca="1">_xlfn.IFS($B390="etf", _xll.YCI($A390, "ycharts_benchmark_category",TODAY()),$B390&lt;&gt;"etf",_xll.YCI("M:" &amp; $A390, "ycharts_benchmark_category",TODAY()))</f>
        <v>ERR: INVALID ASSET</v>
      </c>
      <c r="E390" t="str" cm="1">
        <f t="array" aca="1" ref="E390" ca="1">_xlfn.IFS($B390="etf", _xll.YCI($A390, "ycharts_benchmark_index_symbol",TODAY()),$B390&lt;&gt;"etf",_xll.YCI("M:" &amp; $A390, "ycharts_benchmark_index_symbol",TODAY()))</f>
        <v>ERR: INVALID ASSET</v>
      </c>
      <c r="F390" t="str" cm="1">
        <f t="array" aca="1" ref="F390" ca="1">_xlfn.IFS($B390="etf", _xll.YCI($E390, "security_name",TODAY()),$B390&lt;&gt;"etf",_xll.YCI( $E390, "security_name",TODAY()))</f>
        <v>ERR: INVALID ASSET</v>
      </c>
      <c r="G390" t="str" cm="1">
        <f t="array" aca="1" ref="G390" ca="1">_xlfn.IFS($B390="etf", _xll.YCI($A390, "prospectus_benchmark_index",TODAY()),$B390&lt;&gt;"etf",_xll.YCI("M:" &amp; $A390, "prospectus_benchmark_index",TODAY()))</f>
        <v>ERR: INVALID ASSET</v>
      </c>
      <c r="H390" s="2" t="str" cm="1">
        <f t="array" aca="1" ref="H390" ca="1">_xlfn.IFS($B390="etf", _xll.YCP($A390,"quarterly_total_return",'Database Query'!$E$14),$B390&lt;&gt;"etf",_xll.YCP("M:"&amp; $A390,"quarterly_total_return",'Database Query'!$E$14))</f>
        <v>ERR: INVALID ASSET</v>
      </c>
      <c r="I390" s="2" t="e" cm="1">
        <f t="array" aca="1" ref="I390" ca="1">-_xll.YCP($E390,"quarterly_return",'Database Query'!$E$14)+H390</f>
        <v>#VALUE!</v>
      </c>
      <c r="J390" s="2" t="str" cm="1">
        <f t="array" aca="1" ref="J390" ca="1">_xlfn.IFS($B390="etf", _xll.YCP($A390,"ytd_total_return",'Database Query'!$E$14),$B390&lt;&gt;"etf",_xll.YCP("M:"&amp; $A390,"ytd_total_return",'Database Query'!$E$14))</f>
        <v>ERR: INVALID ASSET</v>
      </c>
      <c r="K390" s="2" t="e" cm="1">
        <f t="array" aca="1" ref="K390" ca="1">-_xll.YCP($E390,"ytd_return",'Database Query'!$E$14)+J390</f>
        <v>#VALUE!</v>
      </c>
      <c r="L390" s="2" t="str" cm="1">
        <f t="array" aca="1" ref="L390" ca="1">_xlfn.IFS($B390="etf", _xll.YCP($A390,"one_year_total_return",'Database Query'!$E$14),$B390&lt;&gt;"etf",_xll.YCP("M:"&amp; $A390,"one_year_total_return",'Database Query'!$E$14))</f>
        <v>ERR: INVALID ASSET</v>
      </c>
      <c r="M390" s="2" t="e" cm="1">
        <f t="array" aca="1" ref="M390" ca="1">-_xll.YCP($E390,"one_year_return",'Database Query'!$E$14)+L390</f>
        <v>#VALUE!</v>
      </c>
      <c r="N390" s="2" t="str" cm="1">
        <f t="array" aca="1" ref="N390" ca="1">_xlfn.IFS($B390="etf", _xll.YCP($A390,"three_year_total_return",'Database Query'!$E$14),$B390&lt;&gt;"etf",_xll.YCP("M:"&amp; $A390,"three_year_total_return",'Database Query'!$E$14))</f>
        <v>ERR: INVALID ASSET</v>
      </c>
      <c r="O390" s="2" t="e" cm="1">
        <f t="array" aca="1" ref="O390" ca="1">-_xll.YCP($E390,"three_year_return",'Database Query'!$E$14)+N390</f>
        <v>#VALUE!</v>
      </c>
      <c r="P390" s="2" t="str" cm="1">
        <f t="array" aca="1" ref="P390" ca="1">_xlfn.IFS($B390="etf", _xll.YCP($A390,"five_year_total_return",'Database Query'!$E$14),$B390&lt;&gt;"etf",_xll.YCP("M:"&amp; $A390,"five_year_total_return",'Database Query'!$E$14))</f>
        <v>ERR: INVALID ASSET</v>
      </c>
      <c r="Q390" s="2" t="e" cm="1">
        <f t="array" aca="1" ref="Q390" ca="1">-_xll.YCP($E390,"five_year_return",'Database Query'!$E$14)+P390</f>
        <v>#VALUE!</v>
      </c>
    </row>
    <row r="391" spans="2:17" x14ac:dyDescent="0.25">
      <c r="B391" t="str" cm="1">
        <f t="array" aca="1" ref="B391" ca="1">_xll.YCI(A391,"detailed_security_type",TODAY())</f>
        <v/>
      </c>
      <c r="C391" t="str" cm="1">
        <f t="array" aca="1" ref="C391" ca="1">_xlfn.IFS(B391="etf", _xll.YCI(A391, "security_name",TODAY()),B391&lt;&gt;"etf",_xll.YCI("M:" &amp; A391, "security_name",TODAY()))</f>
        <v>ERR: INVALID ASSET</v>
      </c>
      <c r="D391" t="str" cm="1">
        <f t="array" aca="1" ref="D391" ca="1">_xlfn.IFS($B391="etf", _xll.YCI($A391, "ycharts_benchmark_category",TODAY()),$B391&lt;&gt;"etf",_xll.YCI("M:" &amp; $A391, "ycharts_benchmark_category",TODAY()))</f>
        <v>ERR: INVALID ASSET</v>
      </c>
      <c r="E391" t="str" cm="1">
        <f t="array" aca="1" ref="E391" ca="1">_xlfn.IFS($B391="etf", _xll.YCI($A391, "ycharts_benchmark_index_symbol",TODAY()),$B391&lt;&gt;"etf",_xll.YCI("M:" &amp; $A391, "ycharts_benchmark_index_symbol",TODAY()))</f>
        <v>ERR: INVALID ASSET</v>
      </c>
      <c r="F391" t="str" cm="1">
        <f t="array" aca="1" ref="F391" ca="1">_xlfn.IFS($B391="etf", _xll.YCI($E391, "security_name",TODAY()),$B391&lt;&gt;"etf",_xll.YCI( $E391, "security_name",TODAY()))</f>
        <v>ERR: INVALID ASSET</v>
      </c>
      <c r="G391" t="str" cm="1">
        <f t="array" aca="1" ref="G391" ca="1">_xlfn.IFS($B391="etf", _xll.YCI($A391, "prospectus_benchmark_index",TODAY()),$B391&lt;&gt;"etf",_xll.YCI("M:" &amp; $A391, "prospectus_benchmark_index",TODAY()))</f>
        <v>ERR: INVALID ASSET</v>
      </c>
      <c r="H391" s="2" t="str" cm="1">
        <f t="array" aca="1" ref="H391" ca="1">_xlfn.IFS($B391="etf", _xll.YCP($A391,"quarterly_total_return",'Database Query'!$E$14),$B391&lt;&gt;"etf",_xll.YCP("M:"&amp; $A391,"quarterly_total_return",'Database Query'!$E$14))</f>
        <v>ERR: INVALID ASSET</v>
      </c>
      <c r="I391" s="2" t="e" cm="1">
        <f t="array" aca="1" ref="I391" ca="1">-_xll.YCP($E391,"quarterly_return",'Database Query'!$E$14)+H391</f>
        <v>#VALUE!</v>
      </c>
      <c r="J391" s="2" t="str" cm="1">
        <f t="array" aca="1" ref="J391" ca="1">_xlfn.IFS($B391="etf", _xll.YCP($A391,"ytd_total_return",'Database Query'!$E$14),$B391&lt;&gt;"etf",_xll.YCP("M:"&amp; $A391,"ytd_total_return",'Database Query'!$E$14))</f>
        <v>ERR: INVALID ASSET</v>
      </c>
      <c r="K391" s="2" t="e" cm="1">
        <f t="array" aca="1" ref="K391" ca="1">-_xll.YCP($E391,"ytd_return",'Database Query'!$E$14)+J391</f>
        <v>#VALUE!</v>
      </c>
      <c r="L391" s="2" t="str" cm="1">
        <f t="array" aca="1" ref="L391" ca="1">_xlfn.IFS($B391="etf", _xll.YCP($A391,"one_year_total_return",'Database Query'!$E$14),$B391&lt;&gt;"etf",_xll.YCP("M:"&amp; $A391,"one_year_total_return",'Database Query'!$E$14))</f>
        <v>ERR: INVALID ASSET</v>
      </c>
      <c r="M391" s="2" t="e" cm="1">
        <f t="array" aca="1" ref="M391" ca="1">-_xll.YCP($E391,"one_year_return",'Database Query'!$E$14)+L391</f>
        <v>#VALUE!</v>
      </c>
      <c r="N391" s="2" t="str" cm="1">
        <f t="array" aca="1" ref="N391" ca="1">_xlfn.IFS($B391="etf", _xll.YCP($A391,"three_year_total_return",'Database Query'!$E$14),$B391&lt;&gt;"etf",_xll.YCP("M:"&amp; $A391,"three_year_total_return",'Database Query'!$E$14))</f>
        <v>ERR: INVALID ASSET</v>
      </c>
      <c r="O391" s="2" t="e" cm="1">
        <f t="array" aca="1" ref="O391" ca="1">-_xll.YCP($E391,"three_year_return",'Database Query'!$E$14)+N391</f>
        <v>#VALUE!</v>
      </c>
      <c r="P391" s="2" t="str" cm="1">
        <f t="array" aca="1" ref="P391" ca="1">_xlfn.IFS($B391="etf", _xll.YCP($A391,"five_year_total_return",'Database Query'!$E$14),$B391&lt;&gt;"etf",_xll.YCP("M:"&amp; $A391,"five_year_total_return",'Database Query'!$E$14))</f>
        <v>ERR: INVALID ASSET</v>
      </c>
      <c r="Q391" s="2" t="e" cm="1">
        <f t="array" aca="1" ref="Q391" ca="1">-_xll.YCP($E391,"five_year_return",'Database Query'!$E$14)+P391</f>
        <v>#VALUE!</v>
      </c>
    </row>
    <row r="392" spans="2:17" x14ac:dyDescent="0.25">
      <c r="B392" t="str" cm="1">
        <f t="array" aca="1" ref="B392" ca="1">_xll.YCI(A392,"detailed_security_type",TODAY())</f>
        <v/>
      </c>
      <c r="C392" t="str" cm="1">
        <f t="array" aca="1" ref="C392" ca="1">_xlfn.IFS(B392="etf", _xll.YCI(A392, "security_name",TODAY()),B392&lt;&gt;"etf",_xll.YCI("M:" &amp; A392, "security_name",TODAY()))</f>
        <v>ERR: INVALID ASSET</v>
      </c>
      <c r="D392" t="str" cm="1">
        <f t="array" aca="1" ref="D392" ca="1">_xlfn.IFS($B392="etf", _xll.YCI($A392, "ycharts_benchmark_category",TODAY()),$B392&lt;&gt;"etf",_xll.YCI("M:" &amp; $A392, "ycharts_benchmark_category",TODAY()))</f>
        <v>ERR: INVALID ASSET</v>
      </c>
      <c r="E392" t="str" cm="1">
        <f t="array" aca="1" ref="E392" ca="1">_xlfn.IFS($B392="etf", _xll.YCI($A392, "ycharts_benchmark_index_symbol",TODAY()),$B392&lt;&gt;"etf",_xll.YCI("M:" &amp; $A392, "ycharts_benchmark_index_symbol",TODAY()))</f>
        <v>ERR: INVALID ASSET</v>
      </c>
      <c r="F392" t="str" cm="1">
        <f t="array" aca="1" ref="F392" ca="1">_xlfn.IFS($B392="etf", _xll.YCI($E392, "security_name",TODAY()),$B392&lt;&gt;"etf",_xll.YCI( $E392, "security_name",TODAY()))</f>
        <v>ERR: INVALID ASSET</v>
      </c>
      <c r="G392" t="str" cm="1">
        <f t="array" aca="1" ref="G392" ca="1">_xlfn.IFS($B392="etf", _xll.YCI($A392, "prospectus_benchmark_index",TODAY()),$B392&lt;&gt;"etf",_xll.YCI("M:" &amp; $A392, "prospectus_benchmark_index",TODAY()))</f>
        <v>ERR: INVALID ASSET</v>
      </c>
      <c r="H392" s="2" t="str" cm="1">
        <f t="array" aca="1" ref="H392" ca="1">_xlfn.IFS($B392="etf", _xll.YCP($A392,"quarterly_total_return",'Database Query'!$E$14),$B392&lt;&gt;"etf",_xll.YCP("M:"&amp; $A392,"quarterly_total_return",'Database Query'!$E$14))</f>
        <v>ERR: INVALID ASSET</v>
      </c>
      <c r="I392" s="2" t="e" cm="1">
        <f t="array" aca="1" ref="I392" ca="1">-_xll.YCP($E392,"quarterly_return",'Database Query'!$E$14)+H392</f>
        <v>#VALUE!</v>
      </c>
      <c r="J392" s="2" t="str" cm="1">
        <f t="array" aca="1" ref="J392" ca="1">_xlfn.IFS($B392="etf", _xll.YCP($A392,"ytd_total_return",'Database Query'!$E$14),$B392&lt;&gt;"etf",_xll.YCP("M:"&amp; $A392,"ytd_total_return",'Database Query'!$E$14))</f>
        <v>ERR: INVALID ASSET</v>
      </c>
      <c r="K392" s="2" t="e" cm="1">
        <f t="array" aca="1" ref="K392" ca="1">-_xll.YCP($E392,"ytd_return",'Database Query'!$E$14)+J392</f>
        <v>#VALUE!</v>
      </c>
      <c r="L392" s="2" t="str" cm="1">
        <f t="array" aca="1" ref="L392" ca="1">_xlfn.IFS($B392="etf", _xll.YCP($A392,"one_year_total_return",'Database Query'!$E$14),$B392&lt;&gt;"etf",_xll.YCP("M:"&amp; $A392,"one_year_total_return",'Database Query'!$E$14))</f>
        <v>ERR: INVALID ASSET</v>
      </c>
      <c r="M392" s="2" t="e" cm="1">
        <f t="array" aca="1" ref="M392" ca="1">-_xll.YCP($E392,"one_year_return",'Database Query'!$E$14)+L392</f>
        <v>#VALUE!</v>
      </c>
      <c r="N392" s="2" t="str" cm="1">
        <f t="array" aca="1" ref="N392" ca="1">_xlfn.IFS($B392="etf", _xll.YCP($A392,"three_year_total_return",'Database Query'!$E$14),$B392&lt;&gt;"etf",_xll.YCP("M:"&amp; $A392,"three_year_total_return",'Database Query'!$E$14))</f>
        <v>ERR: INVALID ASSET</v>
      </c>
      <c r="O392" s="2" t="e" cm="1">
        <f t="array" aca="1" ref="O392" ca="1">-_xll.YCP($E392,"three_year_return",'Database Query'!$E$14)+N392</f>
        <v>#VALUE!</v>
      </c>
      <c r="P392" s="2" t="str" cm="1">
        <f t="array" aca="1" ref="P392" ca="1">_xlfn.IFS($B392="etf", _xll.YCP($A392,"five_year_total_return",'Database Query'!$E$14),$B392&lt;&gt;"etf",_xll.YCP("M:"&amp; $A392,"five_year_total_return",'Database Query'!$E$14))</f>
        <v>ERR: INVALID ASSET</v>
      </c>
      <c r="Q392" s="2" t="e" cm="1">
        <f t="array" aca="1" ref="Q392" ca="1">-_xll.YCP($E392,"five_year_return",'Database Query'!$E$14)+P392</f>
        <v>#VALUE!</v>
      </c>
    </row>
    <row r="393" spans="2:17" x14ac:dyDescent="0.25">
      <c r="B393" t="str" cm="1">
        <f t="array" aca="1" ref="B393" ca="1">_xll.YCI(A393,"detailed_security_type",TODAY())</f>
        <v/>
      </c>
      <c r="C393" t="str" cm="1">
        <f t="array" aca="1" ref="C393" ca="1">_xlfn.IFS(B393="etf", _xll.YCI(A393, "security_name",TODAY()),B393&lt;&gt;"etf",_xll.YCI("M:" &amp; A393, "security_name",TODAY()))</f>
        <v>ERR: INVALID ASSET</v>
      </c>
      <c r="D393" t="str" cm="1">
        <f t="array" aca="1" ref="D393" ca="1">_xlfn.IFS($B393="etf", _xll.YCI($A393, "ycharts_benchmark_category",TODAY()),$B393&lt;&gt;"etf",_xll.YCI("M:" &amp; $A393, "ycharts_benchmark_category",TODAY()))</f>
        <v>ERR: INVALID ASSET</v>
      </c>
      <c r="E393" t="str" cm="1">
        <f t="array" aca="1" ref="E393" ca="1">_xlfn.IFS($B393="etf", _xll.YCI($A393, "ycharts_benchmark_index_symbol",TODAY()),$B393&lt;&gt;"etf",_xll.YCI("M:" &amp; $A393, "ycharts_benchmark_index_symbol",TODAY()))</f>
        <v>ERR: INVALID ASSET</v>
      </c>
      <c r="F393" t="str" cm="1">
        <f t="array" aca="1" ref="F393" ca="1">_xlfn.IFS($B393="etf", _xll.YCI($E393, "security_name",TODAY()),$B393&lt;&gt;"etf",_xll.YCI( $E393, "security_name",TODAY()))</f>
        <v>ERR: INVALID ASSET</v>
      </c>
      <c r="G393" t="str" cm="1">
        <f t="array" aca="1" ref="G393" ca="1">_xlfn.IFS($B393="etf", _xll.YCI($A393, "prospectus_benchmark_index",TODAY()),$B393&lt;&gt;"etf",_xll.YCI("M:" &amp; $A393, "prospectus_benchmark_index",TODAY()))</f>
        <v>ERR: INVALID ASSET</v>
      </c>
      <c r="H393" s="2" t="str" cm="1">
        <f t="array" aca="1" ref="H393" ca="1">_xlfn.IFS($B393="etf", _xll.YCP($A393,"quarterly_total_return",'Database Query'!$E$14),$B393&lt;&gt;"etf",_xll.YCP("M:"&amp; $A393,"quarterly_total_return",'Database Query'!$E$14))</f>
        <v>ERR: INVALID ASSET</v>
      </c>
      <c r="I393" s="2" t="e" cm="1">
        <f t="array" aca="1" ref="I393" ca="1">-_xll.YCP($E393,"quarterly_return",'Database Query'!$E$14)+H393</f>
        <v>#VALUE!</v>
      </c>
      <c r="J393" s="2" t="str" cm="1">
        <f t="array" aca="1" ref="J393" ca="1">_xlfn.IFS($B393="etf", _xll.YCP($A393,"ytd_total_return",'Database Query'!$E$14),$B393&lt;&gt;"etf",_xll.YCP("M:"&amp; $A393,"ytd_total_return",'Database Query'!$E$14))</f>
        <v>ERR: INVALID ASSET</v>
      </c>
      <c r="K393" s="2" t="e" cm="1">
        <f t="array" aca="1" ref="K393" ca="1">-_xll.YCP($E393,"ytd_return",'Database Query'!$E$14)+J393</f>
        <v>#VALUE!</v>
      </c>
      <c r="L393" s="2" t="str" cm="1">
        <f t="array" aca="1" ref="L393" ca="1">_xlfn.IFS($B393="etf", _xll.YCP($A393,"one_year_total_return",'Database Query'!$E$14),$B393&lt;&gt;"etf",_xll.YCP("M:"&amp; $A393,"one_year_total_return",'Database Query'!$E$14))</f>
        <v>ERR: INVALID ASSET</v>
      </c>
      <c r="M393" s="2" t="e" cm="1">
        <f t="array" aca="1" ref="M393" ca="1">-_xll.YCP($E393,"one_year_return",'Database Query'!$E$14)+L393</f>
        <v>#VALUE!</v>
      </c>
      <c r="N393" s="2" t="str" cm="1">
        <f t="array" aca="1" ref="N393" ca="1">_xlfn.IFS($B393="etf", _xll.YCP($A393,"three_year_total_return",'Database Query'!$E$14),$B393&lt;&gt;"etf",_xll.YCP("M:"&amp; $A393,"three_year_total_return",'Database Query'!$E$14))</f>
        <v>ERR: INVALID ASSET</v>
      </c>
      <c r="O393" s="2" t="e" cm="1">
        <f t="array" aca="1" ref="O393" ca="1">-_xll.YCP($E393,"three_year_return",'Database Query'!$E$14)+N393</f>
        <v>#VALUE!</v>
      </c>
      <c r="P393" s="2" t="str" cm="1">
        <f t="array" aca="1" ref="P393" ca="1">_xlfn.IFS($B393="etf", _xll.YCP($A393,"five_year_total_return",'Database Query'!$E$14),$B393&lt;&gt;"etf",_xll.YCP("M:"&amp; $A393,"five_year_total_return",'Database Query'!$E$14))</f>
        <v>ERR: INVALID ASSET</v>
      </c>
      <c r="Q393" s="2" t="e" cm="1">
        <f t="array" aca="1" ref="Q393" ca="1">-_xll.YCP($E393,"five_year_return",'Database Query'!$E$14)+P393</f>
        <v>#VALUE!</v>
      </c>
    </row>
    <row r="394" spans="2:17" x14ac:dyDescent="0.25">
      <c r="B394" t="str" cm="1">
        <f t="array" aca="1" ref="B394" ca="1">_xll.YCI(A394,"detailed_security_type",TODAY())</f>
        <v/>
      </c>
      <c r="C394" t="str" cm="1">
        <f t="array" aca="1" ref="C394" ca="1">_xlfn.IFS(B394="etf", _xll.YCI(A394, "security_name",TODAY()),B394&lt;&gt;"etf",_xll.YCI("M:" &amp; A394, "security_name",TODAY()))</f>
        <v>ERR: INVALID ASSET</v>
      </c>
      <c r="D394" t="str" cm="1">
        <f t="array" aca="1" ref="D394" ca="1">_xlfn.IFS($B394="etf", _xll.YCI($A394, "ycharts_benchmark_category",TODAY()),$B394&lt;&gt;"etf",_xll.YCI("M:" &amp; $A394, "ycharts_benchmark_category",TODAY()))</f>
        <v>ERR: INVALID ASSET</v>
      </c>
      <c r="E394" t="str" cm="1">
        <f t="array" aca="1" ref="E394" ca="1">_xlfn.IFS($B394="etf", _xll.YCI($A394, "ycharts_benchmark_index_symbol",TODAY()),$B394&lt;&gt;"etf",_xll.YCI("M:" &amp; $A394, "ycharts_benchmark_index_symbol",TODAY()))</f>
        <v>ERR: INVALID ASSET</v>
      </c>
      <c r="F394" t="str" cm="1">
        <f t="array" aca="1" ref="F394" ca="1">_xlfn.IFS($B394="etf", _xll.YCI($E394, "security_name",TODAY()),$B394&lt;&gt;"etf",_xll.YCI( $E394, "security_name",TODAY()))</f>
        <v>ERR: INVALID ASSET</v>
      </c>
      <c r="G394" t="str" cm="1">
        <f t="array" aca="1" ref="G394" ca="1">_xlfn.IFS($B394="etf", _xll.YCI($A394, "prospectus_benchmark_index",TODAY()),$B394&lt;&gt;"etf",_xll.YCI("M:" &amp; $A394, "prospectus_benchmark_index",TODAY()))</f>
        <v>ERR: INVALID ASSET</v>
      </c>
      <c r="H394" s="2" t="str" cm="1">
        <f t="array" aca="1" ref="H394" ca="1">_xlfn.IFS($B394="etf", _xll.YCP($A394,"quarterly_total_return",'Database Query'!$E$14),$B394&lt;&gt;"etf",_xll.YCP("M:"&amp; $A394,"quarterly_total_return",'Database Query'!$E$14))</f>
        <v>ERR: INVALID ASSET</v>
      </c>
      <c r="I394" s="2" t="e" cm="1">
        <f t="array" aca="1" ref="I394" ca="1">-_xll.YCP($E394,"quarterly_return",'Database Query'!$E$14)+H394</f>
        <v>#VALUE!</v>
      </c>
      <c r="J394" s="2" t="str" cm="1">
        <f t="array" aca="1" ref="J394" ca="1">_xlfn.IFS($B394="etf", _xll.YCP($A394,"ytd_total_return",'Database Query'!$E$14),$B394&lt;&gt;"etf",_xll.YCP("M:"&amp; $A394,"ytd_total_return",'Database Query'!$E$14))</f>
        <v>ERR: INVALID ASSET</v>
      </c>
      <c r="K394" s="2" t="e" cm="1">
        <f t="array" aca="1" ref="K394" ca="1">-_xll.YCP($E394,"ytd_return",'Database Query'!$E$14)+J394</f>
        <v>#VALUE!</v>
      </c>
      <c r="L394" s="2" t="str" cm="1">
        <f t="array" aca="1" ref="L394" ca="1">_xlfn.IFS($B394="etf", _xll.YCP($A394,"one_year_total_return",'Database Query'!$E$14),$B394&lt;&gt;"etf",_xll.YCP("M:"&amp; $A394,"one_year_total_return",'Database Query'!$E$14))</f>
        <v>ERR: INVALID ASSET</v>
      </c>
      <c r="M394" s="2" t="e" cm="1">
        <f t="array" aca="1" ref="M394" ca="1">-_xll.YCP($E394,"one_year_return",'Database Query'!$E$14)+L394</f>
        <v>#VALUE!</v>
      </c>
      <c r="N394" s="2" t="str" cm="1">
        <f t="array" aca="1" ref="N394" ca="1">_xlfn.IFS($B394="etf", _xll.YCP($A394,"three_year_total_return",'Database Query'!$E$14),$B394&lt;&gt;"etf",_xll.YCP("M:"&amp; $A394,"three_year_total_return",'Database Query'!$E$14))</f>
        <v>ERR: INVALID ASSET</v>
      </c>
      <c r="O394" s="2" t="e" cm="1">
        <f t="array" aca="1" ref="O394" ca="1">-_xll.YCP($E394,"three_year_return",'Database Query'!$E$14)+N394</f>
        <v>#VALUE!</v>
      </c>
      <c r="P394" s="2" t="str" cm="1">
        <f t="array" aca="1" ref="P394" ca="1">_xlfn.IFS($B394="etf", _xll.YCP($A394,"five_year_total_return",'Database Query'!$E$14),$B394&lt;&gt;"etf",_xll.YCP("M:"&amp; $A394,"five_year_total_return",'Database Query'!$E$14))</f>
        <v>ERR: INVALID ASSET</v>
      </c>
      <c r="Q394" s="2" t="e" cm="1">
        <f t="array" aca="1" ref="Q394" ca="1">-_xll.YCP($E394,"five_year_return",'Database Query'!$E$14)+P394</f>
        <v>#VALUE!</v>
      </c>
    </row>
    <row r="395" spans="2:17" x14ac:dyDescent="0.25">
      <c r="B395" t="str" cm="1">
        <f t="array" aca="1" ref="B395" ca="1">_xll.YCI(A395,"detailed_security_type",TODAY())</f>
        <v/>
      </c>
      <c r="C395" t="str" cm="1">
        <f t="array" aca="1" ref="C395" ca="1">_xlfn.IFS(B395="etf", _xll.YCI(A395, "security_name",TODAY()),B395&lt;&gt;"etf",_xll.YCI("M:" &amp; A395, "security_name",TODAY()))</f>
        <v>ERR: INVALID ASSET</v>
      </c>
      <c r="D395" t="str" cm="1">
        <f t="array" aca="1" ref="D395" ca="1">_xlfn.IFS($B395="etf", _xll.YCI($A395, "ycharts_benchmark_category",TODAY()),$B395&lt;&gt;"etf",_xll.YCI("M:" &amp; $A395, "ycharts_benchmark_category",TODAY()))</f>
        <v>ERR: INVALID ASSET</v>
      </c>
      <c r="E395" t="str" cm="1">
        <f t="array" aca="1" ref="E395" ca="1">_xlfn.IFS($B395="etf", _xll.YCI($A395, "ycharts_benchmark_index_symbol",TODAY()),$B395&lt;&gt;"etf",_xll.YCI("M:" &amp; $A395, "ycharts_benchmark_index_symbol",TODAY()))</f>
        <v>ERR: INVALID ASSET</v>
      </c>
      <c r="F395" t="str" cm="1">
        <f t="array" aca="1" ref="F395" ca="1">_xlfn.IFS($B395="etf", _xll.YCI($E395, "security_name",TODAY()),$B395&lt;&gt;"etf",_xll.YCI( $E395, "security_name",TODAY()))</f>
        <v>ERR: INVALID ASSET</v>
      </c>
      <c r="G395" t="str" cm="1">
        <f t="array" aca="1" ref="G395" ca="1">_xlfn.IFS($B395="etf", _xll.YCI($A395, "prospectus_benchmark_index",TODAY()),$B395&lt;&gt;"etf",_xll.YCI("M:" &amp; $A395, "prospectus_benchmark_index",TODAY()))</f>
        <v>ERR: INVALID ASSET</v>
      </c>
      <c r="H395" s="2" t="str" cm="1">
        <f t="array" aca="1" ref="H395" ca="1">_xlfn.IFS($B395="etf", _xll.YCP($A395,"quarterly_total_return",'Database Query'!$E$14),$B395&lt;&gt;"etf",_xll.YCP("M:"&amp; $A395,"quarterly_total_return",'Database Query'!$E$14))</f>
        <v>ERR: INVALID ASSET</v>
      </c>
      <c r="I395" s="2" t="e" cm="1">
        <f t="array" aca="1" ref="I395" ca="1">-_xll.YCP($E395,"quarterly_return",'Database Query'!$E$14)+H395</f>
        <v>#VALUE!</v>
      </c>
      <c r="J395" s="2" t="str" cm="1">
        <f t="array" aca="1" ref="J395" ca="1">_xlfn.IFS($B395="etf", _xll.YCP($A395,"ytd_total_return",'Database Query'!$E$14),$B395&lt;&gt;"etf",_xll.YCP("M:"&amp; $A395,"ytd_total_return",'Database Query'!$E$14))</f>
        <v>ERR: INVALID ASSET</v>
      </c>
      <c r="K395" s="2" t="e" cm="1">
        <f t="array" aca="1" ref="K395" ca="1">-_xll.YCP($E395,"ytd_return",'Database Query'!$E$14)+J395</f>
        <v>#VALUE!</v>
      </c>
      <c r="L395" s="2" t="str" cm="1">
        <f t="array" aca="1" ref="L395" ca="1">_xlfn.IFS($B395="etf", _xll.YCP($A395,"one_year_total_return",'Database Query'!$E$14),$B395&lt;&gt;"etf",_xll.YCP("M:"&amp; $A395,"one_year_total_return",'Database Query'!$E$14))</f>
        <v>ERR: INVALID ASSET</v>
      </c>
      <c r="M395" s="2" t="e" cm="1">
        <f t="array" aca="1" ref="M395" ca="1">-_xll.YCP($E395,"one_year_return",'Database Query'!$E$14)+L395</f>
        <v>#VALUE!</v>
      </c>
      <c r="N395" s="2" t="str" cm="1">
        <f t="array" aca="1" ref="N395" ca="1">_xlfn.IFS($B395="etf", _xll.YCP($A395,"three_year_total_return",'Database Query'!$E$14),$B395&lt;&gt;"etf",_xll.YCP("M:"&amp; $A395,"three_year_total_return",'Database Query'!$E$14))</f>
        <v>ERR: INVALID ASSET</v>
      </c>
      <c r="O395" s="2" t="e" cm="1">
        <f t="array" aca="1" ref="O395" ca="1">-_xll.YCP($E395,"three_year_return",'Database Query'!$E$14)+N395</f>
        <v>#VALUE!</v>
      </c>
      <c r="P395" s="2" t="str" cm="1">
        <f t="array" aca="1" ref="P395" ca="1">_xlfn.IFS($B395="etf", _xll.YCP($A395,"five_year_total_return",'Database Query'!$E$14),$B395&lt;&gt;"etf",_xll.YCP("M:"&amp; $A395,"five_year_total_return",'Database Query'!$E$14))</f>
        <v>ERR: INVALID ASSET</v>
      </c>
      <c r="Q395" s="2" t="e" cm="1">
        <f t="array" aca="1" ref="Q395" ca="1">-_xll.YCP($E395,"five_year_return",'Database Query'!$E$14)+P395</f>
        <v>#VALUE!</v>
      </c>
    </row>
    <row r="396" spans="2:17" x14ac:dyDescent="0.25">
      <c r="B396" t="str" cm="1">
        <f t="array" aca="1" ref="B396" ca="1">_xll.YCI(A396,"detailed_security_type",TODAY())</f>
        <v/>
      </c>
      <c r="C396" t="str" cm="1">
        <f t="array" aca="1" ref="C396" ca="1">_xlfn.IFS(B396="etf", _xll.YCI(A396, "security_name",TODAY()),B396&lt;&gt;"etf",_xll.YCI("M:" &amp; A396, "security_name",TODAY()))</f>
        <v>ERR: INVALID ASSET</v>
      </c>
      <c r="D396" t="str" cm="1">
        <f t="array" aca="1" ref="D396" ca="1">_xlfn.IFS($B396="etf", _xll.YCI($A396, "ycharts_benchmark_category",TODAY()),$B396&lt;&gt;"etf",_xll.YCI("M:" &amp; $A396, "ycharts_benchmark_category",TODAY()))</f>
        <v>ERR: INVALID ASSET</v>
      </c>
      <c r="E396" t="str" cm="1">
        <f t="array" aca="1" ref="E396" ca="1">_xlfn.IFS($B396="etf", _xll.YCI($A396, "ycharts_benchmark_index_symbol",TODAY()),$B396&lt;&gt;"etf",_xll.YCI("M:" &amp; $A396, "ycharts_benchmark_index_symbol",TODAY()))</f>
        <v>ERR: INVALID ASSET</v>
      </c>
      <c r="F396" t="str" cm="1">
        <f t="array" aca="1" ref="F396" ca="1">_xlfn.IFS($B396="etf", _xll.YCI($E396, "security_name",TODAY()),$B396&lt;&gt;"etf",_xll.YCI( $E396, "security_name",TODAY()))</f>
        <v>ERR: INVALID ASSET</v>
      </c>
      <c r="G396" t="str" cm="1">
        <f t="array" aca="1" ref="G396" ca="1">_xlfn.IFS($B396="etf", _xll.YCI($A396, "prospectus_benchmark_index",TODAY()),$B396&lt;&gt;"etf",_xll.YCI("M:" &amp; $A396, "prospectus_benchmark_index",TODAY()))</f>
        <v>ERR: INVALID ASSET</v>
      </c>
      <c r="H396" s="2" t="str" cm="1">
        <f t="array" aca="1" ref="H396" ca="1">_xlfn.IFS($B396="etf", _xll.YCP($A396,"quarterly_total_return",'Database Query'!$E$14),$B396&lt;&gt;"etf",_xll.YCP("M:"&amp; $A396,"quarterly_total_return",'Database Query'!$E$14))</f>
        <v>ERR: INVALID ASSET</v>
      </c>
      <c r="I396" s="2" t="e" cm="1">
        <f t="array" aca="1" ref="I396" ca="1">-_xll.YCP($E396,"quarterly_return",'Database Query'!$E$14)+H396</f>
        <v>#VALUE!</v>
      </c>
      <c r="J396" s="2" t="str" cm="1">
        <f t="array" aca="1" ref="J396" ca="1">_xlfn.IFS($B396="etf", _xll.YCP($A396,"ytd_total_return",'Database Query'!$E$14),$B396&lt;&gt;"etf",_xll.YCP("M:"&amp; $A396,"ytd_total_return",'Database Query'!$E$14))</f>
        <v>ERR: INVALID ASSET</v>
      </c>
      <c r="K396" s="2" t="e" cm="1">
        <f t="array" aca="1" ref="K396" ca="1">-_xll.YCP($E396,"ytd_return",'Database Query'!$E$14)+J396</f>
        <v>#VALUE!</v>
      </c>
      <c r="L396" s="2" t="str" cm="1">
        <f t="array" aca="1" ref="L396" ca="1">_xlfn.IFS($B396="etf", _xll.YCP($A396,"one_year_total_return",'Database Query'!$E$14),$B396&lt;&gt;"etf",_xll.YCP("M:"&amp; $A396,"one_year_total_return",'Database Query'!$E$14))</f>
        <v>ERR: INVALID ASSET</v>
      </c>
      <c r="M396" s="2" t="e" cm="1">
        <f t="array" aca="1" ref="M396" ca="1">-_xll.YCP($E396,"one_year_return",'Database Query'!$E$14)+L396</f>
        <v>#VALUE!</v>
      </c>
      <c r="N396" s="2" t="str" cm="1">
        <f t="array" aca="1" ref="N396" ca="1">_xlfn.IFS($B396="etf", _xll.YCP($A396,"three_year_total_return",'Database Query'!$E$14),$B396&lt;&gt;"etf",_xll.YCP("M:"&amp; $A396,"three_year_total_return",'Database Query'!$E$14))</f>
        <v>ERR: INVALID ASSET</v>
      </c>
      <c r="O396" s="2" t="e" cm="1">
        <f t="array" aca="1" ref="O396" ca="1">-_xll.YCP($E396,"three_year_return",'Database Query'!$E$14)+N396</f>
        <v>#VALUE!</v>
      </c>
      <c r="P396" s="2" t="str" cm="1">
        <f t="array" aca="1" ref="P396" ca="1">_xlfn.IFS($B396="etf", _xll.YCP($A396,"five_year_total_return",'Database Query'!$E$14),$B396&lt;&gt;"etf",_xll.YCP("M:"&amp; $A396,"five_year_total_return",'Database Query'!$E$14))</f>
        <v>ERR: INVALID ASSET</v>
      </c>
      <c r="Q396" s="2" t="e" cm="1">
        <f t="array" aca="1" ref="Q396" ca="1">-_xll.YCP($E396,"five_year_return",'Database Query'!$E$14)+P396</f>
        <v>#VALUE!</v>
      </c>
    </row>
    <row r="397" spans="2:17" x14ac:dyDescent="0.25">
      <c r="B397" t="str" cm="1">
        <f t="array" aca="1" ref="B397" ca="1">_xll.YCI(A397,"detailed_security_type",TODAY())</f>
        <v/>
      </c>
      <c r="C397" t="str" cm="1">
        <f t="array" aca="1" ref="C397" ca="1">_xlfn.IFS(B397="etf", _xll.YCI(A397, "security_name",TODAY()),B397&lt;&gt;"etf",_xll.YCI("M:" &amp; A397, "security_name",TODAY()))</f>
        <v>ERR: INVALID ASSET</v>
      </c>
      <c r="D397" t="str" cm="1">
        <f t="array" aca="1" ref="D397" ca="1">_xlfn.IFS($B397="etf", _xll.YCI($A397, "ycharts_benchmark_category",TODAY()),$B397&lt;&gt;"etf",_xll.YCI("M:" &amp; $A397, "ycharts_benchmark_category",TODAY()))</f>
        <v>ERR: INVALID ASSET</v>
      </c>
      <c r="E397" t="str" cm="1">
        <f t="array" aca="1" ref="E397" ca="1">_xlfn.IFS($B397="etf", _xll.YCI($A397, "ycharts_benchmark_index_symbol",TODAY()),$B397&lt;&gt;"etf",_xll.YCI("M:" &amp; $A397, "ycharts_benchmark_index_symbol",TODAY()))</f>
        <v>ERR: INVALID ASSET</v>
      </c>
      <c r="F397" t="str" cm="1">
        <f t="array" aca="1" ref="F397" ca="1">_xlfn.IFS($B397="etf", _xll.YCI($E397, "security_name",TODAY()),$B397&lt;&gt;"etf",_xll.YCI( $E397, "security_name",TODAY()))</f>
        <v>ERR: INVALID ASSET</v>
      </c>
      <c r="G397" t="str" cm="1">
        <f t="array" aca="1" ref="G397" ca="1">_xlfn.IFS($B397="etf", _xll.YCI($A397, "prospectus_benchmark_index",TODAY()),$B397&lt;&gt;"etf",_xll.YCI("M:" &amp; $A397, "prospectus_benchmark_index",TODAY()))</f>
        <v>ERR: INVALID ASSET</v>
      </c>
      <c r="H397" s="2" t="str" cm="1">
        <f t="array" aca="1" ref="H397" ca="1">_xlfn.IFS($B397="etf", _xll.YCP($A397,"quarterly_total_return",'Database Query'!$E$14),$B397&lt;&gt;"etf",_xll.YCP("M:"&amp; $A397,"quarterly_total_return",'Database Query'!$E$14))</f>
        <v>ERR: INVALID ASSET</v>
      </c>
      <c r="I397" s="2" t="e" cm="1">
        <f t="array" aca="1" ref="I397" ca="1">-_xll.YCP($E397,"quarterly_return",'Database Query'!$E$14)+H397</f>
        <v>#VALUE!</v>
      </c>
      <c r="J397" s="2" t="str" cm="1">
        <f t="array" aca="1" ref="J397" ca="1">_xlfn.IFS($B397="etf", _xll.YCP($A397,"ytd_total_return",'Database Query'!$E$14),$B397&lt;&gt;"etf",_xll.YCP("M:"&amp; $A397,"ytd_total_return",'Database Query'!$E$14))</f>
        <v>ERR: INVALID ASSET</v>
      </c>
      <c r="K397" s="2" t="e" cm="1">
        <f t="array" aca="1" ref="K397" ca="1">-_xll.YCP($E397,"ytd_return",'Database Query'!$E$14)+J397</f>
        <v>#VALUE!</v>
      </c>
      <c r="L397" s="2" t="str" cm="1">
        <f t="array" aca="1" ref="L397" ca="1">_xlfn.IFS($B397="etf", _xll.YCP($A397,"one_year_total_return",'Database Query'!$E$14),$B397&lt;&gt;"etf",_xll.YCP("M:"&amp; $A397,"one_year_total_return",'Database Query'!$E$14))</f>
        <v>ERR: INVALID ASSET</v>
      </c>
      <c r="M397" s="2" t="e" cm="1">
        <f t="array" aca="1" ref="M397" ca="1">-_xll.YCP($E397,"one_year_return",'Database Query'!$E$14)+L397</f>
        <v>#VALUE!</v>
      </c>
      <c r="N397" s="2" t="str" cm="1">
        <f t="array" aca="1" ref="N397" ca="1">_xlfn.IFS($B397="etf", _xll.YCP($A397,"three_year_total_return",'Database Query'!$E$14),$B397&lt;&gt;"etf",_xll.YCP("M:"&amp; $A397,"three_year_total_return",'Database Query'!$E$14))</f>
        <v>ERR: INVALID ASSET</v>
      </c>
      <c r="O397" s="2" t="e" cm="1">
        <f t="array" aca="1" ref="O397" ca="1">-_xll.YCP($E397,"three_year_return",'Database Query'!$E$14)+N397</f>
        <v>#VALUE!</v>
      </c>
      <c r="P397" s="2" t="str" cm="1">
        <f t="array" aca="1" ref="P397" ca="1">_xlfn.IFS($B397="etf", _xll.YCP($A397,"five_year_total_return",'Database Query'!$E$14),$B397&lt;&gt;"etf",_xll.YCP("M:"&amp; $A397,"five_year_total_return",'Database Query'!$E$14))</f>
        <v>ERR: INVALID ASSET</v>
      </c>
      <c r="Q397" s="2" t="e" cm="1">
        <f t="array" aca="1" ref="Q397" ca="1">-_xll.YCP($E397,"five_year_return",'Database Query'!$E$14)+P397</f>
        <v>#VALUE!</v>
      </c>
    </row>
    <row r="398" spans="2:17" x14ac:dyDescent="0.25">
      <c r="B398" t="str" cm="1">
        <f t="array" aca="1" ref="B398" ca="1">_xll.YCI(A398,"detailed_security_type",TODAY())</f>
        <v/>
      </c>
      <c r="C398" t="str" cm="1">
        <f t="array" aca="1" ref="C398" ca="1">_xlfn.IFS(B398="etf", _xll.YCI(A398, "security_name",TODAY()),B398&lt;&gt;"etf",_xll.YCI("M:" &amp; A398, "security_name",TODAY()))</f>
        <v>ERR: INVALID ASSET</v>
      </c>
      <c r="D398" t="str" cm="1">
        <f t="array" aca="1" ref="D398" ca="1">_xlfn.IFS($B398="etf", _xll.YCI($A398, "ycharts_benchmark_category",TODAY()),$B398&lt;&gt;"etf",_xll.YCI("M:" &amp; $A398, "ycharts_benchmark_category",TODAY()))</f>
        <v>ERR: INVALID ASSET</v>
      </c>
      <c r="E398" t="str" cm="1">
        <f t="array" aca="1" ref="E398" ca="1">_xlfn.IFS($B398="etf", _xll.YCI($A398, "ycharts_benchmark_index_symbol",TODAY()),$B398&lt;&gt;"etf",_xll.YCI("M:" &amp; $A398, "ycharts_benchmark_index_symbol",TODAY()))</f>
        <v>ERR: INVALID ASSET</v>
      </c>
      <c r="F398" t="str" cm="1">
        <f t="array" aca="1" ref="F398" ca="1">_xlfn.IFS($B398="etf", _xll.YCI($E398, "security_name",TODAY()),$B398&lt;&gt;"etf",_xll.YCI( $E398, "security_name",TODAY()))</f>
        <v>ERR: INVALID ASSET</v>
      </c>
      <c r="G398" t="str" cm="1">
        <f t="array" aca="1" ref="G398" ca="1">_xlfn.IFS($B398="etf", _xll.YCI($A398, "prospectus_benchmark_index",TODAY()),$B398&lt;&gt;"etf",_xll.YCI("M:" &amp; $A398, "prospectus_benchmark_index",TODAY()))</f>
        <v>ERR: INVALID ASSET</v>
      </c>
      <c r="H398" s="2" t="str" cm="1">
        <f t="array" aca="1" ref="H398" ca="1">_xlfn.IFS($B398="etf", _xll.YCP($A398,"quarterly_total_return",'Database Query'!$E$14),$B398&lt;&gt;"etf",_xll.YCP("M:"&amp; $A398,"quarterly_total_return",'Database Query'!$E$14))</f>
        <v>ERR: INVALID ASSET</v>
      </c>
      <c r="I398" s="2" t="e" cm="1">
        <f t="array" aca="1" ref="I398" ca="1">-_xll.YCP($E398,"quarterly_return",'Database Query'!$E$14)+H398</f>
        <v>#VALUE!</v>
      </c>
      <c r="J398" s="2" t="str" cm="1">
        <f t="array" aca="1" ref="J398" ca="1">_xlfn.IFS($B398="etf", _xll.YCP($A398,"ytd_total_return",'Database Query'!$E$14),$B398&lt;&gt;"etf",_xll.YCP("M:"&amp; $A398,"ytd_total_return",'Database Query'!$E$14))</f>
        <v>ERR: INVALID ASSET</v>
      </c>
      <c r="K398" s="2" t="e" cm="1">
        <f t="array" aca="1" ref="K398" ca="1">-_xll.YCP($E398,"ytd_return",'Database Query'!$E$14)+J398</f>
        <v>#VALUE!</v>
      </c>
      <c r="L398" s="2" t="str" cm="1">
        <f t="array" aca="1" ref="L398" ca="1">_xlfn.IFS($B398="etf", _xll.YCP($A398,"one_year_total_return",'Database Query'!$E$14),$B398&lt;&gt;"etf",_xll.YCP("M:"&amp; $A398,"one_year_total_return",'Database Query'!$E$14))</f>
        <v>ERR: INVALID ASSET</v>
      </c>
      <c r="M398" s="2" t="e" cm="1">
        <f t="array" aca="1" ref="M398" ca="1">-_xll.YCP($E398,"one_year_return",'Database Query'!$E$14)+L398</f>
        <v>#VALUE!</v>
      </c>
      <c r="N398" s="2" t="str" cm="1">
        <f t="array" aca="1" ref="N398" ca="1">_xlfn.IFS($B398="etf", _xll.YCP($A398,"three_year_total_return",'Database Query'!$E$14),$B398&lt;&gt;"etf",_xll.YCP("M:"&amp; $A398,"three_year_total_return",'Database Query'!$E$14))</f>
        <v>ERR: INVALID ASSET</v>
      </c>
      <c r="O398" s="2" t="e" cm="1">
        <f t="array" aca="1" ref="O398" ca="1">-_xll.YCP($E398,"three_year_return",'Database Query'!$E$14)+N398</f>
        <v>#VALUE!</v>
      </c>
      <c r="P398" s="2" t="str" cm="1">
        <f t="array" aca="1" ref="P398" ca="1">_xlfn.IFS($B398="etf", _xll.YCP($A398,"five_year_total_return",'Database Query'!$E$14),$B398&lt;&gt;"etf",_xll.YCP("M:"&amp; $A398,"five_year_total_return",'Database Query'!$E$14))</f>
        <v>ERR: INVALID ASSET</v>
      </c>
      <c r="Q398" s="2" t="e" cm="1">
        <f t="array" aca="1" ref="Q398" ca="1">-_xll.YCP($E398,"five_year_return",'Database Query'!$E$14)+P398</f>
        <v>#VALUE!</v>
      </c>
    </row>
    <row r="399" spans="2:17" x14ac:dyDescent="0.25">
      <c r="B399" t="str" cm="1">
        <f t="array" aca="1" ref="B399" ca="1">_xll.YCI(A399,"detailed_security_type",TODAY())</f>
        <v/>
      </c>
      <c r="C399" t="str" cm="1">
        <f t="array" aca="1" ref="C399" ca="1">_xlfn.IFS(B399="etf", _xll.YCI(A399, "security_name",TODAY()),B399&lt;&gt;"etf",_xll.YCI("M:" &amp; A399, "security_name",TODAY()))</f>
        <v>ERR: INVALID ASSET</v>
      </c>
      <c r="D399" t="str" cm="1">
        <f t="array" aca="1" ref="D399" ca="1">_xlfn.IFS($B399="etf", _xll.YCI($A399, "ycharts_benchmark_category",TODAY()),$B399&lt;&gt;"etf",_xll.YCI("M:" &amp; $A399, "ycharts_benchmark_category",TODAY()))</f>
        <v>ERR: INVALID ASSET</v>
      </c>
      <c r="E399" t="str" cm="1">
        <f t="array" aca="1" ref="E399" ca="1">_xlfn.IFS($B399="etf", _xll.YCI($A399, "ycharts_benchmark_index_symbol",TODAY()),$B399&lt;&gt;"etf",_xll.YCI("M:" &amp; $A399, "ycharts_benchmark_index_symbol",TODAY()))</f>
        <v>ERR: INVALID ASSET</v>
      </c>
      <c r="F399" t="str" cm="1">
        <f t="array" aca="1" ref="F399" ca="1">_xlfn.IFS($B399="etf", _xll.YCI($E399, "security_name",TODAY()),$B399&lt;&gt;"etf",_xll.YCI( $E399, "security_name",TODAY()))</f>
        <v>ERR: INVALID ASSET</v>
      </c>
      <c r="G399" t="str" cm="1">
        <f t="array" aca="1" ref="G399" ca="1">_xlfn.IFS($B399="etf", _xll.YCI($A399, "prospectus_benchmark_index",TODAY()),$B399&lt;&gt;"etf",_xll.YCI("M:" &amp; $A399, "prospectus_benchmark_index",TODAY()))</f>
        <v>ERR: INVALID ASSET</v>
      </c>
      <c r="H399" s="2" t="str" cm="1">
        <f t="array" aca="1" ref="H399" ca="1">_xlfn.IFS($B399="etf", _xll.YCP($A399,"quarterly_total_return",'Database Query'!$E$14),$B399&lt;&gt;"etf",_xll.YCP("M:"&amp; $A399,"quarterly_total_return",'Database Query'!$E$14))</f>
        <v>ERR: INVALID ASSET</v>
      </c>
      <c r="I399" s="2" t="e" cm="1">
        <f t="array" aca="1" ref="I399" ca="1">-_xll.YCP($E399,"quarterly_return",'Database Query'!$E$14)+H399</f>
        <v>#VALUE!</v>
      </c>
      <c r="J399" s="2" t="str" cm="1">
        <f t="array" aca="1" ref="J399" ca="1">_xlfn.IFS($B399="etf", _xll.YCP($A399,"ytd_total_return",'Database Query'!$E$14),$B399&lt;&gt;"etf",_xll.YCP("M:"&amp; $A399,"ytd_total_return",'Database Query'!$E$14))</f>
        <v>ERR: INVALID ASSET</v>
      </c>
      <c r="K399" s="2" t="e" cm="1">
        <f t="array" aca="1" ref="K399" ca="1">-_xll.YCP($E399,"ytd_return",'Database Query'!$E$14)+J399</f>
        <v>#VALUE!</v>
      </c>
      <c r="L399" s="2" t="str" cm="1">
        <f t="array" aca="1" ref="L399" ca="1">_xlfn.IFS($B399="etf", _xll.YCP($A399,"one_year_total_return",'Database Query'!$E$14),$B399&lt;&gt;"etf",_xll.YCP("M:"&amp; $A399,"one_year_total_return",'Database Query'!$E$14))</f>
        <v>ERR: INVALID ASSET</v>
      </c>
      <c r="M399" s="2" t="e" cm="1">
        <f t="array" aca="1" ref="M399" ca="1">-_xll.YCP($E399,"one_year_return",'Database Query'!$E$14)+L399</f>
        <v>#VALUE!</v>
      </c>
      <c r="N399" s="2" t="str" cm="1">
        <f t="array" aca="1" ref="N399" ca="1">_xlfn.IFS($B399="etf", _xll.YCP($A399,"three_year_total_return",'Database Query'!$E$14),$B399&lt;&gt;"etf",_xll.YCP("M:"&amp; $A399,"three_year_total_return",'Database Query'!$E$14))</f>
        <v>ERR: INVALID ASSET</v>
      </c>
      <c r="O399" s="2" t="e" cm="1">
        <f t="array" aca="1" ref="O399" ca="1">-_xll.YCP($E399,"three_year_return",'Database Query'!$E$14)+N399</f>
        <v>#VALUE!</v>
      </c>
      <c r="P399" s="2" t="str" cm="1">
        <f t="array" aca="1" ref="P399" ca="1">_xlfn.IFS($B399="etf", _xll.YCP($A399,"five_year_total_return",'Database Query'!$E$14),$B399&lt;&gt;"etf",_xll.YCP("M:"&amp; $A399,"five_year_total_return",'Database Query'!$E$14))</f>
        <v>ERR: INVALID ASSET</v>
      </c>
      <c r="Q399" s="2" t="e" cm="1">
        <f t="array" aca="1" ref="Q399" ca="1">-_xll.YCP($E399,"five_year_return",'Database Query'!$E$14)+P399</f>
        <v>#VALUE!</v>
      </c>
    </row>
    <row r="400" spans="2:17" x14ac:dyDescent="0.25">
      <c r="B400" t="str" cm="1">
        <f t="array" aca="1" ref="B400" ca="1">_xll.YCI(A400,"detailed_security_type",TODAY())</f>
        <v/>
      </c>
      <c r="C400" t="str" cm="1">
        <f t="array" aca="1" ref="C400" ca="1">_xlfn.IFS(B400="etf", _xll.YCI(A400, "security_name",TODAY()),B400&lt;&gt;"etf",_xll.YCI("M:" &amp; A400, "security_name",TODAY()))</f>
        <v>ERR: INVALID ASSET</v>
      </c>
      <c r="D400" t="str" cm="1">
        <f t="array" aca="1" ref="D400" ca="1">_xlfn.IFS($B400="etf", _xll.YCI($A400, "ycharts_benchmark_category",TODAY()),$B400&lt;&gt;"etf",_xll.YCI("M:" &amp; $A400, "ycharts_benchmark_category",TODAY()))</f>
        <v>ERR: INVALID ASSET</v>
      </c>
      <c r="E400" t="str" cm="1">
        <f t="array" aca="1" ref="E400" ca="1">_xlfn.IFS($B400="etf", _xll.YCI($A400, "ycharts_benchmark_index_symbol",TODAY()),$B400&lt;&gt;"etf",_xll.YCI("M:" &amp; $A400, "ycharts_benchmark_index_symbol",TODAY()))</f>
        <v>ERR: INVALID ASSET</v>
      </c>
      <c r="F400" t="str" cm="1">
        <f t="array" aca="1" ref="F400" ca="1">_xlfn.IFS($B400="etf", _xll.YCI($E400, "security_name",TODAY()),$B400&lt;&gt;"etf",_xll.YCI( $E400, "security_name",TODAY()))</f>
        <v>ERR: INVALID ASSET</v>
      </c>
      <c r="G400" t="str" cm="1">
        <f t="array" aca="1" ref="G400" ca="1">_xlfn.IFS($B400="etf", _xll.YCI($A400, "prospectus_benchmark_index",TODAY()),$B400&lt;&gt;"etf",_xll.YCI("M:" &amp; $A400, "prospectus_benchmark_index",TODAY()))</f>
        <v>ERR: INVALID ASSET</v>
      </c>
      <c r="H400" s="2" t="str" cm="1">
        <f t="array" aca="1" ref="H400" ca="1">_xlfn.IFS($B400="etf", _xll.YCP($A400,"quarterly_total_return",'Database Query'!$E$14),$B400&lt;&gt;"etf",_xll.YCP("M:"&amp; $A400,"quarterly_total_return",'Database Query'!$E$14))</f>
        <v>ERR: INVALID ASSET</v>
      </c>
      <c r="I400" s="2" t="e" cm="1">
        <f t="array" aca="1" ref="I400" ca="1">-_xll.YCP($E400,"quarterly_return",'Database Query'!$E$14)+H400</f>
        <v>#VALUE!</v>
      </c>
      <c r="J400" s="2" t="str" cm="1">
        <f t="array" aca="1" ref="J400" ca="1">_xlfn.IFS($B400="etf", _xll.YCP($A400,"ytd_total_return",'Database Query'!$E$14),$B400&lt;&gt;"etf",_xll.YCP("M:"&amp; $A400,"ytd_total_return",'Database Query'!$E$14))</f>
        <v>ERR: INVALID ASSET</v>
      </c>
      <c r="K400" s="2" t="e" cm="1">
        <f t="array" aca="1" ref="K400" ca="1">-_xll.YCP($E400,"ytd_return",'Database Query'!$E$14)+J400</f>
        <v>#VALUE!</v>
      </c>
      <c r="L400" s="2" t="str" cm="1">
        <f t="array" aca="1" ref="L400" ca="1">_xlfn.IFS($B400="etf", _xll.YCP($A400,"one_year_total_return",'Database Query'!$E$14),$B400&lt;&gt;"etf",_xll.YCP("M:"&amp; $A400,"one_year_total_return",'Database Query'!$E$14))</f>
        <v>ERR: INVALID ASSET</v>
      </c>
      <c r="M400" s="2" t="e" cm="1">
        <f t="array" aca="1" ref="M400" ca="1">-_xll.YCP($E400,"one_year_return",'Database Query'!$E$14)+L400</f>
        <v>#VALUE!</v>
      </c>
      <c r="N400" s="2" t="str" cm="1">
        <f t="array" aca="1" ref="N400" ca="1">_xlfn.IFS($B400="etf", _xll.YCP($A400,"three_year_total_return",'Database Query'!$E$14),$B400&lt;&gt;"etf",_xll.YCP("M:"&amp; $A400,"three_year_total_return",'Database Query'!$E$14))</f>
        <v>ERR: INVALID ASSET</v>
      </c>
      <c r="O400" s="2" t="e" cm="1">
        <f t="array" aca="1" ref="O400" ca="1">-_xll.YCP($E400,"three_year_return",'Database Query'!$E$14)+N400</f>
        <v>#VALUE!</v>
      </c>
      <c r="P400" s="2" t="str" cm="1">
        <f t="array" aca="1" ref="P400" ca="1">_xlfn.IFS($B400="etf", _xll.YCP($A400,"five_year_total_return",'Database Query'!$E$14),$B400&lt;&gt;"etf",_xll.YCP("M:"&amp; $A400,"five_year_total_return",'Database Query'!$E$14))</f>
        <v>ERR: INVALID ASSET</v>
      </c>
      <c r="Q400" s="2" t="e" cm="1">
        <f t="array" aca="1" ref="Q400" ca="1">-_xll.YCP($E400,"five_year_return",'Database Query'!$E$14)+P400</f>
        <v>#VALUE!</v>
      </c>
    </row>
    <row r="401" spans="2:17" x14ac:dyDescent="0.25">
      <c r="B401" t="str" cm="1">
        <f t="array" aca="1" ref="B401" ca="1">_xll.YCI(A401,"detailed_security_type",TODAY())</f>
        <v/>
      </c>
      <c r="C401" t="str" cm="1">
        <f t="array" aca="1" ref="C401" ca="1">_xlfn.IFS(B401="etf", _xll.YCI(A401, "security_name",TODAY()),B401&lt;&gt;"etf",_xll.YCI("M:" &amp; A401, "security_name",TODAY()))</f>
        <v>ERR: INVALID ASSET</v>
      </c>
      <c r="D401" t="str" cm="1">
        <f t="array" aca="1" ref="D401" ca="1">_xlfn.IFS($B401="etf", _xll.YCI($A401, "ycharts_benchmark_category",TODAY()),$B401&lt;&gt;"etf",_xll.YCI("M:" &amp; $A401, "ycharts_benchmark_category",TODAY()))</f>
        <v>ERR: INVALID ASSET</v>
      </c>
      <c r="E401" t="str" cm="1">
        <f t="array" aca="1" ref="E401" ca="1">_xlfn.IFS($B401="etf", _xll.YCI($A401, "ycharts_benchmark_index_symbol",TODAY()),$B401&lt;&gt;"etf",_xll.YCI("M:" &amp; $A401, "ycharts_benchmark_index_symbol",TODAY()))</f>
        <v>ERR: INVALID ASSET</v>
      </c>
      <c r="F401" t="str" cm="1">
        <f t="array" aca="1" ref="F401" ca="1">_xlfn.IFS($B401="etf", _xll.YCI($E401, "security_name",TODAY()),$B401&lt;&gt;"etf",_xll.YCI( $E401, "security_name",TODAY()))</f>
        <v>ERR: INVALID ASSET</v>
      </c>
      <c r="G401" t="str" cm="1">
        <f t="array" aca="1" ref="G401" ca="1">_xlfn.IFS($B401="etf", _xll.YCI($A401, "prospectus_benchmark_index",TODAY()),$B401&lt;&gt;"etf",_xll.YCI("M:" &amp; $A401, "prospectus_benchmark_index",TODAY()))</f>
        <v>ERR: INVALID ASSET</v>
      </c>
      <c r="H401" s="2" t="str" cm="1">
        <f t="array" aca="1" ref="H401" ca="1">_xlfn.IFS($B401="etf", _xll.YCP($A401,"quarterly_total_return",'Database Query'!$E$14),$B401&lt;&gt;"etf",_xll.YCP("M:"&amp; $A401,"quarterly_total_return",'Database Query'!$E$14))</f>
        <v>ERR: INVALID ASSET</v>
      </c>
      <c r="I401" s="2" t="e" cm="1">
        <f t="array" aca="1" ref="I401" ca="1">-_xll.YCP($E401,"quarterly_return",'Database Query'!$E$14)+H401</f>
        <v>#VALUE!</v>
      </c>
      <c r="J401" s="2" t="str" cm="1">
        <f t="array" aca="1" ref="J401" ca="1">_xlfn.IFS($B401="etf", _xll.YCP($A401,"ytd_total_return",'Database Query'!$E$14),$B401&lt;&gt;"etf",_xll.YCP("M:"&amp; $A401,"ytd_total_return",'Database Query'!$E$14))</f>
        <v>ERR: INVALID ASSET</v>
      </c>
      <c r="K401" s="2" t="e" cm="1">
        <f t="array" aca="1" ref="K401" ca="1">-_xll.YCP($E401,"ytd_return",'Database Query'!$E$14)+J401</f>
        <v>#VALUE!</v>
      </c>
      <c r="L401" s="2" t="str" cm="1">
        <f t="array" aca="1" ref="L401" ca="1">_xlfn.IFS($B401="etf", _xll.YCP($A401,"one_year_total_return",'Database Query'!$E$14),$B401&lt;&gt;"etf",_xll.YCP("M:"&amp; $A401,"one_year_total_return",'Database Query'!$E$14))</f>
        <v>ERR: INVALID ASSET</v>
      </c>
      <c r="M401" s="2" t="e" cm="1">
        <f t="array" aca="1" ref="M401" ca="1">-_xll.YCP($E401,"one_year_return",'Database Query'!$E$14)+L401</f>
        <v>#VALUE!</v>
      </c>
      <c r="N401" s="2" t="str" cm="1">
        <f t="array" aca="1" ref="N401" ca="1">_xlfn.IFS($B401="etf", _xll.YCP($A401,"three_year_total_return",'Database Query'!$E$14),$B401&lt;&gt;"etf",_xll.YCP("M:"&amp; $A401,"three_year_total_return",'Database Query'!$E$14))</f>
        <v>ERR: INVALID ASSET</v>
      </c>
      <c r="O401" s="2" t="e" cm="1">
        <f t="array" aca="1" ref="O401" ca="1">-_xll.YCP($E401,"three_year_return",'Database Query'!$E$14)+N401</f>
        <v>#VALUE!</v>
      </c>
      <c r="P401" s="2" t="str" cm="1">
        <f t="array" aca="1" ref="P401" ca="1">_xlfn.IFS($B401="etf", _xll.YCP($A401,"five_year_total_return",'Database Query'!$E$14),$B401&lt;&gt;"etf",_xll.YCP("M:"&amp; $A401,"five_year_total_return",'Database Query'!$E$14))</f>
        <v>ERR: INVALID ASSET</v>
      </c>
      <c r="Q401" s="2" t="e" cm="1">
        <f t="array" aca="1" ref="Q401" ca="1">-_xll.YCP($E401,"five_year_return",'Database Query'!$E$14)+P401</f>
        <v>#VALUE!</v>
      </c>
    </row>
    <row r="402" spans="2:17" x14ac:dyDescent="0.25">
      <c r="B402" t="str" cm="1">
        <f t="array" aca="1" ref="B402" ca="1">_xll.YCI(A402,"detailed_security_type",TODAY())</f>
        <v/>
      </c>
      <c r="C402" t="str" cm="1">
        <f t="array" aca="1" ref="C402" ca="1">_xlfn.IFS(B402="etf", _xll.YCI(A402, "security_name",TODAY()),B402&lt;&gt;"etf",_xll.YCI("M:" &amp; A402, "security_name",TODAY()))</f>
        <v>ERR: INVALID ASSET</v>
      </c>
      <c r="D402" t="str" cm="1">
        <f t="array" aca="1" ref="D402" ca="1">_xlfn.IFS($B402="etf", _xll.YCI($A402, "ycharts_benchmark_category",TODAY()),$B402&lt;&gt;"etf",_xll.YCI("M:" &amp; $A402, "ycharts_benchmark_category",TODAY()))</f>
        <v>ERR: INVALID ASSET</v>
      </c>
      <c r="E402" t="str" cm="1">
        <f t="array" aca="1" ref="E402" ca="1">_xlfn.IFS($B402="etf", _xll.YCI($A402, "ycharts_benchmark_index_symbol",TODAY()),$B402&lt;&gt;"etf",_xll.YCI("M:" &amp; $A402, "ycharts_benchmark_index_symbol",TODAY()))</f>
        <v>ERR: INVALID ASSET</v>
      </c>
      <c r="F402" t="str" cm="1">
        <f t="array" aca="1" ref="F402" ca="1">_xlfn.IFS($B402="etf", _xll.YCI($E402, "security_name",TODAY()),$B402&lt;&gt;"etf",_xll.YCI( $E402, "security_name",TODAY()))</f>
        <v>ERR: INVALID ASSET</v>
      </c>
      <c r="G402" t="str" cm="1">
        <f t="array" aca="1" ref="G402" ca="1">_xlfn.IFS($B402="etf", _xll.YCI($A402, "prospectus_benchmark_index",TODAY()),$B402&lt;&gt;"etf",_xll.YCI("M:" &amp; $A402, "prospectus_benchmark_index",TODAY()))</f>
        <v>ERR: INVALID ASSET</v>
      </c>
      <c r="H402" s="2" t="str" cm="1">
        <f t="array" aca="1" ref="H402" ca="1">_xlfn.IFS($B402="etf", _xll.YCP($A402,"quarterly_total_return",'Database Query'!$E$14),$B402&lt;&gt;"etf",_xll.YCP("M:"&amp; $A402,"quarterly_total_return",'Database Query'!$E$14))</f>
        <v>ERR: INVALID ASSET</v>
      </c>
      <c r="I402" s="2" t="e" cm="1">
        <f t="array" aca="1" ref="I402" ca="1">-_xll.YCP($E402,"quarterly_return",'Database Query'!$E$14)+H402</f>
        <v>#VALUE!</v>
      </c>
      <c r="J402" s="2" t="str" cm="1">
        <f t="array" aca="1" ref="J402" ca="1">_xlfn.IFS($B402="etf", _xll.YCP($A402,"ytd_total_return",'Database Query'!$E$14),$B402&lt;&gt;"etf",_xll.YCP("M:"&amp; $A402,"ytd_total_return",'Database Query'!$E$14))</f>
        <v>ERR: INVALID ASSET</v>
      </c>
      <c r="K402" s="2" t="e" cm="1">
        <f t="array" aca="1" ref="K402" ca="1">-_xll.YCP($E402,"ytd_return",'Database Query'!$E$14)+J402</f>
        <v>#VALUE!</v>
      </c>
      <c r="L402" s="2" t="str" cm="1">
        <f t="array" aca="1" ref="L402" ca="1">_xlfn.IFS($B402="etf", _xll.YCP($A402,"one_year_total_return",'Database Query'!$E$14),$B402&lt;&gt;"etf",_xll.YCP("M:"&amp; $A402,"one_year_total_return",'Database Query'!$E$14))</f>
        <v>ERR: INVALID ASSET</v>
      </c>
      <c r="M402" s="2" t="e" cm="1">
        <f t="array" aca="1" ref="M402" ca="1">-_xll.YCP($E402,"one_year_return",'Database Query'!$E$14)+L402</f>
        <v>#VALUE!</v>
      </c>
      <c r="N402" s="2" t="str" cm="1">
        <f t="array" aca="1" ref="N402" ca="1">_xlfn.IFS($B402="etf", _xll.YCP($A402,"three_year_total_return",'Database Query'!$E$14),$B402&lt;&gt;"etf",_xll.YCP("M:"&amp; $A402,"three_year_total_return",'Database Query'!$E$14))</f>
        <v>ERR: INVALID ASSET</v>
      </c>
      <c r="O402" s="2" t="e" cm="1">
        <f t="array" aca="1" ref="O402" ca="1">-_xll.YCP($E402,"three_year_return",'Database Query'!$E$14)+N402</f>
        <v>#VALUE!</v>
      </c>
      <c r="P402" s="2" t="str" cm="1">
        <f t="array" aca="1" ref="P402" ca="1">_xlfn.IFS($B402="etf", _xll.YCP($A402,"five_year_total_return",'Database Query'!$E$14),$B402&lt;&gt;"etf",_xll.YCP("M:"&amp; $A402,"five_year_total_return",'Database Query'!$E$14))</f>
        <v>ERR: INVALID ASSET</v>
      </c>
      <c r="Q402" s="2" t="e" cm="1">
        <f t="array" aca="1" ref="Q402" ca="1">-_xll.YCP($E402,"five_year_return",'Database Query'!$E$14)+P402</f>
        <v>#VALUE!</v>
      </c>
    </row>
    <row r="403" spans="2:17" x14ac:dyDescent="0.25">
      <c r="B403" t="str" cm="1">
        <f t="array" aca="1" ref="B403" ca="1">_xll.YCI(A403,"detailed_security_type",TODAY())</f>
        <v/>
      </c>
      <c r="C403" t="str" cm="1">
        <f t="array" aca="1" ref="C403" ca="1">_xlfn.IFS(B403="etf", _xll.YCI(A403, "security_name",TODAY()),B403&lt;&gt;"etf",_xll.YCI("M:" &amp; A403, "security_name",TODAY()))</f>
        <v>ERR: INVALID ASSET</v>
      </c>
      <c r="D403" t="str" cm="1">
        <f t="array" aca="1" ref="D403" ca="1">_xlfn.IFS($B403="etf", _xll.YCI($A403, "ycharts_benchmark_category",TODAY()),$B403&lt;&gt;"etf",_xll.YCI("M:" &amp; $A403, "ycharts_benchmark_category",TODAY()))</f>
        <v>ERR: INVALID ASSET</v>
      </c>
      <c r="E403" t="str" cm="1">
        <f t="array" aca="1" ref="E403" ca="1">_xlfn.IFS($B403="etf", _xll.YCI($A403, "ycharts_benchmark_index_symbol",TODAY()),$B403&lt;&gt;"etf",_xll.YCI("M:" &amp; $A403, "ycharts_benchmark_index_symbol",TODAY()))</f>
        <v>ERR: INVALID ASSET</v>
      </c>
      <c r="F403" t="str" cm="1">
        <f t="array" aca="1" ref="F403" ca="1">_xlfn.IFS($B403="etf", _xll.YCI($E403, "security_name",TODAY()),$B403&lt;&gt;"etf",_xll.YCI( $E403, "security_name",TODAY()))</f>
        <v>ERR: INVALID ASSET</v>
      </c>
      <c r="G403" t="str" cm="1">
        <f t="array" aca="1" ref="G403" ca="1">_xlfn.IFS($B403="etf", _xll.YCI($A403, "prospectus_benchmark_index",TODAY()),$B403&lt;&gt;"etf",_xll.YCI("M:" &amp; $A403, "prospectus_benchmark_index",TODAY()))</f>
        <v>ERR: INVALID ASSET</v>
      </c>
      <c r="H403" s="2" t="str" cm="1">
        <f t="array" aca="1" ref="H403" ca="1">_xlfn.IFS($B403="etf", _xll.YCP($A403,"quarterly_total_return",'Database Query'!$E$14),$B403&lt;&gt;"etf",_xll.YCP("M:"&amp; $A403,"quarterly_total_return",'Database Query'!$E$14))</f>
        <v>ERR: INVALID ASSET</v>
      </c>
      <c r="I403" s="2" t="e" cm="1">
        <f t="array" aca="1" ref="I403" ca="1">-_xll.YCP($E403,"quarterly_return",'Database Query'!$E$14)+H403</f>
        <v>#VALUE!</v>
      </c>
      <c r="J403" s="2" t="str" cm="1">
        <f t="array" aca="1" ref="J403" ca="1">_xlfn.IFS($B403="etf", _xll.YCP($A403,"ytd_total_return",'Database Query'!$E$14),$B403&lt;&gt;"etf",_xll.YCP("M:"&amp; $A403,"ytd_total_return",'Database Query'!$E$14))</f>
        <v>ERR: INVALID ASSET</v>
      </c>
      <c r="K403" s="2" t="e" cm="1">
        <f t="array" aca="1" ref="K403" ca="1">-_xll.YCP($E403,"ytd_return",'Database Query'!$E$14)+J403</f>
        <v>#VALUE!</v>
      </c>
      <c r="L403" s="2" t="str" cm="1">
        <f t="array" aca="1" ref="L403" ca="1">_xlfn.IFS($B403="etf", _xll.YCP($A403,"one_year_total_return",'Database Query'!$E$14),$B403&lt;&gt;"etf",_xll.YCP("M:"&amp; $A403,"one_year_total_return",'Database Query'!$E$14))</f>
        <v>ERR: INVALID ASSET</v>
      </c>
      <c r="M403" s="2" t="e" cm="1">
        <f t="array" aca="1" ref="M403" ca="1">-_xll.YCP($E403,"one_year_return",'Database Query'!$E$14)+L403</f>
        <v>#VALUE!</v>
      </c>
      <c r="N403" s="2" t="str" cm="1">
        <f t="array" aca="1" ref="N403" ca="1">_xlfn.IFS($B403="etf", _xll.YCP($A403,"three_year_total_return",'Database Query'!$E$14),$B403&lt;&gt;"etf",_xll.YCP("M:"&amp; $A403,"three_year_total_return",'Database Query'!$E$14))</f>
        <v>ERR: INVALID ASSET</v>
      </c>
      <c r="O403" s="2" t="e" cm="1">
        <f t="array" aca="1" ref="O403" ca="1">-_xll.YCP($E403,"three_year_return",'Database Query'!$E$14)+N403</f>
        <v>#VALUE!</v>
      </c>
      <c r="P403" s="2" t="str" cm="1">
        <f t="array" aca="1" ref="P403" ca="1">_xlfn.IFS($B403="etf", _xll.YCP($A403,"five_year_total_return",'Database Query'!$E$14),$B403&lt;&gt;"etf",_xll.YCP("M:"&amp; $A403,"five_year_total_return",'Database Query'!$E$14))</f>
        <v>ERR: INVALID ASSET</v>
      </c>
      <c r="Q403" s="2" t="e" cm="1">
        <f t="array" aca="1" ref="Q403" ca="1">-_xll.YCP($E403,"five_year_return",'Database Query'!$E$14)+P403</f>
        <v>#VALUE!</v>
      </c>
    </row>
    <row r="404" spans="2:17" x14ac:dyDescent="0.25">
      <c r="B404" t="str" cm="1">
        <f t="array" aca="1" ref="B404" ca="1">_xll.YCI(A404,"detailed_security_type",TODAY())</f>
        <v/>
      </c>
      <c r="C404" t="str" cm="1">
        <f t="array" aca="1" ref="C404" ca="1">_xlfn.IFS(B404="etf", _xll.YCI(A404, "security_name",TODAY()),B404&lt;&gt;"etf",_xll.YCI("M:" &amp; A404, "security_name",TODAY()))</f>
        <v>ERR: INVALID ASSET</v>
      </c>
      <c r="D404" t="str" cm="1">
        <f t="array" aca="1" ref="D404" ca="1">_xlfn.IFS($B404="etf", _xll.YCI($A404, "ycharts_benchmark_category",TODAY()),$B404&lt;&gt;"etf",_xll.YCI("M:" &amp; $A404, "ycharts_benchmark_category",TODAY()))</f>
        <v>ERR: INVALID ASSET</v>
      </c>
      <c r="E404" t="str" cm="1">
        <f t="array" aca="1" ref="E404" ca="1">_xlfn.IFS($B404="etf", _xll.YCI($A404, "ycharts_benchmark_index_symbol",TODAY()),$B404&lt;&gt;"etf",_xll.YCI("M:" &amp; $A404, "ycharts_benchmark_index_symbol",TODAY()))</f>
        <v>ERR: INVALID ASSET</v>
      </c>
      <c r="F404" t="str" cm="1">
        <f t="array" aca="1" ref="F404" ca="1">_xlfn.IFS($B404="etf", _xll.YCI($E404, "security_name",TODAY()),$B404&lt;&gt;"etf",_xll.YCI( $E404, "security_name",TODAY()))</f>
        <v>ERR: INVALID ASSET</v>
      </c>
      <c r="G404" t="str" cm="1">
        <f t="array" aca="1" ref="G404" ca="1">_xlfn.IFS($B404="etf", _xll.YCI($A404, "prospectus_benchmark_index",TODAY()),$B404&lt;&gt;"etf",_xll.YCI("M:" &amp; $A404, "prospectus_benchmark_index",TODAY()))</f>
        <v>ERR: INVALID ASSET</v>
      </c>
      <c r="H404" s="2" t="str" cm="1">
        <f t="array" aca="1" ref="H404" ca="1">_xlfn.IFS($B404="etf", _xll.YCP($A404,"quarterly_total_return",'Database Query'!$E$14),$B404&lt;&gt;"etf",_xll.YCP("M:"&amp; $A404,"quarterly_total_return",'Database Query'!$E$14))</f>
        <v>ERR: INVALID ASSET</v>
      </c>
      <c r="I404" s="2" t="e" cm="1">
        <f t="array" aca="1" ref="I404" ca="1">-_xll.YCP($E404,"quarterly_return",'Database Query'!$E$14)+H404</f>
        <v>#VALUE!</v>
      </c>
      <c r="J404" s="2" t="str" cm="1">
        <f t="array" aca="1" ref="J404" ca="1">_xlfn.IFS($B404="etf", _xll.YCP($A404,"ytd_total_return",'Database Query'!$E$14),$B404&lt;&gt;"etf",_xll.YCP("M:"&amp; $A404,"ytd_total_return",'Database Query'!$E$14))</f>
        <v>ERR: INVALID ASSET</v>
      </c>
      <c r="K404" s="2" t="e" cm="1">
        <f t="array" aca="1" ref="K404" ca="1">-_xll.YCP($E404,"ytd_return",'Database Query'!$E$14)+J404</f>
        <v>#VALUE!</v>
      </c>
      <c r="L404" s="2" t="str" cm="1">
        <f t="array" aca="1" ref="L404" ca="1">_xlfn.IFS($B404="etf", _xll.YCP($A404,"one_year_total_return",'Database Query'!$E$14),$B404&lt;&gt;"etf",_xll.YCP("M:"&amp; $A404,"one_year_total_return",'Database Query'!$E$14))</f>
        <v>ERR: INVALID ASSET</v>
      </c>
      <c r="M404" s="2" t="e" cm="1">
        <f t="array" aca="1" ref="M404" ca="1">-_xll.YCP($E404,"one_year_return",'Database Query'!$E$14)+L404</f>
        <v>#VALUE!</v>
      </c>
      <c r="N404" s="2" t="str" cm="1">
        <f t="array" aca="1" ref="N404" ca="1">_xlfn.IFS($B404="etf", _xll.YCP($A404,"three_year_total_return",'Database Query'!$E$14),$B404&lt;&gt;"etf",_xll.YCP("M:"&amp; $A404,"three_year_total_return",'Database Query'!$E$14))</f>
        <v>ERR: INVALID ASSET</v>
      </c>
      <c r="O404" s="2" t="e" cm="1">
        <f t="array" aca="1" ref="O404" ca="1">-_xll.YCP($E404,"three_year_return",'Database Query'!$E$14)+N404</f>
        <v>#VALUE!</v>
      </c>
      <c r="P404" s="2" t="str" cm="1">
        <f t="array" aca="1" ref="P404" ca="1">_xlfn.IFS($B404="etf", _xll.YCP($A404,"five_year_total_return",'Database Query'!$E$14),$B404&lt;&gt;"etf",_xll.YCP("M:"&amp; $A404,"five_year_total_return",'Database Query'!$E$14))</f>
        <v>ERR: INVALID ASSET</v>
      </c>
      <c r="Q404" s="2" t="e" cm="1">
        <f t="array" aca="1" ref="Q404" ca="1">-_xll.YCP($E404,"five_year_return",'Database Query'!$E$14)+P404</f>
        <v>#VALUE!</v>
      </c>
    </row>
    <row r="405" spans="2:17" x14ac:dyDescent="0.25">
      <c r="B405" t="str" cm="1">
        <f t="array" aca="1" ref="B405" ca="1">_xll.YCI(A405,"detailed_security_type",TODAY())</f>
        <v/>
      </c>
      <c r="C405" t="str" cm="1">
        <f t="array" aca="1" ref="C405" ca="1">_xlfn.IFS(B405="etf", _xll.YCI(A405, "security_name",TODAY()),B405&lt;&gt;"etf",_xll.YCI("M:" &amp; A405, "security_name",TODAY()))</f>
        <v>ERR: INVALID ASSET</v>
      </c>
      <c r="D405" t="str" cm="1">
        <f t="array" aca="1" ref="D405" ca="1">_xlfn.IFS($B405="etf", _xll.YCI($A405, "ycharts_benchmark_category",TODAY()),$B405&lt;&gt;"etf",_xll.YCI("M:" &amp; $A405, "ycharts_benchmark_category",TODAY()))</f>
        <v>ERR: INVALID ASSET</v>
      </c>
      <c r="E405" t="str" cm="1">
        <f t="array" aca="1" ref="E405" ca="1">_xlfn.IFS($B405="etf", _xll.YCI($A405, "ycharts_benchmark_index_symbol",TODAY()),$B405&lt;&gt;"etf",_xll.YCI("M:" &amp; $A405, "ycharts_benchmark_index_symbol",TODAY()))</f>
        <v>ERR: INVALID ASSET</v>
      </c>
      <c r="F405" t="str" cm="1">
        <f t="array" aca="1" ref="F405" ca="1">_xlfn.IFS($B405="etf", _xll.YCI($E405, "security_name",TODAY()),$B405&lt;&gt;"etf",_xll.YCI( $E405, "security_name",TODAY()))</f>
        <v>ERR: INVALID ASSET</v>
      </c>
      <c r="G405" t="str" cm="1">
        <f t="array" aca="1" ref="G405" ca="1">_xlfn.IFS($B405="etf", _xll.YCI($A405, "prospectus_benchmark_index",TODAY()),$B405&lt;&gt;"etf",_xll.YCI("M:" &amp; $A405, "prospectus_benchmark_index",TODAY()))</f>
        <v>ERR: INVALID ASSET</v>
      </c>
      <c r="H405" s="2" t="str" cm="1">
        <f t="array" aca="1" ref="H405" ca="1">_xlfn.IFS($B405="etf", _xll.YCP($A405,"quarterly_total_return",'Database Query'!$E$14),$B405&lt;&gt;"etf",_xll.YCP("M:"&amp; $A405,"quarterly_total_return",'Database Query'!$E$14))</f>
        <v>ERR: INVALID ASSET</v>
      </c>
      <c r="I405" s="2" t="e" cm="1">
        <f t="array" aca="1" ref="I405" ca="1">-_xll.YCP($E405,"quarterly_return",'Database Query'!$E$14)+H405</f>
        <v>#VALUE!</v>
      </c>
      <c r="J405" s="2" t="str" cm="1">
        <f t="array" aca="1" ref="J405" ca="1">_xlfn.IFS($B405="etf", _xll.YCP($A405,"ytd_total_return",'Database Query'!$E$14),$B405&lt;&gt;"etf",_xll.YCP("M:"&amp; $A405,"ytd_total_return",'Database Query'!$E$14))</f>
        <v>ERR: INVALID ASSET</v>
      </c>
      <c r="K405" s="2" t="e" cm="1">
        <f t="array" aca="1" ref="K405" ca="1">-_xll.YCP($E405,"ytd_return",'Database Query'!$E$14)+J405</f>
        <v>#VALUE!</v>
      </c>
      <c r="L405" s="2" t="str" cm="1">
        <f t="array" aca="1" ref="L405" ca="1">_xlfn.IFS($B405="etf", _xll.YCP($A405,"one_year_total_return",'Database Query'!$E$14),$B405&lt;&gt;"etf",_xll.YCP("M:"&amp; $A405,"one_year_total_return",'Database Query'!$E$14))</f>
        <v>ERR: INVALID ASSET</v>
      </c>
      <c r="M405" s="2" t="e" cm="1">
        <f t="array" aca="1" ref="M405" ca="1">-_xll.YCP($E405,"one_year_return",'Database Query'!$E$14)+L405</f>
        <v>#VALUE!</v>
      </c>
      <c r="N405" s="2" t="str" cm="1">
        <f t="array" aca="1" ref="N405" ca="1">_xlfn.IFS($B405="etf", _xll.YCP($A405,"three_year_total_return",'Database Query'!$E$14),$B405&lt;&gt;"etf",_xll.YCP("M:"&amp; $A405,"three_year_total_return",'Database Query'!$E$14))</f>
        <v>ERR: INVALID ASSET</v>
      </c>
      <c r="O405" s="2" t="e" cm="1">
        <f t="array" aca="1" ref="O405" ca="1">-_xll.YCP($E405,"three_year_return",'Database Query'!$E$14)+N405</f>
        <v>#VALUE!</v>
      </c>
      <c r="P405" s="2" t="str" cm="1">
        <f t="array" aca="1" ref="P405" ca="1">_xlfn.IFS($B405="etf", _xll.YCP($A405,"five_year_total_return",'Database Query'!$E$14),$B405&lt;&gt;"etf",_xll.YCP("M:"&amp; $A405,"five_year_total_return",'Database Query'!$E$14))</f>
        <v>ERR: INVALID ASSET</v>
      </c>
      <c r="Q405" s="2" t="e" cm="1">
        <f t="array" aca="1" ref="Q405" ca="1">-_xll.YCP($E405,"five_year_return",'Database Query'!$E$14)+P405</f>
        <v>#VALUE!</v>
      </c>
    </row>
    <row r="406" spans="2:17" x14ac:dyDescent="0.25">
      <c r="B406" t="str" cm="1">
        <f t="array" aca="1" ref="B406" ca="1">_xll.YCI(A406,"detailed_security_type",TODAY())</f>
        <v/>
      </c>
      <c r="C406" t="str" cm="1">
        <f t="array" aca="1" ref="C406" ca="1">_xlfn.IFS(B406="etf", _xll.YCI(A406, "security_name",TODAY()),B406&lt;&gt;"etf",_xll.YCI("M:" &amp; A406, "security_name",TODAY()))</f>
        <v>ERR: INVALID ASSET</v>
      </c>
      <c r="D406" t="str" cm="1">
        <f t="array" aca="1" ref="D406" ca="1">_xlfn.IFS($B406="etf", _xll.YCI($A406, "ycharts_benchmark_category",TODAY()),$B406&lt;&gt;"etf",_xll.YCI("M:" &amp; $A406, "ycharts_benchmark_category",TODAY()))</f>
        <v>ERR: INVALID ASSET</v>
      </c>
      <c r="E406" t="str" cm="1">
        <f t="array" aca="1" ref="E406" ca="1">_xlfn.IFS($B406="etf", _xll.YCI($A406, "ycharts_benchmark_index_symbol",TODAY()),$B406&lt;&gt;"etf",_xll.YCI("M:" &amp; $A406, "ycharts_benchmark_index_symbol",TODAY()))</f>
        <v>ERR: INVALID ASSET</v>
      </c>
      <c r="F406" t="str" cm="1">
        <f t="array" aca="1" ref="F406" ca="1">_xlfn.IFS($B406="etf", _xll.YCI($E406, "security_name",TODAY()),$B406&lt;&gt;"etf",_xll.YCI( $E406, "security_name",TODAY()))</f>
        <v>ERR: INVALID ASSET</v>
      </c>
      <c r="G406" t="str" cm="1">
        <f t="array" aca="1" ref="G406" ca="1">_xlfn.IFS($B406="etf", _xll.YCI($A406, "prospectus_benchmark_index",TODAY()),$B406&lt;&gt;"etf",_xll.YCI("M:" &amp; $A406, "prospectus_benchmark_index",TODAY()))</f>
        <v>ERR: INVALID ASSET</v>
      </c>
      <c r="H406" s="2" t="str" cm="1">
        <f t="array" aca="1" ref="H406" ca="1">_xlfn.IFS($B406="etf", _xll.YCP($A406,"quarterly_total_return",'Database Query'!$E$14),$B406&lt;&gt;"etf",_xll.YCP("M:"&amp; $A406,"quarterly_total_return",'Database Query'!$E$14))</f>
        <v>ERR: INVALID ASSET</v>
      </c>
      <c r="I406" s="2" t="e" cm="1">
        <f t="array" aca="1" ref="I406" ca="1">-_xll.YCP($E406,"quarterly_return",'Database Query'!$E$14)+H406</f>
        <v>#VALUE!</v>
      </c>
      <c r="J406" s="2" t="str" cm="1">
        <f t="array" aca="1" ref="J406" ca="1">_xlfn.IFS($B406="etf", _xll.YCP($A406,"ytd_total_return",'Database Query'!$E$14),$B406&lt;&gt;"etf",_xll.YCP("M:"&amp; $A406,"ytd_total_return",'Database Query'!$E$14))</f>
        <v>ERR: INVALID ASSET</v>
      </c>
      <c r="K406" s="2" t="e" cm="1">
        <f t="array" aca="1" ref="K406" ca="1">-_xll.YCP($E406,"ytd_return",'Database Query'!$E$14)+J406</f>
        <v>#VALUE!</v>
      </c>
      <c r="L406" s="2" t="str" cm="1">
        <f t="array" aca="1" ref="L406" ca="1">_xlfn.IFS($B406="etf", _xll.YCP($A406,"one_year_total_return",'Database Query'!$E$14),$B406&lt;&gt;"etf",_xll.YCP("M:"&amp; $A406,"one_year_total_return",'Database Query'!$E$14))</f>
        <v>ERR: INVALID ASSET</v>
      </c>
      <c r="M406" s="2" t="e" cm="1">
        <f t="array" aca="1" ref="M406" ca="1">-_xll.YCP($E406,"one_year_return",'Database Query'!$E$14)+L406</f>
        <v>#VALUE!</v>
      </c>
      <c r="N406" s="2" t="str" cm="1">
        <f t="array" aca="1" ref="N406" ca="1">_xlfn.IFS($B406="etf", _xll.YCP($A406,"three_year_total_return",'Database Query'!$E$14),$B406&lt;&gt;"etf",_xll.YCP("M:"&amp; $A406,"three_year_total_return",'Database Query'!$E$14))</f>
        <v>ERR: INVALID ASSET</v>
      </c>
      <c r="O406" s="2" t="e" cm="1">
        <f t="array" aca="1" ref="O406" ca="1">-_xll.YCP($E406,"three_year_return",'Database Query'!$E$14)+N406</f>
        <v>#VALUE!</v>
      </c>
      <c r="P406" s="2" t="str" cm="1">
        <f t="array" aca="1" ref="P406" ca="1">_xlfn.IFS($B406="etf", _xll.YCP($A406,"five_year_total_return",'Database Query'!$E$14),$B406&lt;&gt;"etf",_xll.YCP("M:"&amp; $A406,"five_year_total_return",'Database Query'!$E$14))</f>
        <v>ERR: INVALID ASSET</v>
      </c>
      <c r="Q406" s="2" t="e" cm="1">
        <f t="array" aca="1" ref="Q406" ca="1">-_xll.YCP($E406,"five_year_return",'Database Query'!$E$14)+P406</f>
        <v>#VALUE!</v>
      </c>
    </row>
    <row r="407" spans="2:17" x14ac:dyDescent="0.25">
      <c r="B407" t="str" cm="1">
        <f t="array" aca="1" ref="B407" ca="1">_xll.YCI(A407,"detailed_security_type",TODAY())</f>
        <v/>
      </c>
      <c r="C407" t="str" cm="1">
        <f t="array" aca="1" ref="C407" ca="1">_xlfn.IFS(B407="etf", _xll.YCI(A407, "security_name",TODAY()),B407&lt;&gt;"etf",_xll.YCI("M:" &amp; A407, "security_name",TODAY()))</f>
        <v>ERR: INVALID ASSET</v>
      </c>
      <c r="D407" t="str" cm="1">
        <f t="array" aca="1" ref="D407" ca="1">_xlfn.IFS($B407="etf", _xll.YCI($A407, "ycharts_benchmark_category",TODAY()),$B407&lt;&gt;"etf",_xll.YCI("M:" &amp; $A407, "ycharts_benchmark_category",TODAY()))</f>
        <v>ERR: INVALID ASSET</v>
      </c>
      <c r="E407" t="str" cm="1">
        <f t="array" aca="1" ref="E407" ca="1">_xlfn.IFS($B407="etf", _xll.YCI($A407, "ycharts_benchmark_index_symbol",TODAY()),$B407&lt;&gt;"etf",_xll.YCI("M:" &amp; $A407, "ycharts_benchmark_index_symbol",TODAY()))</f>
        <v>ERR: INVALID ASSET</v>
      </c>
      <c r="F407" t="str" cm="1">
        <f t="array" aca="1" ref="F407" ca="1">_xlfn.IFS($B407="etf", _xll.YCI($E407, "security_name",TODAY()),$B407&lt;&gt;"etf",_xll.YCI( $E407, "security_name",TODAY()))</f>
        <v>ERR: INVALID ASSET</v>
      </c>
      <c r="G407" t="str" cm="1">
        <f t="array" aca="1" ref="G407" ca="1">_xlfn.IFS($B407="etf", _xll.YCI($A407, "prospectus_benchmark_index",TODAY()),$B407&lt;&gt;"etf",_xll.YCI("M:" &amp; $A407, "prospectus_benchmark_index",TODAY()))</f>
        <v>ERR: INVALID ASSET</v>
      </c>
      <c r="H407" s="2" t="str" cm="1">
        <f t="array" aca="1" ref="H407" ca="1">_xlfn.IFS($B407="etf", _xll.YCP($A407,"quarterly_total_return",'Database Query'!$E$14),$B407&lt;&gt;"etf",_xll.YCP("M:"&amp; $A407,"quarterly_total_return",'Database Query'!$E$14))</f>
        <v>ERR: INVALID ASSET</v>
      </c>
      <c r="I407" s="2" t="e" cm="1">
        <f t="array" aca="1" ref="I407" ca="1">-_xll.YCP($E407,"quarterly_return",'Database Query'!$E$14)+H407</f>
        <v>#VALUE!</v>
      </c>
      <c r="J407" s="2" t="str" cm="1">
        <f t="array" aca="1" ref="J407" ca="1">_xlfn.IFS($B407="etf", _xll.YCP($A407,"ytd_total_return",'Database Query'!$E$14),$B407&lt;&gt;"etf",_xll.YCP("M:"&amp; $A407,"ytd_total_return",'Database Query'!$E$14))</f>
        <v>ERR: INVALID ASSET</v>
      </c>
      <c r="K407" s="2" t="e" cm="1">
        <f t="array" aca="1" ref="K407" ca="1">-_xll.YCP($E407,"ytd_return",'Database Query'!$E$14)+J407</f>
        <v>#VALUE!</v>
      </c>
      <c r="L407" s="2" t="str" cm="1">
        <f t="array" aca="1" ref="L407" ca="1">_xlfn.IFS($B407="etf", _xll.YCP($A407,"one_year_total_return",'Database Query'!$E$14),$B407&lt;&gt;"etf",_xll.YCP("M:"&amp; $A407,"one_year_total_return",'Database Query'!$E$14))</f>
        <v>ERR: INVALID ASSET</v>
      </c>
      <c r="M407" s="2" t="e" cm="1">
        <f t="array" aca="1" ref="M407" ca="1">-_xll.YCP($E407,"one_year_return",'Database Query'!$E$14)+L407</f>
        <v>#VALUE!</v>
      </c>
      <c r="N407" s="2" t="str" cm="1">
        <f t="array" aca="1" ref="N407" ca="1">_xlfn.IFS($B407="etf", _xll.YCP($A407,"three_year_total_return",'Database Query'!$E$14),$B407&lt;&gt;"etf",_xll.YCP("M:"&amp; $A407,"three_year_total_return",'Database Query'!$E$14))</f>
        <v>ERR: INVALID ASSET</v>
      </c>
      <c r="O407" s="2" t="e" cm="1">
        <f t="array" aca="1" ref="O407" ca="1">-_xll.YCP($E407,"three_year_return",'Database Query'!$E$14)+N407</f>
        <v>#VALUE!</v>
      </c>
      <c r="P407" s="2" t="str" cm="1">
        <f t="array" aca="1" ref="P407" ca="1">_xlfn.IFS($B407="etf", _xll.YCP($A407,"five_year_total_return",'Database Query'!$E$14),$B407&lt;&gt;"etf",_xll.YCP("M:"&amp; $A407,"five_year_total_return",'Database Query'!$E$14))</f>
        <v>ERR: INVALID ASSET</v>
      </c>
      <c r="Q407" s="2" t="e" cm="1">
        <f t="array" aca="1" ref="Q407" ca="1">-_xll.YCP($E407,"five_year_return",'Database Query'!$E$14)+P407</f>
        <v>#VALUE!</v>
      </c>
    </row>
    <row r="408" spans="2:17" x14ac:dyDescent="0.25">
      <c r="B408" t="str" cm="1">
        <f t="array" aca="1" ref="B408" ca="1">_xll.YCI(A408,"detailed_security_type",TODAY())</f>
        <v/>
      </c>
      <c r="C408" t="str" cm="1">
        <f t="array" aca="1" ref="C408" ca="1">_xlfn.IFS(B408="etf", _xll.YCI(A408, "security_name",TODAY()),B408&lt;&gt;"etf",_xll.YCI("M:" &amp; A408, "security_name",TODAY()))</f>
        <v>ERR: INVALID ASSET</v>
      </c>
      <c r="D408" t="str" cm="1">
        <f t="array" aca="1" ref="D408" ca="1">_xlfn.IFS($B408="etf", _xll.YCI($A408, "ycharts_benchmark_category",TODAY()),$B408&lt;&gt;"etf",_xll.YCI("M:" &amp; $A408, "ycharts_benchmark_category",TODAY()))</f>
        <v>ERR: INVALID ASSET</v>
      </c>
      <c r="E408" t="str" cm="1">
        <f t="array" aca="1" ref="E408" ca="1">_xlfn.IFS($B408="etf", _xll.YCI($A408, "ycharts_benchmark_index_symbol",TODAY()),$B408&lt;&gt;"etf",_xll.YCI("M:" &amp; $A408, "ycharts_benchmark_index_symbol",TODAY()))</f>
        <v>ERR: INVALID ASSET</v>
      </c>
      <c r="F408" t="str" cm="1">
        <f t="array" aca="1" ref="F408" ca="1">_xlfn.IFS($B408="etf", _xll.YCI($E408, "security_name",TODAY()),$B408&lt;&gt;"etf",_xll.YCI( $E408, "security_name",TODAY()))</f>
        <v>ERR: INVALID ASSET</v>
      </c>
      <c r="G408" t="str" cm="1">
        <f t="array" aca="1" ref="G408" ca="1">_xlfn.IFS($B408="etf", _xll.YCI($A408, "prospectus_benchmark_index",TODAY()),$B408&lt;&gt;"etf",_xll.YCI("M:" &amp; $A408, "prospectus_benchmark_index",TODAY()))</f>
        <v>ERR: INVALID ASSET</v>
      </c>
      <c r="H408" s="2" t="str" cm="1">
        <f t="array" aca="1" ref="H408" ca="1">_xlfn.IFS($B408="etf", _xll.YCP($A408,"quarterly_total_return",'Database Query'!$E$14),$B408&lt;&gt;"etf",_xll.YCP("M:"&amp; $A408,"quarterly_total_return",'Database Query'!$E$14))</f>
        <v>ERR: INVALID ASSET</v>
      </c>
      <c r="I408" s="2" t="e" cm="1">
        <f t="array" aca="1" ref="I408" ca="1">-_xll.YCP($E408,"quarterly_return",'Database Query'!$E$14)+H408</f>
        <v>#VALUE!</v>
      </c>
      <c r="J408" s="2" t="str" cm="1">
        <f t="array" aca="1" ref="J408" ca="1">_xlfn.IFS($B408="etf", _xll.YCP($A408,"ytd_total_return",'Database Query'!$E$14),$B408&lt;&gt;"etf",_xll.YCP("M:"&amp; $A408,"ytd_total_return",'Database Query'!$E$14))</f>
        <v>ERR: INVALID ASSET</v>
      </c>
      <c r="K408" s="2" t="e" cm="1">
        <f t="array" aca="1" ref="K408" ca="1">-_xll.YCP($E408,"ytd_return",'Database Query'!$E$14)+J408</f>
        <v>#VALUE!</v>
      </c>
      <c r="L408" s="2" t="str" cm="1">
        <f t="array" aca="1" ref="L408" ca="1">_xlfn.IFS($B408="etf", _xll.YCP($A408,"one_year_total_return",'Database Query'!$E$14),$B408&lt;&gt;"etf",_xll.YCP("M:"&amp; $A408,"one_year_total_return",'Database Query'!$E$14))</f>
        <v>ERR: INVALID ASSET</v>
      </c>
      <c r="M408" s="2" t="e" cm="1">
        <f t="array" aca="1" ref="M408" ca="1">-_xll.YCP($E408,"one_year_return",'Database Query'!$E$14)+L408</f>
        <v>#VALUE!</v>
      </c>
      <c r="N408" s="2" t="str" cm="1">
        <f t="array" aca="1" ref="N408" ca="1">_xlfn.IFS($B408="etf", _xll.YCP($A408,"three_year_total_return",'Database Query'!$E$14),$B408&lt;&gt;"etf",_xll.YCP("M:"&amp; $A408,"three_year_total_return",'Database Query'!$E$14))</f>
        <v>ERR: INVALID ASSET</v>
      </c>
      <c r="O408" s="2" t="e" cm="1">
        <f t="array" aca="1" ref="O408" ca="1">-_xll.YCP($E408,"three_year_return",'Database Query'!$E$14)+N408</f>
        <v>#VALUE!</v>
      </c>
      <c r="P408" s="2" t="str" cm="1">
        <f t="array" aca="1" ref="P408" ca="1">_xlfn.IFS($B408="etf", _xll.YCP($A408,"five_year_total_return",'Database Query'!$E$14),$B408&lt;&gt;"etf",_xll.YCP("M:"&amp; $A408,"five_year_total_return",'Database Query'!$E$14))</f>
        <v>ERR: INVALID ASSET</v>
      </c>
      <c r="Q408" s="2" t="e" cm="1">
        <f t="array" aca="1" ref="Q408" ca="1">-_xll.YCP($E408,"five_year_return",'Database Query'!$E$14)+P408</f>
        <v>#VALUE!</v>
      </c>
    </row>
    <row r="409" spans="2:17" x14ac:dyDescent="0.25">
      <c r="B409" t="str" cm="1">
        <f t="array" aca="1" ref="B409" ca="1">_xll.YCI(A409,"detailed_security_type",TODAY())</f>
        <v/>
      </c>
      <c r="C409" t="str" cm="1">
        <f t="array" aca="1" ref="C409" ca="1">_xlfn.IFS(B409="etf", _xll.YCI(A409, "security_name",TODAY()),B409&lt;&gt;"etf",_xll.YCI("M:" &amp; A409, "security_name",TODAY()))</f>
        <v>ERR: INVALID ASSET</v>
      </c>
      <c r="D409" t="str" cm="1">
        <f t="array" aca="1" ref="D409" ca="1">_xlfn.IFS($B409="etf", _xll.YCI($A409, "ycharts_benchmark_category",TODAY()),$B409&lt;&gt;"etf",_xll.YCI("M:" &amp; $A409, "ycharts_benchmark_category",TODAY()))</f>
        <v>ERR: INVALID ASSET</v>
      </c>
      <c r="E409" t="str" cm="1">
        <f t="array" aca="1" ref="E409" ca="1">_xlfn.IFS($B409="etf", _xll.YCI($A409, "ycharts_benchmark_index_symbol",TODAY()),$B409&lt;&gt;"etf",_xll.YCI("M:" &amp; $A409, "ycharts_benchmark_index_symbol",TODAY()))</f>
        <v>ERR: INVALID ASSET</v>
      </c>
      <c r="F409" t="str" cm="1">
        <f t="array" aca="1" ref="F409" ca="1">_xlfn.IFS($B409="etf", _xll.YCI($E409, "security_name",TODAY()),$B409&lt;&gt;"etf",_xll.YCI( $E409, "security_name",TODAY()))</f>
        <v>ERR: INVALID ASSET</v>
      </c>
      <c r="G409" t="str" cm="1">
        <f t="array" aca="1" ref="G409" ca="1">_xlfn.IFS($B409="etf", _xll.YCI($A409, "prospectus_benchmark_index",TODAY()),$B409&lt;&gt;"etf",_xll.YCI("M:" &amp; $A409, "prospectus_benchmark_index",TODAY()))</f>
        <v>ERR: INVALID ASSET</v>
      </c>
      <c r="H409" s="2" t="str" cm="1">
        <f t="array" aca="1" ref="H409" ca="1">_xlfn.IFS($B409="etf", _xll.YCP($A409,"quarterly_total_return",'Database Query'!$E$14),$B409&lt;&gt;"etf",_xll.YCP("M:"&amp; $A409,"quarterly_total_return",'Database Query'!$E$14))</f>
        <v>ERR: INVALID ASSET</v>
      </c>
      <c r="I409" s="2" t="e" cm="1">
        <f t="array" aca="1" ref="I409" ca="1">-_xll.YCP($E409,"quarterly_return",'Database Query'!$E$14)+H409</f>
        <v>#VALUE!</v>
      </c>
      <c r="J409" s="2" t="str" cm="1">
        <f t="array" aca="1" ref="J409" ca="1">_xlfn.IFS($B409="etf", _xll.YCP($A409,"ytd_total_return",'Database Query'!$E$14),$B409&lt;&gt;"etf",_xll.YCP("M:"&amp; $A409,"ytd_total_return",'Database Query'!$E$14))</f>
        <v>ERR: INVALID ASSET</v>
      </c>
      <c r="K409" s="2" t="e" cm="1">
        <f t="array" aca="1" ref="K409" ca="1">-_xll.YCP($E409,"ytd_return",'Database Query'!$E$14)+J409</f>
        <v>#VALUE!</v>
      </c>
      <c r="L409" s="2" t="str" cm="1">
        <f t="array" aca="1" ref="L409" ca="1">_xlfn.IFS($B409="etf", _xll.YCP($A409,"one_year_total_return",'Database Query'!$E$14),$B409&lt;&gt;"etf",_xll.YCP("M:"&amp; $A409,"one_year_total_return",'Database Query'!$E$14))</f>
        <v>ERR: INVALID ASSET</v>
      </c>
      <c r="M409" s="2" t="e" cm="1">
        <f t="array" aca="1" ref="M409" ca="1">-_xll.YCP($E409,"one_year_return",'Database Query'!$E$14)+L409</f>
        <v>#VALUE!</v>
      </c>
      <c r="N409" s="2" t="str" cm="1">
        <f t="array" aca="1" ref="N409" ca="1">_xlfn.IFS($B409="etf", _xll.YCP($A409,"three_year_total_return",'Database Query'!$E$14),$B409&lt;&gt;"etf",_xll.YCP("M:"&amp; $A409,"three_year_total_return",'Database Query'!$E$14))</f>
        <v>ERR: INVALID ASSET</v>
      </c>
      <c r="O409" s="2" t="e" cm="1">
        <f t="array" aca="1" ref="O409" ca="1">-_xll.YCP($E409,"three_year_return",'Database Query'!$E$14)+N409</f>
        <v>#VALUE!</v>
      </c>
      <c r="P409" s="2" t="str" cm="1">
        <f t="array" aca="1" ref="P409" ca="1">_xlfn.IFS($B409="etf", _xll.YCP($A409,"five_year_total_return",'Database Query'!$E$14),$B409&lt;&gt;"etf",_xll.YCP("M:"&amp; $A409,"five_year_total_return",'Database Query'!$E$14))</f>
        <v>ERR: INVALID ASSET</v>
      </c>
      <c r="Q409" s="2" t="e" cm="1">
        <f t="array" aca="1" ref="Q409" ca="1">-_xll.YCP($E409,"five_year_return",'Database Query'!$E$14)+P409</f>
        <v>#VALUE!</v>
      </c>
    </row>
    <row r="410" spans="2:17" x14ac:dyDescent="0.25">
      <c r="B410" t="str" cm="1">
        <f t="array" aca="1" ref="B410" ca="1">_xll.YCI(A410,"detailed_security_type",TODAY())</f>
        <v/>
      </c>
      <c r="C410" t="str" cm="1">
        <f t="array" aca="1" ref="C410" ca="1">_xlfn.IFS(B410="etf", _xll.YCI(A410, "security_name",TODAY()),B410&lt;&gt;"etf",_xll.YCI("M:" &amp; A410, "security_name",TODAY()))</f>
        <v>ERR: INVALID ASSET</v>
      </c>
      <c r="D410" t="str" cm="1">
        <f t="array" aca="1" ref="D410" ca="1">_xlfn.IFS($B410="etf", _xll.YCI($A410, "ycharts_benchmark_category",TODAY()),$B410&lt;&gt;"etf",_xll.YCI("M:" &amp; $A410, "ycharts_benchmark_category",TODAY()))</f>
        <v>ERR: INVALID ASSET</v>
      </c>
      <c r="E410" t="str" cm="1">
        <f t="array" aca="1" ref="E410" ca="1">_xlfn.IFS($B410="etf", _xll.YCI($A410, "ycharts_benchmark_index_symbol",TODAY()),$B410&lt;&gt;"etf",_xll.YCI("M:" &amp; $A410, "ycharts_benchmark_index_symbol",TODAY()))</f>
        <v>ERR: INVALID ASSET</v>
      </c>
      <c r="F410" t="str" cm="1">
        <f t="array" aca="1" ref="F410" ca="1">_xlfn.IFS($B410="etf", _xll.YCI($E410, "security_name",TODAY()),$B410&lt;&gt;"etf",_xll.YCI( $E410, "security_name",TODAY()))</f>
        <v>ERR: INVALID ASSET</v>
      </c>
      <c r="G410" t="str" cm="1">
        <f t="array" aca="1" ref="G410" ca="1">_xlfn.IFS($B410="etf", _xll.YCI($A410, "prospectus_benchmark_index",TODAY()),$B410&lt;&gt;"etf",_xll.YCI("M:" &amp; $A410, "prospectus_benchmark_index",TODAY()))</f>
        <v>ERR: INVALID ASSET</v>
      </c>
      <c r="H410" s="2" t="str" cm="1">
        <f t="array" aca="1" ref="H410" ca="1">_xlfn.IFS($B410="etf", _xll.YCP($A410,"quarterly_total_return",'Database Query'!$E$14),$B410&lt;&gt;"etf",_xll.YCP("M:"&amp; $A410,"quarterly_total_return",'Database Query'!$E$14))</f>
        <v>ERR: INVALID ASSET</v>
      </c>
      <c r="I410" s="2" t="e" cm="1">
        <f t="array" aca="1" ref="I410" ca="1">-_xll.YCP($E410,"quarterly_return",'Database Query'!$E$14)+H410</f>
        <v>#VALUE!</v>
      </c>
      <c r="J410" s="2" t="str" cm="1">
        <f t="array" aca="1" ref="J410" ca="1">_xlfn.IFS($B410="etf", _xll.YCP($A410,"ytd_total_return",'Database Query'!$E$14),$B410&lt;&gt;"etf",_xll.YCP("M:"&amp; $A410,"ytd_total_return",'Database Query'!$E$14))</f>
        <v>ERR: INVALID ASSET</v>
      </c>
      <c r="K410" s="2" t="e" cm="1">
        <f t="array" aca="1" ref="K410" ca="1">-_xll.YCP($E410,"ytd_return",'Database Query'!$E$14)+J410</f>
        <v>#VALUE!</v>
      </c>
      <c r="L410" s="2" t="str" cm="1">
        <f t="array" aca="1" ref="L410" ca="1">_xlfn.IFS($B410="etf", _xll.YCP($A410,"one_year_total_return",'Database Query'!$E$14),$B410&lt;&gt;"etf",_xll.YCP("M:"&amp; $A410,"one_year_total_return",'Database Query'!$E$14))</f>
        <v>ERR: INVALID ASSET</v>
      </c>
      <c r="M410" s="2" t="e" cm="1">
        <f t="array" aca="1" ref="M410" ca="1">-_xll.YCP($E410,"one_year_return",'Database Query'!$E$14)+L410</f>
        <v>#VALUE!</v>
      </c>
      <c r="N410" s="2" t="str" cm="1">
        <f t="array" aca="1" ref="N410" ca="1">_xlfn.IFS($B410="etf", _xll.YCP($A410,"three_year_total_return",'Database Query'!$E$14),$B410&lt;&gt;"etf",_xll.YCP("M:"&amp; $A410,"three_year_total_return",'Database Query'!$E$14))</f>
        <v>ERR: INVALID ASSET</v>
      </c>
      <c r="O410" s="2" t="e" cm="1">
        <f t="array" aca="1" ref="O410" ca="1">-_xll.YCP($E410,"three_year_return",'Database Query'!$E$14)+N410</f>
        <v>#VALUE!</v>
      </c>
      <c r="P410" s="2" t="str" cm="1">
        <f t="array" aca="1" ref="P410" ca="1">_xlfn.IFS($B410="etf", _xll.YCP($A410,"five_year_total_return",'Database Query'!$E$14),$B410&lt;&gt;"etf",_xll.YCP("M:"&amp; $A410,"five_year_total_return",'Database Query'!$E$14))</f>
        <v>ERR: INVALID ASSET</v>
      </c>
      <c r="Q410" s="2" t="e" cm="1">
        <f t="array" aca="1" ref="Q410" ca="1">-_xll.YCP($E410,"five_year_return",'Database Query'!$E$14)+P410</f>
        <v>#VALUE!</v>
      </c>
    </row>
    <row r="411" spans="2:17" x14ac:dyDescent="0.25">
      <c r="B411" t="str" cm="1">
        <f t="array" aca="1" ref="B411" ca="1">_xll.YCI(A411,"detailed_security_type",TODAY())</f>
        <v/>
      </c>
      <c r="C411" t="str" cm="1">
        <f t="array" aca="1" ref="C411" ca="1">_xlfn.IFS(B411="etf", _xll.YCI(A411, "security_name",TODAY()),B411&lt;&gt;"etf",_xll.YCI("M:" &amp; A411, "security_name",TODAY()))</f>
        <v>ERR: INVALID ASSET</v>
      </c>
      <c r="D411" t="str" cm="1">
        <f t="array" aca="1" ref="D411" ca="1">_xlfn.IFS($B411="etf", _xll.YCI($A411, "ycharts_benchmark_category",TODAY()),$B411&lt;&gt;"etf",_xll.YCI("M:" &amp; $A411, "ycharts_benchmark_category",TODAY()))</f>
        <v>ERR: INVALID ASSET</v>
      </c>
      <c r="E411" t="str" cm="1">
        <f t="array" aca="1" ref="E411" ca="1">_xlfn.IFS($B411="etf", _xll.YCI($A411, "ycharts_benchmark_index_symbol",TODAY()),$B411&lt;&gt;"etf",_xll.YCI("M:" &amp; $A411, "ycharts_benchmark_index_symbol",TODAY()))</f>
        <v>ERR: INVALID ASSET</v>
      </c>
      <c r="F411" t="str" cm="1">
        <f t="array" aca="1" ref="F411" ca="1">_xlfn.IFS($B411="etf", _xll.YCI($E411, "security_name",TODAY()),$B411&lt;&gt;"etf",_xll.YCI( $E411, "security_name",TODAY()))</f>
        <v>ERR: INVALID ASSET</v>
      </c>
      <c r="G411" t="str" cm="1">
        <f t="array" aca="1" ref="G411" ca="1">_xlfn.IFS($B411="etf", _xll.YCI($A411, "prospectus_benchmark_index",TODAY()),$B411&lt;&gt;"etf",_xll.YCI("M:" &amp; $A411, "prospectus_benchmark_index",TODAY()))</f>
        <v>ERR: INVALID ASSET</v>
      </c>
      <c r="H411" s="2" t="str" cm="1">
        <f t="array" aca="1" ref="H411" ca="1">_xlfn.IFS($B411="etf", _xll.YCP($A411,"quarterly_total_return",'Database Query'!$E$14),$B411&lt;&gt;"etf",_xll.YCP("M:"&amp; $A411,"quarterly_total_return",'Database Query'!$E$14))</f>
        <v>ERR: INVALID ASSET</v>
      </c>
      <c r="I411" s="2" t="e" cm="1">
        <f t="array" aca="1" ref="I411" ca="1">-_xll.YCP($E411,"quarterly_return",'Database Query'!$E$14)+H411</f>
        <v>#VALUE!</v>
      </c>
      <c r="J411" s="2" t="str" cm="1">
        <f t="array" aca="1" ref="J411" ca="1">_xlfn.IFS($B411="etf", _xll.YCP($A411,"ytd_total_return",'Database Query'!$E$14),$B411&lt;&gt;"etf",_xll.YCP("M:"&amp; $A411,"ytd_total_return",'Database Query'!$E$14))</f>
        <v>ERR: INVALID ASSET</v>
      </c>
      <c r="K411" s="2" t="e" cm="1">
        <f t="array" aca="1" ref="K411" ca="1">-_xll.YCP($E411,"ytd_return",'Database Query'!$E$14)+J411</f>
        <v>#VALUE!</v>
      </c>
      <c r="L411" s="2" t="str" cm="1">
        <f t="array" aca="1" ref="L411" ca="1">_xlfn.IFS($B411="etf", _xll.YCP($A411,"one_year_total_return",'Database Query'!$E$14),$B411&lt;&gt;"etf",_xll.YCP("M:"&amp; $A411,"one_year_total_return",'Database Query'!$E$14))</f>
        <v>ERR: INVALID ASSET</v>
      </c>
      <c r="M411" s="2" t="e" cm="1">
        <f t="array" aca="1" ref="M411" ca="1">-_xll.YCP($E411,"one_year_return",'Database Query'!$E$14)+L411</f>
        <v>#VALUE!</v>
      </c>
      <c r="N411" s="2" t="str" cm="1">
        <f t="array" aca="1" ref="N411" ca="1">_xlfn.IFS($B411="etf", _xll.YCP($A411,"three_year_total_return",'Database Query'!$E$14),$B411&lt;&gt;"etf",_xll.YCP("M:"&amp; $A411,"three_year_total_return",'Database Query'!$E$14))</f>
        <v>ERR: INVALID ASSET</v>
      </c>
      <c r="O411" s="2" t="e" cm="1">
        <f t="array" aca="1" ref="O411" ca="1">-_xll.YCP($E411,"three_year_return",'Database Query'!$E$14)+N411</f>
        <v>#VALUE!</v>
      </c>
      <c r="P411" s="2" t="str" cm="1">
        <f t="array" aca="1" ref="P411" ca="1">_xlfn.IFS($B411="etf", _xll.YCP($A411,"five_year_total_return",'Database Query'!$E$14),$B411&lt;&gt;"etf",_xll.YCP("M:"&amp; $A411,"five_year_total_return",'Database Query'!$E$14))</f>
        <v>ERR: INVALID ASSET</v>
      </c>
      <c r="Q411" s="2" t="e" cm="1">
        <f t="array" aca="1" ref="Q411" ca="1">-_xll.YCP($E411,"five_year_return",'Database Query'!$E$14)+P411</f>
        <v>#VALUE!</v>
      </c>
    </row>
    <row r="412" spans="2:17" x14ac:dyDescent="0.25">
      <c r="B412" t="str" cm="1">
        <f t="array" aca="1" ref="B412" ca="1">_xll.YCI(A412,"detailed_security_type",TODAY())</f>
        <v/>
      </c>
      <c r="C412" t="str" cm="1">
        <f t="array" aca="1" ref="C412" ca="1">_xlfn.IFS(B412="etf", _xll.YCI(A412, "security_name",TODAY()),B412&lt;&gt;"etf",_xll.YCI("M:" &amp; A412, "security_name",TODAY()))</f>
        <v>ERR: INVALID ASSET</v>
      </c>
      <c r="D412" t="str" cm="1">
        <f t="array" aca="1" ref="D412" ca="1">_xlfn.IFS($B412="etf", _xll.YCI($A412, "ycharts_benchmark_category",TODAY()),$B412&lt;&gt;"etf",_xll.YCI("M:" &amp; $A412, "ycharts_benchmark_category",TODAY()))</f>
        <v>ERR: INVALID ASSET</v>
      </c>
      <c r="E412" t="str" cm="1">
        <f t="array" aca="1" ref="E412" ca="1">_xlfn.IFS($B412="etf", _xll.YCI($A412, "ycharts_benchmark_index_symbol",TODAY()),$B412&lt;&gt;"etf",_xll.YCI("M:" &amp; $A412, "ycharts_benchmark_index_symbol",TODAY()))</f>
        <v>ERR: INVALID ASSET</v>
      </c>
      <c r="F412" t="str" cm="1">
        <f t="array" aca="1" ref="F412" ca="1">_xlfn.IFS($B412="etf", _xll.YCI($E412, "security_name",TODAY()),$B412&lt;&gt;"etf",_xll.YCI( $E412, "security_name",TODAY()))</f>
        <v>ERR: INVALID ASSET</v>
      </c>
      <c r="G412" t="str" cm="1">
        <f t="array" aca="1" ref="G412" ca="1">_xlfn.IFS($B412="etf", _xll.YCI($A412, "prospectus_benchmark_index",TODAY()),$B412&lt;&gt;"etf",_xll.YCI("M:" &amp; $A412, "prospectus_benchmark_index",TODAY()))</f>
        <v>ERR: INVALID ASSET</v>
      </c>
      <c r="H412" s="2" t="str" cm="1">
        <f t="array" aca="1" ref="H412" ca="1">_xlfn.IFS($B412="etf", _xll.YCP($A412,"quarterly_total_return",'Database Query'!$E$14),$B412&lt;&gt;"etf",_xll.YCP("M:"&amp; $A412,"quarterly_total_return",'Database Query'!$E$14))</f>
        <v>ERR: INVALID ASSET</v>
      </c>
      <c r="I412" s="2" t="e" cm="1">
        <f t="array" aca="1" ref="I412" ca="1">-_xll.YCP($E412,"quarterly_return",'Database Query'!$E$14)+H412</f>
        <v>#VALUE!</v>
      </c>
      <c r="J412" s="2" t="str" cm="1">
        <f t="array" aca="1" ref="J412" ca="1">_xlfn.IFS($B412="etf", _xll.YCP($A412,"ytd_total_return",'Database Query'!$E$14),$B412&lt;&gt;"etf",_xll.YCP("M:"&amp; $A412,"ytd_total_return",'Database Query'!$E$14))</f>
        <v>ERR: INVALID ASSET</v>
      </c>
      <c r="K412" s="2" t="e" cm="1">
        <f t="array" aca="1" ref="K412" ca="1">-_xll.YCP($E412,"ytd_return",'Database Query'!$E$14)+J412</f>
        <v>#VALUE!</v>
      </c>
      <c r="L412" s="2" t="str" cm="1">
        <f t="array" aca="1" ref="L412" ca="1">_xlfn.IFS($B412="etf", _xll.YCP($A412,"one_year_total_return",'Database Query'!$E$14),$B412&lt;&gt;"etf",_xll.YCP("M:"&amp; $A412,"one_year_total_return",'Database Query'!$E$14))</f>
        <v>ERR: INVALID ASSET</v>
      </c>
      <c r="M412" s="2" t="e" cm="1">
        <f t="array" aca="1" ref="M412" ca="1">-_xll.YCP($E412,"one_year_return",'Database Query'!$E$14)+L412</f>
        <v>#VALUE!</v>
      </c>
      <c r="N412" s="2" t="str" cm="1">
        <f t="array" aca="1" ref="N412" ca="1">_xlfn.IFS($B412="etf", _xll.YCP($A412,"three_year_total_return",'Database Query'!$E$14),$B412&lt;&gt;"etf",_xll.YCP("M:"&amp; $A412,"three_year_total_return",'Database Query'!$E$14))</f>
        <v>ERR: INVALID ASSET</v>
      </c>
      <c r="O412" s="2" t="e" cm="1">
        <f t="array" aca="1" ref="O412" ca="1">-_xll.YCP($E412,"three_year_return",'Database Query'!$E$14)+N412</f>
        <v>#VALUE!</v>
      </c>
      <c r="P412" s="2" t="str" cm="1">
        <f t="array" aca="1" ref="P412" ca="1">_xlfn.IFS($B412="etf", _xll.YCP($A412,"five_year_total_return",'Database Query'!$E$14),$B412&lt;&gt;"etf",_xll.YCP("M:"&amp; $A412,"five_year_total_return",'Database Query'!$E$14))</f>
        <v>ERR: INVALID ASSET</v>
      </c>
      <c r="Q412" s="2" t="e" cm="1">
        <f t="array" aca="1" ref="Q412" ca="1">-_xll.YCP($E412,"five_year_return",'Database Query'!$E$14)+P412</f>
        <v>#VALUE!</v>
      </c>
    </row>
    <row r="413" spans="2:17" x14ac:dyDescent="0.25">
      <c r="B413" t="str" cm="1">
        <f t="array" aca="1" ref="B413" ca="1">_xll.YCI(A413,"detailed_security_type",TODAY())</f>
        <v/>
      </c>
      <c r="C413" t="str" cm="1">
        <f t="array" aca="1" ref="C413" ca="1">_xlfn.IFS(B413="etf", _xll.YCI(A413, "security_name",TODAY()),B413&lt;&gt;"etf",_xll.YCI("M:" &amp; A413, "security_name",TODAY()))</f>
        <v>ERR: INVALID ASSET</v>
      </c>
      <c r="D413" t="str" cm="1">
        <f t="array" aca="1" ref="D413" ca="1">_xlfn.IFS($B413="etf", _xll.YCI($A413, "ycharts_benchmark_category",TODAY()),$B413&lt;&gt;"etf",_xll.YCI("M:" &amp; $A413, "ycharts_benchmark_category",TODAY()))</f>
        <v>ERR: INVALID ASSET</v>
      </c>
      <c r="E413" t="str" cm="1">
        <f t="array" aca="1" ref="E413" ca="1">_xlfn.IFS($B413="etf", _xll.YCI($A413, "ycharts_benchmark_index_symbol",TODAY()),$B413&lt;&gt;"etf",_xll.YCI("M:" &amp; $A413, "ycharts_benchmark_index_symbol",TODAY()))</f>
        <v>ERR: INVALID ASSET</v>
      </c>
      <c r="F413" t="str" cm="1">
        <f t="array" aca="1" ref="F413" ca="1">_xlfn.IFS($B413="etf", _xll.YCI($E413, "security_name",TODAY()),$B413&lt;&gt;"etf",_xll.YCI( $E413, "security_name",TODAY()))</f>
        <v>ERR: INVALID ASSET</v>
      </c>
      <c r="G413" t="str" cm="1">
        <f t="array" aca="1" ref="G413" ca="1">_xlfn.IFS($B413="etf", _xll.YCI($A413, "prospectus_benchmark_index",TODAY()),$B413&lt;&gt;"etf",_xll.YCI("M:" &amp; $A413, "prospectus_benchmark_index",TODAY()))</f>
        <v>ERR: INVALID ASSET</v>
      </c>
      <c r="H413" s="2" t="str" cm="1">
        <f t="array" aca="1" ref="H413" ca="1">_xlfn.IFS($B413="etf", _xll.YCP($A413,"quarterly_total_return",'Database Query'!$E$14),$B413&lt;&gt;"etf",_xll.YCP("M:"&amp; $A413,"quarterly_total_return",'Database Query'!$E$14))</f>
        <v>ERR: INVALID ASSET</v>
      </c>
      <c r="I413" s="2" t="e" cm="1">
        <f t="array" aca="1" ref="I413" ca="1">-_xll.YCP($E413,"quarterly_return",'Database Query'!$E$14)+H413</f>
        <v>#VALUE!</v>
      </c>
      <c r="J413" s="2" t="str" cm="1">
        <f t="array" aca="1" ref="J413" ca="1">_xlfn.IFS($B413="etf", _xll.YCP($A413,"ytd_total_return",'Database Query'!$E$14),$B413&lt;&gt;"etf",_xll.YCP("M:"&amp; $A413,"ytd_total_return",'Database Query'!$E$14))</f>
        <v>ERR: INVALID ASSET</v>
      </c>
      <c r="K413" s="2" t="e" cm="1">
        <f t="array" aca="1" ref="K413" ca="1">-_xll.YCP($E413,"ytd_return",'Database Query'!$E$14)+J413</f>
        <v>#VALUE!</v>
      </c>
      <c r="L413" s="2" t="str" cm="1">
        <f t="array" aca="1" ref="L413" ca="1">_xlfn.IFS($B413="etf", _xll.YCP($A413,"one_year_total_return",'Database Query'!$E$14),$B413&lt;&gt;"etf",_xll.YCP("M:"&amp; $A413,"one_year_total_return",'Database Query'!$E$14))</f>
        <v>ERR: INVALID ASSET</v>
      </c>
      <c r="M413" s="2" t="e" cm="1">
        <f t="array" aca="1" ref="M413" ca="1">-_xll.YCP($E413,"one_year_return",'Database Query'!$E$14)+L413</f>
        <v>#VALUE!</v>
      </c>
      <c r="N413" s="2" t="str" cm="1">
        <f t="array" aca="1" ref="N413" ca="1">_xlfn.IFS($B413="etf", _xll.YCP($A413,"three_year_total_return",'Database Query'!$E$14),$B413&lt;&gt;"etf",_xll.YCP("M:"&amp; $A413,"three_year_total_return",'Database Query'!$E$14))</f>
        <v>ERR: INVALID ASSET</v>
      </c>
      <c r="O413" s="2" t="e" cm="1">
        <f t="array" aca="1" ref="O413" ca="1">-_xll.YCP($E413,"three_year_return",'Database Query'!$E$14)+N413</f>
        <v>#VALUE!</v>
      </c>
      <c r="P413" s="2" t="str" cm="1">
        <f t="array" aca="1" ref="P413" ca="1">_xlfn.IFS($B413="etf", _xll.YCP($A413,"five_year_total_return",'Database Query'!$E$14),$B413&lt;&gt;"etf",_xll.YCP("M:"&amp; $A413,"five_year_total_return",'Database Query'!$E$14))</f>
        <v>ERR: INVALID ASSET</v>
      </c>
      <c r="Q413" s="2" t="e" cm="1">
        <f t="array" aca="1" ref="Q413" ca="1">-_xll.YCP($E413,"five_year_return",'Database Query'!$E$14)+P413</f>
        <v>#VALUE!</v>
      </c>
    </row>
    <row r="414" spans="2:17" x14ac:dyDescent="0.25">
      <c r="B414" t="str" cm="1">
        <f t="array" aca="1" ref="B414" ca="1">_xll.YCI(A414,"detailed_security_type",TODAY())</f>
        <v/>
      </c>
      <c r="C414" t="str" cm="1">
        <f t="array" aca="1" ref="C414" ca="1">_xlfn.IFS(B414="etf", _xll.YCI(A414, "security_name",TODAY()),B414&lt;&gt;"etf",_xll.YCI("M:" &amp; A414, "security_name",TODAY()))</f>
        <v>ERR: INVALID ASSET</v>
      </c>
      <c r="D414" t="str" cm="1">
        <f t="array" aca="1" ref="D414" ca="1">_xlfn.IFS($B414="etf", _xll.YCI($A414, "ycharts_benchmark_category",TODAY()),$B414&lt;&gt;"etf",_xll.YCI("M:" &amp; $A414, "ycharts_benchmark_category",TODAY()))</f>
        <v>ERR: INVALID ASSET</v>
      </c>
      <c r="E414" t="str" cm="1">
        <f t="array" aca="1" ref="E414" ca="1">_xlfn.IFS($B414="etf", _xll.YCI($A414, "ycharts_benchmark_index_symbol",TODAY()),$B414&lt;&gt;"etf",_xll.YCI("M:" &amp; $A414, "ycharts_benchmark_index_symbol",TODAY()))</f>
        <v>ERR: INVALID ASSET</v>
      </c>
      <c r="F414" t="str" cm="1">
        <f t="array" aca="1" ref="F414" ca="1">_xlfn.IFS($B414="etf", _xll.YCI($E414, "security_name",TODAY()),$B414&lt;&gt;"etf",_xll.YCI( $E414, "security_name",TODAY()))</f>
        <v>ERR: INVALID ASSET</v>
      </c>
      <c r="G414" t="str" cm="1">
        <f t="array" aca="1" ref="G414" ca="1">_xlfn.IFS($B414="etf", _xll.YCI($A414, "prospectus_benchmark_index",TODAY()),$B414&lt;&gt;"etf",_xll.YCI("M:" &amp; $A414, "prospectus_benchmark_index",TODAY()))</f>
        <v>ERR: INVALID ASSET</v>
      </c>
      <c r="H414" s="2" t="str" cm="1">
        <f t="array" aca="1" ref="H414" ca="1">_xlfn.IFS($B414="etf", _xll.YCP($A414,"quarterly_total_return",'Database Query'!$E$14),$B414&lt;&gt;"etf",_xll.YCP("M:"&amp; $A414,"quarterly_total_return",'Database Query'!$E$14))</f>
        <v>ERR: INVALID ASSET</v>
      </c>
      <c r="I414" s="2" t="e" cm="1">
        <f t="array" aca="1" ref="I414" ca="1">-_xll.YCP($E414,"quarterly_return",'Database Query'!$E$14)+H414</f>
        <v>#VALUE!</v>
      </c>
      <c r="J414" s="2" t="str" cm="1">
        <f t="array" aca="1" ref="J414" ca="1">_xlfn.IFS($B414="etf", _xll.YCP($A414,"ytd_total_return",'Database Query'!$E$14),$B414&lt;&gt;"etf",_xll.YCP("M:"&amp; $A414,"ytd_total_return",'Database Query'!$E$14))</f>
        <v>ERR: INVALID ASSET</v>
      </c>
      <c r="K414" s="2" t="e" cm="1">
        <f t="array" aca="1" ref="K414" ca="1">-_xll.YCP($E414,"ytd_return",'Database Query'!$E$14)+J414</f>
        <v>#VALUE!</v>
      </c>
      <c r="L414" s="2" t="str" cm="1">
        <f t="array" aca="1" ref="L414" ca="1">_xlfn.IFS($B414="etf", _xll.YCP($A414,"one_year_total_return",'Database Query'!$E$14),$B414&lt;&gt;"etf",_xll.YCP("M:"&amp; $A414,"one_year_total_return",'Database Query'!$E$14))</f>
        <v>ERR: INVALID ASSET</v>
      </c>
      <c r="M414" s="2" t="e" cm="1">
        <f t="array" aca="1" ref="M414" ca="1">-_xll.YCP($E414,"one_year_return",'Database Query'!$E$14)+L414</f>
        <v>#VALUE!</v>
      </c>
      <c r="N414" s="2" t="str" cm="1">
        <f t="array" aca="1" ref="N414" ca="1">_xlfn.IFS($B414="etf", _xll.YCP($A414,"three_year_total_return",'Database Query'!$E$14),$B414&lt;&gt;"etf",_xll.YCP("M:"&amp; $A414,"three_year_total_return",'Database Query'!$E$14))</f>
        <v>ERR: INVALID ASSET</v>
      </c>
      <c r="O414" s="2" t="e" cm="1">
        <f t="array" aca="1" ref="O414" ca="1">-_xll.YCP($E414,"three_year_return",'Database Query'!$E$14)+N414</f>
        <v>#VALUE!</v>
      </c>
      <c r="P414" s="2" t="str" cm="1">
        <f t="array" aca="1" ref="P414" ca="1">_xlfn.IFS($B414="etf", _xll.YCP($A414,"five_year_total_return",'Database Query'!$E$14),$B414&lt;&gt;"etf",_xll.YCP("M:"&amp; $A414,"five_year_total_return",'Database Query'!$E$14))</f>
        <v>ERR: INVALID ASSET</v>
      </c>
      <c r="Q414" s="2" t="e" cm="1">
        <f t="array" aca="1" ref="Q414" ca="1">-_xll.YCP($E414,"five_year_return",'Database Query'!$E$14)+P414</f>
        <v>#VALUE!</v>
      </c>
    </row>
    <row r="415" spans="2:17" x14ac:dyDescent="0.25">
      <c r="B415" t="str" cm="1">
        <f t="array" aca="1" ref="B415" ca="1">_xll.YCI(A415,"detailed_security_type",TODAY())</f>
        <v/>
      </c>
      <c r="C415" t="str" cm="1">
        <f t="array" aca="1" ref="C415" ca="1">_xlfn.IFS(B415="etf", _xll.YCI(A415, "security_name",TODAY()),B415&lt;&gt;"etf",_xll.YCI("M:" &amp; A415, "security_name",TODAY()))</f>
        <v>ERR: INVALID ASSET</v>
      </c>
      <c r="D415" t="str" cm="1">
        <f t="array" aca="1" ref="D415" ca="1">_xlfn.IFS($B415="etf", _xll.YCI($A415, "ycharts_benchmark_category",TODAY()),$B415&lt;&gt;"etf",_xll.YCI("M:" &amp; $A415, "ycharts_benchmark_category",TODAY()))</f>
        <v>ERR: INVALID ASSET</v>
      </c>
      <c r="E415" t="str" cm="1">
        <f t="array" aca="1" ref="E415" ca="1">_xlfn.IFS($B415="etf", _xll.YCI($A415, "ycharts_benchmark_index_symbol",TODAY()),$B415&lt;&gt;"etf",_xll.YCI("M:" &amp; $A415, "ycharts_benchmark_index_symbol",TODAY()))</f>
        <v>ERR: INVALID ASSET</v>
      </c>
      <c r="F415" t="str" cm="1">
        <f t="array" aca="1" ref="F415" ca="1">_xlfn.IFS($B415="etf", _xll.YCI($E415, "security_name",TODAY()),$B415&lt;&gt;"etf",_xll.YCI( $E415, "security_name",TODAY()))</f>
        <v>ERR: INVALID ASSET</v>
      </c>
      <c r="G415" t="str" cm="1">
        <f t="array" aca="1" ref="G415" ca="1">_xlfn.IFS($B415="etf", _xll.YCI($A415, "prospectus_benchmark_index",TODAY()),$B415&lt;&gt;"etf",_xll.YCI("M:" &amp; $A415, "prospectus_benchmark_index",TODAY()))</f>
        <v>ERR: INVALID ASSET</v>
      </c>
      <c r="H415" s="2" t="str" cm="1">
        <f t="array" aca="1" ref="H415" ca="1">_xlfn.IFS($B415="etf", _xll.YCP($A415,"quarterly_total_return",'Database Query'!$E$14),$B415&lt;&gt;"etf",_xll.YCP("M:"&amp; $A415,"quarterly_total_return",'Database Query'!$E$14))</f>
        <v>ERR: INVALID ASSET</v>
      </c>
      <c r="I415" s="2" t="e" cm="1">
        <f t="array" aca="1" ref="I415" ca="1">-_xll.YCP($E415,"quarterly_return",'Database Query'!$E$14)+H415</f>
        <v>#VALUE!</v>
      </c>
      <c r="J415" s="2" t="str" cm="1">
        <f t="array" aca="1" ref="J415" ca="1">_xlfn.IFS($B415="etf", _xll.YCP($A415,"ytd_total_return",'Database Query'!$E$14),$B415&lt;&gt;"etf",_xll.YCP("M:"&amp; $A415,"ytd_total_return",'Database Query'!$E$14))</f>
        <v>ERR: INVALID ASSET</v>
      </c>
      <c r="K415" s="2" t="e" cm="1">
        <f t="array" aca="1" ref="K415" ca="1">-_xll.YCP($E415,"ytd_return",'Database Query'!$E$14)+J415</f>
        <v>#VALUE!</v>
      </c>
      <c r="L415" s="2" t="str" cm="1">
        <f t="array" aca="1" ref="L415" ca="1">_xlfn.IFS($B415="etf", _xll.YCP($A415,"one_year_total_return",'Database Query'!$E$14),$B415&lt;&gt;"etf",_xll.YCP("M:"&amp; $A415,"one_year_total_return",'Database Query'!$E$14))</f>
        <v>ERR: INVALID ASSET</v>
      </c>
      <c r="M415" s="2" t="e" cm="1">
        <f t="array" aca="1" ref="M415" ca="1">-_xll.YCP($E415,"one_year_return",'Database Query'!$E$14)+L415</f>
        <v>#VALUE!</v>
      </c>
      <c r="N415" s="2" t="str" cm="1">
        <f t="array" aca="1" ref="N415" ca="1">_xlfn.IFS($B415="etf", _xll.YCP($A415,"three_year_total_return",'Database Query'!$E$14),$B415&lt;&gt;"etf",_xll.YCP("M:"&amp; $A415,"three_year_total_return",'Database Query'!$E$14))</f>
        <v>ERR: INVALID ASSET</v>
      </c>
      <c r="O415" s="2" t="e" cm="1">
        <f t="array" aca="1" ref="O415" ca="1">-_xll.YCP($E415,"three_year_return",'Database Query'!$E$14)+N415</f>
        <v>#VALUE!</v>
      </c>
      <c r="P415" s="2" t="str" cm="1">
        <f t="array" aca="1" ref="P415" ca="1">_xlfn.IFS($B415="etf", _xll.YCP($A415,"five_year_total_return",'Database Query'!$E$14),$B415&lt;&gt;"etf",_xll.YCP("M:"&amp; $A415,"five_year_total_return",'Database Query'!$E$14))</f>
        <v>ERR: INVALID ASSET</v>
      </c>
      <c r="Q415" s="2" t="e" cm="1">
        <f t="array" aca="1" ref="Q415" ca="1">-_xll.YCP($E415,"five_year_return",'Database Query'!$E$14)+P415</f>
        <v>#VALUE!</v>
      </c>
    </row>
    <row r="416" spans="2:17" x14ac:dyDescent="0.25">
      <c r="B416" t="str" cm="1">
        <f t="array" aca="1" ref="B416" ca="1">_xll.YCI(A416,"detailed_security_type",TODAY())</f>
        <v/>
      </c>
      <c r="C416" t="str" cm="1">
        <f t="array" aca="1" ref="C416" ca="1">_xlfn.IFS(B416="etf", _xll.YCI(A416, "security_name",TODAY()),B416&lt;&gt;"etf",_xll.YCI("M:" &amp; A416, "security_name",TODAY()))</f>
        <v>ERR: INVALID ASSET</v>
      </c>
      <c r="D416" t="str" cm="1">
        <f t="array" aca="1" ref="D416" ca="1">_xlfn.IFS($B416="etf", _xll.YCI($A416, "ycharts_benchmark_category",TODAY()),$B416&lt;&gt;"etf",_xll.YCI("M:" &amp; $A416, "ycharts_benchmark_category",TODAY()))</f>
        <v>ERR: INVALID ASSET</v>
      </c>
      <c r="E416" t="str" cm="1">
        <f t="array" aca="1" ref="E416" ca="1">_xlfn.IFS($B416="etf", _xll.YCI($A416, "ycharts_benchmark_index_symbol",TODAY()),$B416&lt;&gt;"etf",_xll.YCI("M:" &amp; $A416, "ycharts_benchmark_index_symbol",TODAY()))</f>
        <v>ERR: INVALID ASSET</v>
      </c>
      <c r="F416" t="str" cm="1">
        <f t="array" aca="1" ref="F416" ca="1">_xlfn.IFS($B416="etf", _xll.YCI($E416, "security_name",TODAY()),$B416&lt;&gt;"etf",_xll.YCI( $E416, "security_name",TODAY()))</f>
        <v>ERR: INVALID ASSET</v>
      </c>
      <c r="G416" t="str" cm="1">
        <f t="array" aca="1" ref="G416" ca="1">_xlfn.IFS($B416="etf", _xll.YCI($A416, "prospectus_benchmark_index",TODAY()),$B416&lt;&gt;"etf",_xll.YCI("M:" &amp; $A416, "prospectus_benchmark_index",TODAY()))</f>
        <v>ERR: INVALID ASSET</v>
      </c>
      <c r="H416" s="2" t="str" cm="1">
        <f t="array" aca="1" ref="H416" ca="1">_xlfn.IFS($B416="etf", _xll.YCP($A416,"quarterly_total_return",'Database Query'!$E$14),$B416&lt;&gt;"etf",_xll.YCP("M:"&amp; $A416,"quarterly_total_return",'Database Query'!$E$14))</f>
        <v>ERR: INVALID ASSET</v>
      </c>
      <c r="I416" s="2" t="e" cm="1">
        <f t="array" aca="1" ref="I416" ca="1">-_xll.YCP($E416,"quarterly_return",'Database Query'!$E$14)+H416</f>
        <v>#VALUE!</v>
      </c>
      <c r="J416" s="2" t="str" cm="1">
        <f t="array" aca="1" ref="J416" ca="1">_xlfn.IFS($B416="etf", _xll.YCP($A416,"ytd_total_return",'Database Query'!$E$14),$B416&lt;&gt;"etf",_xll.YCP("M:"&amp; $A416,"ytd_total_return",'Database Query'!$E$14))</f>
        <v>ERR: INVALID ASSET</v>
      </c>
      <c r="K416" s="2" t="e" cm="1">
        <f t="array" aca="1" ref="K416" ca="1">-_xll.YCP($E416,"ytd_return",'Database Query'!$E$14)+J416</f>
        <v>#VALUE!</v>
      </c>
      <c r="L416" s="2" t="str" cm="1">
        <f t="array" aca="1" ref="L416" ca="1">_xlfn.IFS($B416="etf", _xll.YCP($A416,"one_year_total_return",'Database Query'!$E$14),$B416&lt;&gt;"etf",_xll.YCP("M:"&amp; $A416,"one_year_total_return",'Database Query'!$E$14))</f>
        <v>ERR: INVALID ASSET</v>
      </c>
      <c r="M416" s="2" t="e" cm="1">
        <f t="array" aca="1" ref="M416" ca="1">-_xll.YCP($E416,"one_year_return",'Database Query'!$E$14)+L416</f>
        <v>#VALUE!</v>
      </c>
      <c r="N416" s="2" t="str" cm="1">
        <f t="array" aca="1" ref="N416" ca="1">_xlfn.IFS($B416="etf", _xll.YCP($A416,"three_year_total_return",'Database Query'!$E$14),$B416&lt;&gt;"etf",_xll.YCP("M:"&amp; $A416,"three_year_total_return",'Database Query'!$E$14))</f>
        <v>ERR: INVALID ASSET</v>
      </c>
      <c r="O416" s="2" t="e" cm="1">
        <f t="array" aca="1" ref="O416" ca="1">-_xll.YCP($E416,"three_year_return",'Database Query'!$E$14)+N416</f>
        <v>#VALUE!</v>
      </c>
      <c r="P416" s="2" t="str" cm="1">
        <f t="array" aca="1" ref="P416" ca="1">_xlfn.IFS($B416="etf", _xll.YCP($A416,"five_year_total_return",'Database Query'!$E$14),$B416&lt;&gt;"etf",_xll.YCP("M:"&amp; $A416,"five_year_total_return",'Database Query'!$E$14))</f>
        <v>ERR: INVALID ASSET</v>
      </c>
      <c r="Q416" s="2" t="e" cm="1">
        <f t="array" aca="1" ref="Q416" ca="1">-_xll.YCP($E416,"five_year_return",'Database Query'!$E$14)+P416</f>
        <v>#VALUE!</v>
      </c>
    </row>
    <row r="417" spans="2:17" x14ac:dyDescent="0.25">
      <c r="B417" t="str" cm="1">
        <f t="array" aca="1" ref="B417" ca="1">_xll.YCI(A417,"detailed_security_type",TODAY())</f>
        <v/>
      </c>
      <c r="C417" t="str" cm="1">
        <f t="array" aca="1" ref="C417" ca="1">_xlfn.IFS(B417="etf", _xll.YCI(A417, "security_name",TODAY()),B417&lt;&gt;"etf",_xll.YCI("M:" &amp; A417, "security_name",TODAY()))</f>
        <v>ERR: INVALID ASSET</v>
      </c>
      <c r="D417" t="str" cm="1">
        <f t="array" aca="1" ref="D417" ca="1">_xlfn.IFS($B417="etf", _xll.YCI($A417, "ycharts_benchmark_category",TODAY()),$B417&lt;&gt;"etf",_xll.YCI("M:" &amp; $A417, "ycharts_benchmark_category",TODAY()))</f>
        <v>ERR: INVALID ASSET</v>
      </c>
      <c r="E417" t="str" cm="1">
        <f t="array" aca="1" ref="E417" ca="1">_xlfn.IFS($B417="etf", _xll.YCI($A417, "ycharts_benchmark_index_symbol",TODAY()),$B417&lt;&gt;"etf",_xll.YCI("M:" &amp; $A417, "ycharts_benchmark_index_symbol",TODAY()))</f>
        <v>ERR: INVALID ASSET</v>
      </c>
      <c r="F417" t="str" cm="1">
        <f t="array" aca="1" ref="F417" ca="1">_xlfn.IFS($B417="etf", _xll.YCI($E417, "security_name",TODAY()),$B417&lt;&gt;"etf",_xll.YCI( $E417, "security_name",TODAY()))</f>
        <v>ERR: INVALID ASSET</v>
      </c>
      <c r="G417" t="str" cm="1">
        <f t="array" aca="1" ref="G417" ca="1">_xlfn.IFS($B417="etf", _xll.YCI($A417, "prospectus_benchmark_index",TODAY()),$B417&lt;&gt;"etf",_xll.YCI("M:" &amp; $A417, "prospectus_benchmark_index",TODAY()))</f>
        <v>ERR: INVALID ASSET</v>
      </c>
      <c r="H417" s="2" t="str" cm="1">
        <f t="array" aca="1" ref="H417" ca="1">_xlfn.IFS($B417="etf", _xll.YCP($A417,"quarterly_total_return",'Database Query'!$E$14),$B417&lt;&gt;"etf",_xll.YCP("M:"&amp; $A417,"quarterly_total_return",'Database Query'!$E$14))</f>
        <v>ERR: INVALID ASSET</v>
      </c>
      <c r="I417" s="2" t="e" cm="1">
        <f t="array" aca="1" ref="I417" ca="1">-_xll.YCP($E417,"quarterly_return",'Database Query'!$E$14)+H417</f>
        <v>#VALUE!</v>
      </c>
      <c r="J417" s="2" t="str" cm="1">
        <f t="array" aca="1" ref="J417" ca="1">_xlfn.IFS($B417="etf", _xll.YCP($A417,"ytd_total_return",'Database Query'!$E$14),$B417&lt;&gt;"etf",_xll.YCP("M:"&amp; $A417,"ytd_total_return",'Database Query'!$E$14))</f>
        <v>ERR: INVALID ASSET</v>
      </c>
      <c r="K417" s="2" t="e" cm="1">
        <f t="array" aca="1" ref="K417" ca="1">-_xll.YCP($E417,"ytd_return",'Database Query'!$E$14)+J417</f>
        <v>#VALUE!</v>
      </c>
      <c r="L417" s="2" t="str" cm="1">
        <f t="array" aca="1" ref="L417" ca="1">_xlfn.IFS($B417="etf", _xll.YCP($A417,"one_year_total_return",'Database Query'!$E$14),$B417&lt;&gt;"etf",_xll.YCP("M:"&amp; $A417,"one_year_total_return",'Database Query'!$E$14))</f>
        <v>ERR: INVALID ASSET</v>
      </c>
      <c r="M417" s="2" t="e" cm="1">
        <f t="array" aca="1" ref="M417" ca="1">-_xll.YCP($E417,"one_year_return",'Database Query'!$E$14)+L417</f>
        <v>#VALUE!</v>
      </c>
      <c r="N417" s="2" t="str" cm="1">
        <f t="array" aca="1" ref="N417" ca="1">_xlfn.IFS($B417="etf", _xll.YCP($A417,"three_year_total_return",'Database Query'!$E$14),$B417&lt;&gt;"etf",_xll.YCP("M:"&amp; $A417,"three_year_total_return",'Database Query'!$E$14))</f>
        <v>ERR: INVALID ASSET</v>
      </c>
      <c r="O417" s="2" t="e" cm="1">
        <f t="array" aca="1" ref="O417" ca="1">-_xll.YCP($E417,"three_year_return",'Database Query'!$E$14)+N417</f>
        <v>#VALUE!</v>
      </c>
      <c r="P417" s="2" t="str" cm="1">
        <f t="array" aca="1" ref="P417" ca="1">_xlfn.IFS($B417="etf", _xll.YCP($A417,"five_year_total_return",'Database Query'!$E$14),$B417&lt;&gt;"etf",_xll.YCP("M:"&amp; $A417,"five_year_total_return",'Database Query'!$E$14))</f>
        <v>ERR: INVALID ASSET</v>
      </c>
      <c r="Q417" s="2" t="e" cm="1">
        <f t="array" aca="1" ref="Q417" ca="1">-_xll.YCP($E417,"five_year_return",'Database Query'!$E$14)+P417</f>
        <v>#VALUE!</v>
      </c>
    </row>
    <row r="418" spans="2:17" x14ac:dyDescent="0.25">
      <c r="B418" t="str" cm="1">
        <f t="array" aca="1" ref="B418" ca="1">_xll.YCI(A418,"detailed_security_type",TODAY())</f>
        <v/>
      </c>
      <c r="C418" t="str" cm="1">
        <f t="array" aca="1" ref="C418" ca="1">_xlfn.IFS(B418="etf", _xll.YCI(A418, "security_name",TODAY()),B418&lt;&gt;"etf",_xll.YCI("M:" &amp; A418, "security_name",TODAY()))</f>
        <v>ERR: INVALID ASSET</v>
      </c>
      <c r="D418" t="str" cm="1">
        <f t="array" aca="1" ref="D418" ca="1">_xlfn.IFS($B418="etf", _xll.YCI($A418, "ycharts_benchmark_category",TODAY()),$B418&lt;&gt;"etf",_xll.YCI("M:" &amp; $A418, "ycharts_benchmark_category",TODAY()))</f>
        <v>ERR: INVALID ASSET</v>
      </c>
      <c r="E418" t="str" cm="1">
        <f t="array" aca="1" ref="E418" ca="1">_xlfn.IFS($B418="etf", _xll.YCI($A418, "ycharts_benchmark_index_symbol",TODAY()),$B418&lt;&gt;"etf",_xll.YCI("M:" &amp; $A418, "ycharts_benchmark_index_symbol",TODAY()))</f>
        <v>ERR: INVALID ASSET</v>
      </c>
      <c r="F418" t="str" cm="1">
        <f t="array" aca="1" ref="F418" ca="1">_xlfn.IFS($B418="etf", _xll.YCI($E418, "security_name",TODAY()),$B418&lt;&gt;"etf",_xll.YCI( $E418, "security_name",TODAY()))</f>
        <v>ERR: INVALID ASSET</v>
      </c>
      <c r="G418" t="str" cm="1">
        <f t="array" aca="1" ref="G418" ca="1">_xlfn.IFS($B418="etf", _xll.YCI($A418, "prospectus_benchmark_index",TODAY()),$B418&lt;&gt;"etf",_xll.YCI("M:" &amp; $A418, "prospectus_benchmark_index",TODAY()))</f>
        <v>ERR: INVALID ASSET</v>
      </c>
      <c r="H418" s="2" t="str" cm="1">
        <f t="array" aca="1" ref="H418" ca="1">_xlfn.IFS($B418="etf", _xll.YCP($A418,"quarterly_total_return",'Database Query'!$E$14),$B418&lt;&gt;"etf",_xll.YCP("M:"&amp; $A418,"quarterly_total_return",'Database Query'!$E$14))</f>
        <v>ERR: INVALID ASSET</v>
      </c>
      <c r="I418" s="2" t="e" cm="1">
        <f t="array" aca="1" ref="I418" ca="1">-_xll.YCP($E418,"quarterly_return",'Database Query'!$E$14)+H418</f>
        <v>#VALUE!</v>
      </c>
      <c r="J418" s="2" t="str" cm="1">
        <f t="array" aca="1" ref="J418" ca="1">_xlfn.IFS($B418="etf", _xll.YCP($A418,"ytd_total_return",'Database Query'!$E$14),$B418&lt;&gt;"etf",_xll.YCP("M:"&amp; $A418,"ytd_total_return",'Database Query'!$E$14))</f>
        <v>ERR: INVALID ASSET</v>
      </c>
      <c r="K418" s="2" t="e" cm="1">
        <f t="array" aca="1" ref="K418" ca="1">-_xll.YCP($E418,"ytd_return",'Database Query'!$E$14)+J418</f>
        <v>#VALUE!</v>
      </c>
      <c r="L418" s="2" t="str" cm="1">
        <f t="array" aca="1" ref="L418" ca="1">_xlfn.IFS($B418="etf", _xll.YCP($A418,"one_year_total_return",'Database Query'!$E$14),$B418&lt;&gt;"etf",_xll.YCP("M:"&amp; $A418,"one_year_total_return",'Database Query'!$E$14))</f>
        <v>ERR: INVALID ASSET</v>
      </c>
      <c r="M418" s="2" t="e" cm="1">
        <f t="array" aca="1" ref="M418" ca="1">-_xll.YCP($E418,"one_year_return",'Database Query'!$E$14)+L418</f>
        <v>#VALUE!</v>
      </c>
      <c r="N418" s="2" t="str" cm="1">
        <f t="array" aca="1" ref="N418" ca="1">_xlfn.IFS($B418="etf", _xll.YCP($A418,"three_year_total_return",'Database Query'!$E$14),$B418&lt;&gt;"etf",_xll.YCP("M:"&amp; $A418,"three_year_total_return",'Database Query'!$E$14))</f>
        <v>ERR: INVALID ASSET</v>
      </c>
      <c r="O418" s="2" t="e" cm="1">
        <f t="array" aca="1" ref="O418" ca="1">-_xll.YCP($E418,"three_year_return",'Database Query'!$E$14)+N418</f>
        <v>#VALUE!</v>
      </c>
      <c r="P418" s="2" t="str" cm="1">
        <f t="array" aca="1" ref="P418" ca="1">_xlfn.IFS($B418="etf", _xll.YCP($A418,"five_year_total_return",'Database Query'!$E$14),$B418&lt;&gt;"etf",_xll.YCP("M:"&amp; $A418,"five_year_total_return",'Database Query'!$E$14))</f>
        <v>ERR: INVALID ASSET</v>
      </c>
      <c r="Q418" s="2" t="e" cm="1">
        <f t="array" aca="1" ref="Q418" ca="1">-_xll.YCP($E418,"five_year_return",'Database Query'!$E$14)+P418</f>
        <v>#VALUE!</v>
      </c>
    </row>
    <row r="419" spans="2:17" x14ac:dyDescent="0.25">
      <c r="B419" t="str" cm="1">
        <f t="array" aca="1" ref="B419" ca="1">_xll.YCI(A419,"detailed_security_type",TODAY())</f>
        <v/>
      </c>
      <c r="C419" t="str" cm="1">
        <f t="array" aca="1" ref="C419" ca="1">_xlfn.IFS(B419="etf", _xll.YCI(A419, "security_name",TODAY()),B419&lt;&gt;"etf",_xll.YCI("M:" &amp; A419, "security_name",TODAY()))</f>
        <v>ERR: INVALID ASSET</v>
      </c>
      <c r="D419" t="str" cm="1">
        <f t="array" aca="1" ref="D419" ca="1">_xlfn.IFS($B419="etf", _xll.YCI($A419, "ycharts_benchmark_category",TODAY()),$B419&lt;&gt;"etf",_xll.YCI("M:" &amp; $A419, "ycharts_benchmark_category",TODAY()))</f>
        <v>ERR: INVALID ASSET</v>
      </c>
      <c r="E419" t="str" cm="1">
        <f t="array" aca="1" ref="E419" ca="1">_xlfn.IFS($B419="etf", _xll.YCI($A419, "ycharts_benchmark_index_symbol",TODAY()),$B419&lt;&gt;"etf",_xll.YCI("M:" &amp; $A419, "ycharts_benchmark_index_symbol",TODAY()))</f>
        <v>ERR: INVALID ASSET</v>
      </c>
      <c r="F419" t="str" cm="1">
        <f t="array" aca="1" ref="F419" ca="1">_xlfn.IFS($B419="etf", _xll.YCI($E419, "security_name",TODAY()),$B419&lt;&gt;"etf",_xll.YCI( $E419, "security_name",TODAY()))</f>
        <v>ERR: INVALID ASSET</v>
      </c>
      <c r="G419" t="str" cm="1">
        <f t="array" aca="1" ref="G419" ca="1">_xlfn.IFS($B419="etf", _xll.YCI($A419, "prospectus_benchmark_index",TODAY()),$B419&lt;&gt;"etf",_xll.YCI("M:" &amp; $A419, "prospectus_benchmark_index",TODAY()))</f>
        <v>ERR: INVALID ASSET</v>
      </c>
      <c r="H419" s="2" t="str" cm="1">
        <f t="array" aca="1" ref="H419" ca="1">_xlfn.IFS($B419="etf", _xll.YCP($A419,"quarterly_total_return",'Database Query'!$E$14),$B419&lt;&gt;"etf",_xll.YCP("M:"&amp; $A419,"quarterly_total_return",'Database Query'!$E$14))</f>
        <v>ERR: INVALID ASSET</v>
      </c>
      <c r="I419" s="2" t="e" cm="1">
        <f t="array" aca="1" ref="I419" ca="1">-_xll.YCP($E419,"quarterly_return",'Database Query'!$E$14)+H419</f>
        <v>#VALUE!</v>
      </c>
      <c r="J419" s="2" t="str" cm="1">
        <f t="array" aca="1" ref="J419" ca="1">_xlfn.IFS($B419="etf", _xll.YCP($A419,"ytd_total_return",'Database Query'!$E$14),$B419&lt;&gt;"etf",_xll.YCP("M:"&amp; $A419,"ytd_total_return",'Database Query'!$E$14))</f>
        <v>ERR: INVALID ASSET</v>
      </c>
      <c r="K419" s="2" t="e" cm="1">
        <f t="array" aca="1" ref="K419" ca="1">-_xll.YCP($E419,"ytd_return",'Database Query'!$E$14)+J419</f>
        <v>#VALUE!</v>
      </c>
      <c r="L419" s="2" t="str" cm="1">
        <f t="array" aca="1" ref="L419" ca="1">_xlfn.IFS($B419="etf", _xll.YCP($A419,"one_year_total_return",'Database Query'!$E$14),$B419&lt;&gt;"etf",_xll.YCP("M:"&amp; $A419,"one_year_total_return",'Database Query'!$E$14))</f>
        <v>ERR: INVALID ASSET</v>
      </c>
      <c r="M419" s="2" t="e" cm="1">
        <f t="array" aca="1" ref="M419" ca="1">-_xll.YCP($E419,"one_year_return",'Database Query'!$E$14)+L419</f>
        <v>#VALUE!</v>
      </c>
      <c r="N419" s="2" t="str" cm="1">
        <f t="array" aca="1" ref="N419" ca="1">_xlfn.IFS($B419="etf", _xll.YCP($A419,"three_year_total_return",'Database Query'!$E$14),$B419&lt;&gt;"etf",_xll.YCP("M:"&amp; $A419,"three_year_total_return",'Database Query'!$E$14))</f>
        <v>ERR: INVALID ASSET</v>
      </c>
      <c r="O419" s="2" t="e" cm="1">
        <f t="array" aca="1" ref="O419" ca="1">-_xll.YCP($E419,"three_year_return",'Database Query'!$E$14)+N419</f>
        <v>#VALUE!</v>
      </c>
      <c r="P419" s="2" t="str" cm="1">
        <f t="array" aca="1" ref="P419" ca="1">_xlfn.IFS($B419="etf", _xll.YCP($A419,"five_year_total_return",'Database Query'!$E$14),$B419&lt;&gt;"etf",_xll.YCP("M:"&amp; $A419,"five_year_total_return",'Database Query'!$E$14))</f>
        <v>ERR: INVALID ASSET</v>
      </c>
      <c r="Q419" s="2" t="e" cm="1">
        <f t="array" aca="1" ref="Q419" ca="1">-_xll.YCP($E419,"five_year_return",'Database Query'!$E$14)+P419</f>
        <v>#VALUE!</v>
      </c>
    </row>
    <row r="420" spans="2:17" x14ac:dyDescent="0.25">
      <c r="B420" t="str" cm="1">
        <f t="array" aca="1" ref="B420" ca="1">_xll.YCI(A420,"detailed_security_type",TODAY())</f>
        <v/>
      </c>
      <c r="C420" t="str" cm="1">
        <f t="array" aca="1" ref="C420" ca="1">_xlfn.IFS(B420="etf", _xll.YCI(A420, "security_name",TODAY()),B420&lt;&gt;"etf",_xll.YCI("M:" &amp; A420, "security_name",TODAY()))</f>
        <v>ERR: INVALID ASSET</v>
      </c>
      <c r="D420" t="str" cm="1">
        <f t="array" aca="1" ref="D420" ca="1">_xlfn.IFS($B420="etf", _xll.YCI($A420, "ycharts_benchmark_category",TODAY()),$B420&lt;&gt;"etf",_xll.YCI("M:" &amp; $A420, "ycharts_benchmark_category",TODAY()))</f>
        <v>ERR: INVALID ASSET</v>
      </c>
      <c r="E420" t="str" cm="1">
        <f t="array" aca="1" ref="E420" ca="1">_xlfn.IFS($B420="etf", _xll.YCI($A420, "ycharts_benchmark_index_symbol",TODAY()),$B420&lt;&gt;"etf",_xll.YCI("M:" &amp; $A420, "ycharts_benchmark_index_symbol",TODAY()))</f>
        <v>ERR: INVALID ASSET</v>
      </c>
      <c r="F420" t="str" cm="1">
        <f t="array" aca="1" ref="F420" ca="1">_xlfn.IFS($B420="etf", _xll.YCI($E420, "security_name",TODAY()),$B420&lt;&gt;"etf",_xll.YCI( $E420, "security_name",TODAY()))</f>
        <v>ERR: INVALID ASSET</v>
      </c>
      <c r="G420" t="str" cm="1">
        <f t="array" aca="1" ref="G420" ca="1">_xlfn.IFS($B420="etf", _xll.YCI($A420, "prospectus_benchmark_index",TODAY()),$B420&lt;&gt;"etf",_xll.YCI("M:" &amp; $A420, "prospectus_benchmark_index",TODAY()))</f>
        <v>ERR: INVALID ASSET</v>
      </c>
      <c r="H420" s="2" t="str" cm="1">
        <f t="array" aca="1" ref="H420" ca="1">_xlfn.IFS($B420="etf", _xll.YCP($A420,"quarterly_total_return",'Database Query'!$E$14),$B420&lt;&gt;"etf",_xll.YCP("M:"&amp; $A420,"quarterly_total_return",'Database Query'!$E$14))</f>
        <v>ERR: INVALID ASSET</v>
      </c>
      <c r="I420" s="2" t="e" cm="1">
        <f t="array" aca="1" ref="I420" ca="1">-_xll.YCP($E420,"quarterly_return",'Database Query'!$E$14)+H420</f>
        <v>#VALUE!</v>
      </c>
      <c r="J420" s="2" t="str" cm="1">
        <f t="array" aca="1" ref="J420" ca="1">_xlfn.IFS($B420="etf", _xll.YCP($A420,"ytd_total_return",'Database Query'!$E$14),$B420&lt;&gt;"etf",_xll.YCP("M:"&amp; $A420,"ytd_total_return",'Database Query'!$E$14))</f>
        <v>ERR: INVALID ASSET</v>
      </c>
      <c r="K420" s="2" t="e" cm="1">
        <f t="array" aca="1" ref="K420" ca="1">-_xll.YCP($E420,"ytd_return",'Database Query'!$E$14)+J420</f>
        <v>#VALUE!</v>
      </c>
      <c r="L420" s="2" t="str" cm="1">
        <f t="array" aca="1" ref="L420" ca="1">_xlfn.IFS($B420="etf", _xll.YCP($A420,"one_year_total_return",'Database Query'!$E$14),$B420&lt;&gt;"etf",_xll.YCP("M:"&amp; $A420,"one_year_total_return",'Database Query'!$E$14))</f>
        <v>ERR: INVALID ASSET</v>
      </c>
      <c r="M420" s="2" t="e" cm="1">
        <f t="array" aca="1" ref="M420" ca="1">-_xll.YCP($E420,"one_year_return",'Database Query'!$E$14)+L420</f>
        <v>#VALUE!</v>
      </c>
      <c r="N420" s="2" t="str" cm="1">
        <f t="array" aca="1" ref="N420" ca="1">_xlfn.IFS($B420="etf", _xll.YCP($A420,"three_year_total_return",'Database Query'!$E$14),$B420&lt;&gt;"etf",_xll.YCP("M:"&amp; $A420,"three_year_total_return",'Database Query'!$E$14))</f>
        <v>ERR: INVALID ASSET</v>
      </c>
      <c r="O420" s="2" t="e" cm="1">
        <f t="array" aca="1" ref="O420" ca="1">-_xll.YCP($E420,"three_year_return",'Database Query'!$E$14)+N420</f>
        <v>#VALUE!</v>
      </c>
      <c r="P420" s="2" t="str" cm="1">
        <f t="array" aca="1" ref="P420" ca="1">_xlfn.IFS($B420="etf", _xll.YCP($A420,"five_year_total_return",'Database Query'!$E$14),$B420&lt;&gt;"etf",_xll.YCP("M:"&amp; $A420,"five_year_total_return",'Database Query'!$E$14))</f>
        <v>ERR: INVALID ASSET</v>
      </c>
      <c r="Q420" s="2" t="e" cm="1">
        <f t="array" aca="1" ref="Q420" ca="1">-_xll.YCP($E420,"five_year_return",'Database Query'!$E$14)+P420</f>
        <v>#VALUE!</v>
      </c>
    </row>
    <row r="421" spans="2:17" x14ac:dyDescent="0.25">
      <c r="B421" t="str" cm="1">
        <f t="array" aca="1" ref="B421" ca="1">_xll.YCI(A421,"detailed_security_type",TODAY())</f>
        <v/>
      </c>
      <c r="C421" t="str" cm="1">
        <f t="array" aca="1" ref="C421" ca="1">_xlfn.IFS(B421="etf", _xll.YCI(A421, "security_name",TODAY()),B421&lt;&gt;"etf",_xll.YCI("M:" &amp; A421, "security_name",TODAY()))</f>
        <v>ERR: INVALID ASSET</v>
      </c>
      <c r="D421" t="str" cm="1">
        <f t="array" aca="1" ref="D421" ca="1">_xlfn.IFS($B421="etf", _xll.YCI($A421, "ycharts_benchmark_category",TODAY()),$B421&lt;&gt;"etf",_xll.YCI("M:" &amp; $A421, "ycharts_benchmark_category",TODAY()))</f>
        <v>ERR: INVALID ASSET</v>
      </c>
      <c r="E421" t="str" cm="1">
        <f t="array" aca="1" ref="E421" ca="1">_xlfn.IFS($B421="etf", _xll.YCI($A421, "ycharts_benchmark_index_symbol",TODAY()),$B421&lt;&gt;"etf",_xll.YCI("M:" &amp; $A421, "ycharts_benchmark_index_symbol",TODAY()))</f>
        <v>ERR: INVALID ASSET</v>
      </c>
      <c r="F421" t="str" cm="1">
        <f t="array" aca="1" ref="F421" ca="1">_xlfn.IFS($B421="etf", _xll.YCI($E421, "security_name",TODAY()),$B421&lt;&gt;"etf",_xll.YCI( $E421, "security_name",TODAY()))</f>
        <v>ERR: INVALID ASSET</v>
      </c>
      <c r="G421" t="str" cm="1">
        <f t="array" aca="1" ref="G421" ca="1">_xlfn.IFS($B421="etf", _xll.YCI($A421, "prospectus_benchmark_index",TODAY()),$B421&lt;&gt;"etf",_xll.YCI("M:" &amp; $A421, "prospectus_benchmark_index",TODAY()))</f>
        <v>ERR: INVALID ASSET</v>
      </c>
      <c r="H421" s="2" t="str" cm="1">
        <f t="array" aca="1" ref="H421" ca="1">_xlfn.IFS($B421="etf", _xll.YCP($A421,"quarterly_total_return",'Database Query'!$E$14),$B421&lt;&gt;"etf",_xll.YCP("M:"&amp; $A421,"quarterly_total_return",'Database Query'!$E$14))</f>
        <v>ERR: INVALID ASSET</v>
      </c>
      <c r="I421" s="2" t="e" cm="1">
        <f t="array" aca="1" ref="I421" ca="1">-_xll.YCP($E421,"quarterly_return",'Database Query'!$E$14)+H421</f>
        <v>#VALUE!</v>
      </c>
      <c r="J421" s="2" t="str" cm="1">
        <f t="array" aca="1" ref="J421" ca="1">_xlfn.IFS($B421="etf", _xll.YCP($A421,"ytd_total_return",'Database Query'!$E$14),$B421&lt;&gt;"etf",_xll.YCP("M:"&amp; $A421,"ytd_total_return",'Database Query'!$E$14))</f>
        <v>ERR: INVALID ASSET</v>
      </c>
      <c r="K421" s="2" t="e" cm="1">
        <f t="array" aca="1" ref="K421" ca="1">-_xll.YCP($E421,"ytd_return",'Database Query'!$E$14)+J421</f>
        <v>#VALUE!</v>
      </c>
      <c r="L421" s="2" t="str" cm="1">
        <f t="array" aca="1" ref="L421" ca="1">_xlfn.IFS($B421="etf", _xll.YCP($A421,"one_year_total_return",'Database Query'!$E$14),$B421&lt;&gt;"etf",_xll.YCP("M:"&amp; $A421,"one_year_total_return",'Database Query'!$E$14))</f>
        <v>ERR: INVALID ASSET</v>
      </c>
      <c r="M421" s="2" t="e" cm="1">
        <f t="array" aca="1" ref="M421" ca="1">-_xll.YCP($E421,"one_year_return",'Database Query'!$E$14)+L421</f>
        <v>#VALUE!</v>
      </c>
      <c r="N421" s="2" t="str" cm="1">
        <f t="array" aca="1" ref="N421" ca="1">_xlfn.IFS($B421="etf", _xll.YCP($A421,"three_year_total_return",'Database Query'!$E$14),$B421&lt;&gt;"etf",_xll.YCP("M:"&amp; $A421,"three_year_total_return",'Database Query'!$E$14))</f>
        <v>ERR: INVALID ASSET</v>
      </c>
      <c r="O421" s="2" t="e" cm="1">
        <f t="array" aca="1" ref="O421" ca="1">-_xll.YCP($E421,"three_year_return",'Database Query'!$E$14)+N421</f>
        <v>#VALUE!</v>
      </c>
      <c r="P421" s="2" t="str" cm="1">
        <f t="array" aca="1" ref="P421" ca="1">_xlfn.IFS($B421="etf", _xll.YCP($A421,"five_year_total_return",'Database Query'!$E$14),$B421&lt;&gt;"etf",_xll.YCP("M:"&amp; $A421,"five_year_total_return",'Database Query'!$E$14))</f>
        <v>ERR: INVALID ASSET</v>
      </c>
      <c r="Q421" s="2" t="e" cm="1">
        <f t="array" aca="1" ref="Q421" ca="1">-_xll.YCP($E421,"five_year_return",'Database Query'!$E$14)+P421</f>
        <v>#VALUE!</v>
      </c>
    </row>
    <row r="422" spans="2:17" x14ac:dyDescent="0.25">
      <c r="B422" t="str" cm="1">
        <f t="array" aca="1" ref="B422" ca="1">_xll.YCI(A422,"detailed_security_type",TODAY())</f>
        <v/>
      </c>
      <c r="C422" t="str" cm="1">
        <f t="array" aca="1" ref="C422" ca="1">_xlfn.IFS(B422="etf", _xll.YCI(A422, "security_name",TODAY()),B422&lt;&gt;"etf",_xll.YCI("M:" &amp; A422, "security_name",TODAY()))</f>
        <v>ERR: INVALID ASSET</v>
      </c>
      <c r="D422" t="str" cm="1">
        <f t="array" aca="1" ref="D422" ca="1">_xlfn.IFS($B422="etf", _xll.YCI($A422, "ycharts_benchmark_category",TODAY()),$B422&lt;&gt;"etf",_xll.YCI("M:" &amp; $A422, "ycharts_benchmark_category",TODAY()))</f>
        <v>ERR: INVALID ASSET</v>
      </c>
      <c r="E422" t="str" cm="1">
        <f t="array" aca="1" ref="E422" ca="1">_xlfn.IFS($B422="etf", _xll.YCI($A422, "ycharts_benchmark_index_symbol",TODAY()),$B422&lt;&gt;"etf",_xll.YCI("M:" &amp; $A422, "ycharts_benchmark_index_symbol",TODAY()))</f>
        <v>ERR: INVALID ASSET</v>
      </c>
      <c r="F422" t="str" cm="1">
        <f t="array" aca="1" ref="F422" ca="1">_xlfn.IFS($B422="etf", _xll.YCI($E422, "security_name",TODAY()),$B422&lt;&gt;"etf",_xll.YCI( $E422, "security_name",TODAY()))</f>
        <v>ERR: INVALID ASSET</v>
      </c>
      <c r="G422" t="str" cm="1">
        <f t="array" aca="1" ref="G422" ca="1">_xlfn.IFS($B422="etf", _xll.YCI($A422, "prospectus_benchmark_index",TODAY()),$B422&lt;&gt;"etf",_xll.YCI("M:" &amp; $A422, "prospectus_benchmark_index",TODAY()))</f>
        <v>ERR: INVALID ASSET</v>
      </c>
      <c r="H422" s="2" t="str" cm="1">
        <f t="array" aca="1" ref="H422" ca="1">_xlfn.IFS($B422="etf", _xll.YCP($A422,"quarterly_total_return",'Database Query'!$E$14),$B422&lt;&gt;"etf",_xll.YCP("M:"&amp; $A422,"quarterly_total_return",'Database Query'!$E$14))</f>
        <v>ERR: INVALID ASSET</v>
      </c>
      <c r="I422" s="2" t="e" cm="1">
        <f t="array" aca="1" ref="I422" ca="1">-_xll.YCP($E422,"quarterly_return",'Database Query'!$E$14)+H422</f>
        <v>#VALUE!</v>
      </c>
      <c r="J422" s="2" t="str" cm="1">
        <f t="array" aca="1" ref="J422" ca="1">_xlfn.IFS($B422="etf", _xll.YCP($A422,"ytd_total_return",'Database Query'!$E$14),$B422&lt;&gt;"etf",_xll.YCP("M:"&amp; $A422,"ytd_total_return",'Database Query'!$E$14))</f>
        <v>ERR: INVALID ASSET</v>
      </c>
      <c r="K422" s="2" t="e" cm="1">
        <f t="array" aca="1" ref="K422" ca="1">-_xll.YCP($E422,"ytd_return",'Database Query'!$E$14)+J422</f>
        <v>#VALUE!</v>
      </c>
      <c r="L422" s="2" t="str" cm="1">
        <f t="array" aca="1" ref="L422" ca="1">_xlfn.IFS($B422="etf", _xll.YCP($A422,"one_year_total_return",'Database Query'!$E$14),$B422&lt;&gt;"etf",_xll.YCP("M:"&amp; $A422,"one_year_total_return",'Database Query'!$E$14))</f>
        <v>ERR: INVALID ASSET</v>
      </c>
      <c r="M422" s="2" t="e" cm="1">
        <f t="array" aca="1" ref="M422" ca="1">-_xll.YCP($E422,"one_year_return",'Database Query'!$E$14)+L422</f>
        <v>#VALUE!</v>
      </c>
      <c r="N422" s="2" t="str" cm="1">
        <f t="array" aca="1" ref="N422" ca="1">_xlfn.IFS($B422="etf", _xll.YCP($A422,"three_year_total_return",'Database Query'!$E$14),$B422&lt;&gt;"etf",_xll.YCP("M:"&amp; $A422,"three_year_total_return",'Database Query'!$E$14))</f>
        <v>ERR: INVALID ASSET</v>
      </c>
      <c r="O422" s="2" t="e" cm="1">
        <f t="array" aca="1" ref="O422" ca="1">-_xll.YCP($E422,"three_year_return",'Database Query'!$E$14)+N422</f>
        <v>#VALUE!</v>
      </c>
      <c r="P422" s="2" t="str" cm="1">
        <f t="array" aca="1" ref="P422" ca="1">_xlfn.IFS($B422="etf", _xll.YCP($A422,"five_year_total_return",'Database Query'!$E$14),$B422&lt;&gt;"etf",_xll.YCP("M:"&amp; $A422,"five_year_total_return",'Database Query'!$E$14))</f>
        <v>ERR: INVALID ASSET</v>
      </c>
      <c r="Q422" s="2" t="e" cm="1">
        <f t="array" aca="1" ref="Q422" ca="1">-_xll.YCP($E422,"five_year_return",'Database Query'!$E$14)+P422</f>
        <v>#VALUE!</v>
      </c>
    </row>
    <row r="423" spans="2:17" x14ac:dyDescent="0.25">
      <c r="B423" t="str" cm="1">
        <f t="array" aca="1" ref="B423" ca="1">_xll.YCI(A423,"detailed_security_type",TODAY())</f>
        <v/>
      </c>
      <c r="C423" t="str" cm="1">
        <f t="array" aca="1" ref="C423" ca="1">_xlfn.IFS(B423="etf", _xll.YCI(A423, "security_name",TODAY()),B423&lt;&gt;"etf",_xll.YCI("M:" &amp; A423, "security_name",TODAY()))</f>
        <v>ERR: INVALID ASSET</v>
      </c>
      <c r="D423" t="str" cm="1">
        <f t="array" aca="1" ref="D423" ca="1">_xlfn.IFS($B423="etf", _xll.YCI($A423, "ycharts_benchmark_category",TODAY()),$B423&lt;&gt;"etf",_xll.YCI("M:" &amp; $A423, "ycharts_benchmark_category",TODAY()))</f>
        <v>ERR: INVALID ASSET</v>
      </c>
      <c r="E423" t="str" cm="1">
        <f t="array" aca="1" ref="E423" ca="1">_xlfn.IFS($B423="etf", _xll.YCI($A423, "ycharts_benchmark_index_symbol",TODAY()),$B423&lt;&gt;"etf",_xll.YCI("M:" &amp; $A423, "ycharts_benchmark_index_symbol",TODAY()))</f>
        <v>ERR: INVALID ASSET</v>
      </c>
      <c r="F423" t="str" cm="1">
        <f t="array" aca="1" ref="F423" ca="1">_xlfn.IFS($B423="etf", _xll.YCI($E423, "security_name",TODAY()),$B423&lt;&gt;"etf",_xll.YCI( $E423, "security_name",TODAY()))</f>
        <v>ERR: INVALID ASSET</v>
      </c>
      <c r="G423" t="str" cm="1">
        <f t="array" aca="1" ref="G423" ca="1">_xlfn.IFS($B423="etf", _xll.YCI($A423, "prospectus_benchmark_index",TODAY()),$B423&lt;&gt;"etf",_xll.YCI("M:" &amp; $A423, "prospectus_benchmark_index",TODAY()))</f>
        <v>ERR: INVALID ASSET</v>
      </c>
      <c r="H423" s="2" t="str" cm="1">
        <f t="array" aca="1" ref="H423" ca="1">_xlfn.IFS($B423="etf", _xll.YCP($A423,"quarterly_total_return",'Database Query'!$E$14),$B423&lt;&gt;"etf",_xll.YCP("M:"&amp; $A423,"quarterly_total_return",'Database Query'!$E$14))</f>
        <v>ERR: INVALID ASSET</v>
      </c>
      <c r="I423" s="2" t="e" cm="1">
        <f t="array" aca="1" ref="I423" ca="1">-_xll.YCP($E423,"quarterly_return",'Database Query'!$E$14)+H423</f>
        <v>#VALUE!</v>
      </c>
      <c r="J423" s="2" t="str" cm="1">
        <f t="array" aca="1" ref="J423" ca="1">_xlfn.IFS($B423="etf", _xll.YCP($A423,"ytd_total_return",'Database Query'!$E$14),$B423&lt;&gt;"etf",_xll.YCP("M:"&amp; $A423,"ytd_total_return",'Database Query'!$E$14))</f>
        <v>ERR: INVALID ASSET</v>
      </c>
      <c r="K423" s="2" t="e" cm="1">
        <f t="array" aca="1" ref="K423" ca="1">-_xll.YCP($E423,"ytd_return",'Database Query'!$E$14)+J423</f>
        <v>#VALUE!</v>
      </c>
      <c r="L423" s="2" t="str" cm="1">
        <f t="array" aca="1" ref="L423" ca="1">_xlfn.IFS($B423="etf", _xll.YCP($A423,"one_year_total_return",'Database Query'!$E$14),$B423&lt;&gt;"etf",_xll.YCP("M:"&amp; $A423,"one_year_total_return",'Database Query'!$E$14))</f>
        <v>ERR: INVALID ASSET</v>
      </c>
      <c r="M423" s="2" t="e" cm="1">
        <f t="array" aca="1" ref="M423" ca="1">-_xll.YCP($E423,"one_year_return",'Database Query'!$E$14)+L423</f>
        <v>#VALUE!</v>
      </c>
      <c r="N423" s="2" t="str" cm="1">
        <f t="array" aca="1" ref="N423" ca="1">_xlfn.IFS($B423="etf", _xll.YCP($A423,"three_year_total_return",'Database Query'!$E$14),$B423&lt;&gt;"etf",_xll.YCP("M:"&amp; $A423,"three_year_total_return",'Database Query'!$E$14))</f>
        <v>ERR: INVALID ASSET</v>
      </c>
      <c r="O423" s="2" t="e" cm="1">
        <f t="array" aca="1" ref="O423" ca="1">-_xll.YCP($E423,"three_year_return",'Database Query'!$E$14)+N423</f>
        <v>#VALUE!</v>
      </c>
      <c r="P423" s="2" t="str" cm="1">
        <f t="array" aca="1" ref="P423" ca="1">_xlfn.IFS($B423="etf", _xll.YCP($A423,"five_year_total_return",'Database Query'!$E$14),$B423&lt;&gt;"etf",_xll.YCP("M:"&amp; $A423,"five_year_total_return",'Database Query'!$E$14))</f>
        <v>ERR: INVALID ASSET</v>
      </c>
      <c r="Q423" s="2" t="e" cm="1">
        <f t="array" aca="1" ref="Q423" ca="1">-_xll.YCP($E423,"five_year_return",'Database Query'!$E$14)+P423</f>
        <v>#VALUE!</v>
      </c>
    </row>
    <row r="424" spans="2:17" x14ac:dyDescent="0.25">
      <c r="B424" t="str" cm="1">
        <f t="array" aca="1" ref="B424" ca="1">_xll.YCI(A424,"detailed_security_type",TODAY())</f>
        <v/>
      </c>
      <c r="C424" t="str" cm="1">
        <f t="array" aca="1" ref="C424" ca="1">_xlfn.IFS(B424="etf", _xll.YCI(A424, "security_name",TODAY()),B424&lt;&gt;"etf",_xll.YCI("M:" &amp; A424, "security_name",TODAY()))</f>
        <v>ERR: INVALID ASSET</v>
      </c>
      <c r="D424" t="str" cm="1">
        <f t="array" aca="1" ref="D424" ca="1">_xlfn.IFS($B424="etf", _xll.YCI($A424, "ycharts_benchmark_category",TODAY()),$B424&lt;&gt;"etf",_xll.YCI("M:" &amp; $A424, "ycharts_benchmark_category",TODAY()))</f>
        <v>ERR: INVALID ASSET</v>
      </c>
      <c r="E424" t="str" cm="1">
        <f t="array" aca="1" ref="E424" ca="1">_xlfn.IFS($B424="etf", _xll.YCI($A424, "ycharts_benchmark_index_symbol",TODAY()),$B424&lt;&gt;"etf",_xll.YCI("M:" &amp; $A424, "ycharts_benchmark_index_symbol",TODAY()))</f>
        <v>ERR: INVALID ASSET</v>
      </c>
      <c r="F424" t="str" cm="1">
        <f t="array" aca="1" ref="F424" ca="1">_xlfn.IFS($B424="etf", _xll.YCI($E424, "security_name",TODAY()),$B424&lt;&gt;"etf",_xll.YCI( $E424, "security_name",TODAY()))</f>
        <v>ERR: INVALID ASSET</v>
      </c>
      <c r="G424" t="str" cm="1">
        <f t="array" aca="1" ref="G424" ca="1">_xlfn.IFS($B424="etf", _xll.YCI($A424, "prospectus_benchmark_index",TODAY()),$B424&lt;&gt;"etf",_xll.YCI("M:" &amp; $A424, "prospectus_benchmark_index",TODAY()))</f>
        <v>ERR: INVALID ASSET</v>
      </c>
      <c r="H424" s="2" t="str" cm="1">
        <f t="array" aca="1" ref="H424" ca="1">_xlfn.IFS($B424="etf", _xll.YCP($A424,"quarterly_total_return",'Database Query'!$E$14),$B424&lt;&gt;"etf",_xll.YCP("M:"&amp; $A424,"quarterly_total_return",'Database Query'!$E$14))</f>
        <v>ERR: INVALID ASSET</v>
      </c>
      <c r="I424" s="2" t="e" cm="1">
        <f t="array" aca="1" ref="I424" ca="1">-_xll.YCP($E424,"quarterly_return",'Database Query'!$E$14)+H424</f>
        <v>#VALUE!</v>
      </c>
      <c r="J424" s="2" t="str" cm="1">
        <f t="array" aca="1" ref="J424" ca="1">_xlfn.IFS($B424="etf", _xll.YCP($A424,"ytd_total_return",'Database Query'!$E$14),$B424&lt;&gt;"etf",_xll.YCP("M:"&amp; $A424,"ytd_total_return",'Database Query'!$E$14))</f>
        <v>ERR: INVALID ASSET</v>
      </c>
      <c r="K424" s="2" t="e" cm="1">
        <f t="array" aca="1" ref="K424" ca="1">-_xll.YCP($E424,"ytd_return",'Database Query'!$E$14)+J424</f>
        <v>#VALUE!</v>
      </c>
      <c r="L424" s="2" t="str" cm="1">
        <f t="array" aca="1" ref="L424" ca="1">_xlfn.IFS($B424="etf", _xll.YCP($A424,"one_year_total_return",'Database Query'!$E$14),$B424&lt;&gt;"etf",_xll.YCP("M:"&amp; $A424,"one_year_total_return",'Database Query'!$E$14))</f>
        <v>ERR: INVALID ASSET</v>
      </c>
      <c r="M424" s="2" t="e" cm="1">
        <f t="array" aca="1" ref="M424" ca="1">-_xll.YCP($E424,"one_year_return",'Database Query'!$E$14)+L424</f>
        <v>#VALUE!</v>
      </c>
      <c r="N424" s="2" t="str" cm="1">
        <f t="array" aca="1" ref="N424" ca="1">_xlfn.IFS($B424="etf", _xll.YCP($A424,"three_year_total_return",'Database Query'!$E$14),$B424&lt;&gt;"etf",_xll.YCP("M:"&amp; $A424,"three_year_total_return",'Database Query'!$E$14))</f>
        <v>ERR: INVALID ASSET</v>
      </c>
      <c r="O424" s="2" t="e" cm="1">
        <f t="array" aca="1" ref="O424" ca="1">-_xll.YCP($E424,"three_year_return",'Database Query'!$E$14)+N424</f>
        <v>#VALUE!</v>
      </c>
      <c r="P424" s="2" t="str" cm="1">
        <f t="array" aca="1" ref="P424" ca="1">_xlfn.IFS($B424="etf", _xll.YCP($A424,"five_year_total_return",'Database Query'!$E$14),$B424&lt;&gt;"etf",_xll.YCP("M:"&amp; $A424,"five_year_total_return",'Database Query'!$E$14))</f>
        <v>ERR: INVALID ASSET</v>
      </c>
      <c r="Q424" s="2" t="e" cm="1">
        <f t="array" aca="1" ref="Q424" ca="1">-_xll.YCP($E424,"five_year_return",'Database Query'!$E$14)+P424</f>
        <v>#VALUE!</v>
      </c>
    </row>
    <row r="425" spans="2:17" x14ac:dyDescent="0.25">
      <c r="B425" t="str" cm="1">
        <f t="array" aca="1" ref="B425" ca="1">_xll.YCI(A425,"detailed_security_type",TODAY())</f>
        <v/>
      </c>
      <c r="C425" t="str" cm="1">
        <f t="array" aca="1" ref="C425" ca="1">_xlfn.IFS(B425="etf", _xll.YCI(A425, "security_name",TODAY()),B425&lt;&gt;"etf",_xll.YCI("M:" &amp; A425, "security_name",TODAY()))</f>
        <v>ERR: INVALID ASSET</v>
      </c>
      <c r="D425" t="str" cm="1">
        <f t="array" aca="1" ref="D425" ca="1">_xlfn.IFS($B425="etf", _xll.YCI($A425, "ycharts_benchmark_category",TODAY()),$B425&lt;&gt;"etf",_xll.YCI("M:" &amp; $A425, "ycharts_benchmark_category",TODAY()))</f>
        <v>ERR: INVALID ASSET</v>
      </c>
      <c r="E425" t="str" cm="1">
        <f t="array" aca="1" ref="E425" ca="1">_xlfn.IFS($B425="etf", _xll.YCI($A425, "ycharts_benchmark_index_symbol",TODAY()),$B425&lt;&gt;"etf",_xll.YCI("M:" &amp; $A425, "ycharts_benchmark_index_symbol",TODAY()))</f>
        <v>ERR: INVALID ASSET</v>
      </c>
      <c r="F425" t="str" cm="1">
        <f t="array" aca="1" ref="F425" ca="1">_xlfn.IFS($B425="etf", _xll.YCI($E425, "security_name",TODAY()),$B425&lt;&gt;"etf",_xll.YCI( $E425, "security_name",TODAY()))</f>
        <v>ERR: INVALID ASSET</v>
      </c>
      <c r="G425" t="str" cm="1">
        <f t="array" aca="1" ref="G425" ca="1">_xlfn.IFS($B425="etf", _xll.YCI($A425, "prospectus_benchmark_index",TODAY()),$B425&lt;&gt;"etf",_xll.YCI("M:" &amp; $A425, "prospectus_benchmark_index",TODAY()))</f>
        <v>ERR: INVALID ASSET</v>
      </c>
      <c r="H425" s="2" t="str" cm="1">
        <f t="array" aca="1" ref="H425" ca="1">_xlfn.IFS($B425="etf", _xll.YCP($A425,"quarterly_total_return",'Database Query'!$E$14),$B425&lt;&gt;"etf",_xll.YCP("M:"&amp; $A425,"quarterly_total_return",'Database Query'!$E$14))</f>
        <v>ERR: INVALID ASSET</v>
      </c>
      <c r="I425" s="2" t="e" cm="1">
        <f t="array" aca="1" ref="I425" ca="1">-_xll.YCP($E425,"quarterly_return",'Database Query'!$E$14)+H425</f>
        <v>#VALUE!</v>
      </c>
      <c r="J425" s="2" t="str" cm="1">
        <f t="array" aca="1" ref="J425" ca="1">_xlfn.IFS($B425="etf", _xll.YCP($A425,"ytd_total_return",'Database Query'!$E$14),$B425&lt;&gt;"etf",_xll.YCP("M:"&amp; $A425,"ytd_total_return",'Database Query'!$E$14))</f>
        <v>ERR: INVALID ASSET</v>
      </c>
      <c r="K425" s="2" t="e" cm="1">
        <f t="array" aca="1" ref="K425" ca="1">-_xll.YCP($E425,"ytd_return",'Database Query'!$E$14)+J425</f>
        <v>#VALUE!</v>
      </c>
      <c r="L425" s="2" t="str" cm="1">
        <f t="array" aca="1" ref="L425" ca="1">_xlfn.IFS($B425="etf", _xll.YCP($A425,"one_year_total_return",'Database Query'!$E$14),$B425&lt;&gt;"etf",_xll.YCP("M:"&amp; $A425,"one_year_total_return",'Database Query'!$E$14))</f>
        <v>ERR: INVALID ASSET</v>
      </c>
      <c r="M425" s="2" t="e" cm="1">
        <f t="array" aca="1" ref="M425" ca="1">-_xll.YCP($E425,"one_year_return",'Database Query'!$E$14)+L425</f>
        <v>#VALUE!</v>
      </c>
      <c r="N425" s="2" t="str" cm="1">
        <f t="array" aca="1" ref="N425" ca="1">_xlfn.IFS($B425="etf", _xll.YCP($A425,"three_year_total_return",'Database Query'!$E$14),$B425&lt;&gt;"etf",_xll.YCP("M:"&amp; $A425,"three_year_total_return",'Database Query'!$E$14))</f>
        <v>ERR: INVALID ASSET</v>
      </c>
      <c r="O425" s="2" t="e" cm="1">
        <f t="array" aca="1" ref="O425" ca="1">-_xll.YCP($E425,"three_year_return",'Database Query'!$E$14)+N425</f>
        <v>#VALUE!</v>
      </c>
      <c r="P425" s="2" t="str" cm="1">
        <f t="array" aca="1" ref="P425" ca="1">_xlfn.IFS($B425="etf", _xll.YCP($A425,"five_year_total_return",'Database Query'!$E$14),$B425&lt;&gt;"etf",_xll.YCP("M:"&amp; $A425,"five_year_total_return",'Database Query'!$E$14))</f>
        <v>ERR: INVALID ASSET</v>
      </c>
      <c r="Q425" s="2" t="e" cm="1">
        <f t="array" aca="1" ref="Q425" ca="1">-_xll.YCP($E425,"five_year_return",'Database Query'!$E$14)+P425</f>
        <v>#VALUE!</v>
      </c>
    </row>
    <row r="426" spans="2:17" x14ac:dyDescent="0.25">
      <c r="B426" t="str" cm="1">
        <f t="array" aca="1" ref="B426" ca="1">_xll.YCI(A426,"detailed_security_type",TODAY())</f>
        <v/>
      </c>
      <c r="C426" t="str" cm="1">
        <f t="array" aca="1" ref="C426" ca="1">_xlfn.IFS(B426="etf", _xll.YCI(A426, "security_name",TODAY()),B426&lt;&gt;"etf",_xll.YCI("M:" &amp; A426, "security_name",TODAY()))</f>
        <v>ERR: INVALID ASSET</v>
      </c>
      <c r="D426" t="str" cm="1">
        <f t="array" aca="1" ref="D426" ca="1">_xlfn.IFS($B426="etf", _xll.YCI($A426, "ycharts_benchmark_category",TODAY()),$B426&lt;&gt;"etf",_xll.YCI("M:" &amp; $A426, "ycharts_benchmark_category",TODAY()))</f>
        <v>ERR: INVALID ASSET</v>
      </c>
      <c r="E426" t="str" cm="1">
        <f t="array" aca="1" ref="E426" ca="1">_xlfn.IFS($B426="etf", _xll.YCI($A426, "ycharts_benchmark_index_symbol",TODAY()),$B426&lt;&gt;"etf",_xll.YCI("M:" &amp; $A426, "ycharts_benchmark_index_symbol",TODAY()))</f>
        <v>ERR: INVALID ASSET</v>
      </c>
      <c r="F426" t="str" cm="1">
        <f t="array" aca="1" ref="F426" ca="1">_xlfn.IFS($B426="etf", _xll.YCI($E426, "security_name",TODAY()),$B426&lt;&gt;"etf",_xll.YCI( $E426, "security_name",TODAY()))</f>
        <v>ERR: INVALID ASSET</v>
      </c>
      <c r="G426" t="str" cm="1">
        <f t="array" aca="1" ref="G426" ca="1">_xlfn.IFS($B426="etf", _xll.YCI($A426, "prospectus_benchmark_index",TODAY()),$B426&lt;&gt;"etf",_xll.YCI("M:" &amp; $A426, "prospectus_benchmark_index",TODAY()))</f>
        <v>ERR: INVALID ASSET</v>
      </c>
      <c r="H426" s="2" t="str" cm="1">
        <f t="array" aca="1" ref="H426" ca="1">_xlfn.IFS($B426="etf", _xll.YCP($A426,"quarterly_total_return",'Database Query'!$E$14),$B426&lt;&gt;"etf",_xll.YCP("M:"&amp; $A426,"quarterly_total_return",'Database Query'!$E$14))</f>
        <v>ERR: INVALID ASSET</v>
      </c>
      <c r="I426" s="2" t="e" cm="1">
        <f t="array" aca="1" ref="I426" ca="1">-_xll.YCP($E426,"quarterly_return",'Database Query'!$E$14)+H426</f>
        <v>#VALUE!</v>
      </c>
      <c r="J426" s="2" t="str" cm="1">
        <f t="array" aca="1" ref="J426" ca="1">_xlfn.IFS($B426="etf", _xll.YCP($A426,"ytd_total_return",'Database Query'!$E$14),$B426&lt;&gt;"etf",_xll.YCP("M:"&amp; $A426,"ytd_total_return",'Database Query'!$E$14))</f>
        <v>ERR: INVALID ASSET</v>
      </c>
      <c r="K426" s="2" t="e" cm="1">
        <f t="array" aca="1" ref="K426" ca="1">-_xll.YCP($E426,"ytd_return",'Database Query'!$E$14)+J426</f>
        <v>#VALUE!</v>
      </c>
      <c r="L426" s="2" t="str" cm="1">
        <f t="array" aca="1" ref="L426" ca="1">_xlfn.IFS($B426="etf", _xll.YCP($A426,"one_year_total_return",'Database Query'!$E$14),$B426&lt;&gt;"etf",_xll.YCP("M:"&amp; $A426,"one_year_total_return",'Database Query'!$E$14))</f>
        <v>ERR: INVALID ASSET</v>
      </c>
      <c r="M426" s="2" t="e" cm="1">
        <f t="array" aca="1" ref="M426" ca="1">-_xll.YCP($E426,"one_year_return",'Database Query'!$E$14)+L426</f>
        <v>#VALUE!</v>
      </c>
      <c r="N426" s="2" t="str" cm="1">
        <f t="array" aca="1" ref="N426" ca="1">_xlfn.IFS($B426="etf", _xll.YCP($A426,"three_year_total_return",'Database Query'!$E$14),$B426&lt;&gt;"etf",_xll.YCP("M:"&amp; $A426,"three_year_total_return",'Database Query'!$E$14))</f>
        <v>ERR: INVALID ASSET</v>
      </c>
      <c r="O426" s="2" t="e" cm="1">
        <f t="array" aca="1" ref="O426" ca="1">-_xll.YCP($E426,"three_year_return",'Database Query'!$E$14)+N426</f>
        <v>#VALUE!</v>
      </c>
      <c r="P426" s="2" t="str" cm="1">
        <f t="array" aca="1" ref="P426" ca="1">_xlfn.IFS($B426="etf", _xll.YCP($A426,"five_year_total_return",'Database Query'!$E$14),$B426&lt;&gt;"etf",_xll.YCP("M:"&amp; $A426,"five_year_total_return",'Database Query'!$E$14))</f>
        <v>ERR: INVALID ASSET</v>
      </c>
      <c r="Q426" s="2" t="e" cm="1">
        <f t="array" aca="1" ref="Q426" ca="1">-_xll.YCP($E426,"five_year_return",'Database Query'!$E$14)+P426</f>
        <v>#VALUE!</v>
      </c>
    </row>
    <row r="427" spans="2:17" x14ac:dyDescent="0.25">
      <c r="B427" t="str" cm="1">
        <f t="array" aca="1" ref="B427" ca="1">_xll.YCI(A427,"detailed_security_type",TODAY())</f>
        <v/>
      </c>
      <c r="C427" t="str" cm="1">
        <f t="array" aca="1" ref="C427" ca="1">_xlfn.IFS(B427="etf", _xll.YCI(A427, "security_name",TODAY()),B427&lt;&gt;"etf",_xll.YCI("M:" &amp; A427, "security_name",TODAY()))</f>
        <v>ERR: INVALID ASSET</v>
      </c>
      <c r="D427" t="str" cm="1">
        <f t="array" aca="1" ref="D427" ca="1">_xlfn.IFS($B427="etf", _xll.YCI($A427, "ycharts_benchmark_category",TODAY()),$B427&lt;&gt;"etf",_xll.YCI("M:" &amp; $A427, "ycharts_benchmark_category",TODAY()))</f>
        <v>ERR: INVALID ASSET</v>
      </c>
      <c r="E427" t="str" cm="1">
        <f t="array" aca="1" ref="E427" ca="1">_xlfn.IFS($B427="etf", _xll.YCI($A427, "ycharts_benchmark_index_symbol",TODAY()),$B427&lt;&gt;"etf",_xll.YCI("M:" &amp; $A427, "ycharts_benchmark_index_symbol",TODAY()))</f>
        <v>ERR: INVALID ASSET</v>
      </c>
      <c r="F427" t="str" cm="1">
        <f t="array" aca="1" ref="F427" ca="1">_xlfn.IFS($B427="etf", _xll.YCI($E427, "security_name",TODAY()),$B427&lt;&gt;"etf",_xll.YCI( $E427, "security_name",TODAY()))</f>
        <v>ERR: INVALID ASSET</v>
      </c>
      <c r="G427" t="str" cm="1">
        <f t="array" aca="1" ref="G427" ca="1">_xlfn.IFS($B427="etf", _xll.YCI($A427, "prospectus_benchmark_index",TODAY()),$B427&lt;&gt;"etf",_xll.YCI("M:" &amp; $A427, "prospectus_benchmark_index",TODAY()))</f>
        <v>ERR: INVALID ASSET</v>
      </c>
      <c r="H427" s="2" t="str" cm="1">
        <f t="array" aca="1" ref="H427" ca="1">_xlfn.IFS($B427="etf", _xll.YCP($A427,"quarterly_total_return",'Database Query'!$E$14),$B427&lt;&gt;"etf",_xll.YCP("M:"&amp; $A427,"quarterly_total_return",'Database Query'!$E$14))</f>
        <v>ERR: INVALID ASSET</v>
      </c>
      <c r="I427" s="2" t="e" cm="1">
        <f t="array" aca="1" ref="I427" ca="1">-_xll.YCP($E427,"quarterly_return",'Database Query'!$E$14)+H427</f>
        <v>#VALUE!</v>
      </c>
      <c r="J427" s="2" t="str" cm="1">
        <f t="array" aca="1" ref="J427" ca="1">_xlfn.IFS($B427="etf", _xll.YCP($A427,"ytd_total_return",'Database Query'!$E$14),$B427&lt;&gt;"etf",_xll.YCP("M:"&amp; $A427,"ytd_total_return",'Database Query'!$E$14))</f>
        <v>ERR: INVALID ASSET</v>
      </c>
      <c r="K427" s="2" t="e" cm="1">
        <f t="array" aca="1" ref="K427" ca="1">-_xll.YCP($E427,"ytd_return",'Database Query'!$E$14)+J427</f>
        <v>#VALUE!</v>
      </c>
      <c r="L427" s="2" t="str" cm="1">
        <f t="array" aca="1" ref="L427" ca="1">_xlfn.IFS($B427="etf", _xll.YCP($A427,"one_year_total_return",'Database Query'!$E$14),$B427&lt;&gt;"etf",_xll.YCP("M:"&amp; $A427,"one_year_total_return",'Database Query'!$E$14))</f>
        <v>ERR: INVALID ASSET</v>
      </c>
      <c r="M427" s="2" t="e" cm="1">
        <f t="array" aca="1" ref="M427" ca="1">-_xll.YCP($E427,"one_year_return",'Database Query'!$E$14)+L427</f>
        <v>#VALUE!</v>
      </c>
      <c r="N427" s="2" t="str" cm="1">
        <f t="array" aca="1" ref="N427" ca="1">_xlfn.IFS($B427="etf", _xll.YCP($A427,"three_year_total_return",'Database Query'!$E$14),$B427&lt;&gt;"etf",_xll.YCP("M:"&amp; $A427,"three_year_total_return",'Database Query'!$E$14))</f>
        <v>ERR: INVALID ASSET</v>
      </c>
      <c r="O427" s="2" t="e" cm="1">
        <f t="array" aca="1" ref="O427" ca="1">-_xll.YCP($E427,"three_year_return",'Database Query'!$E$14)+N427</f>
        <v>#VALUE!</v>
      </c>
      <c r="P427" s="2" t="str" cm="1">
        <f t="array" aca="1" ref="P427" ca="1">_xlfn.IFS($B427="etf", _xll.YCP($A427,"five_year_total_return",'Database Query'!$E$14),$B427&lt;&gt;"etf",_xll.YCP("M:"&amp; $A427,"five_year_total_return",'Database Query'!$E$14))</f>
        <v>ERR: INVALID ASSET</v>
      </c>
      <c r="Q427" s="2" t="e" cm="1">
        <f t="array" aca="1" ref="Q427" ca="1">-_xll.YCP($E427,"five_year_return",'Database Query'!$E$14)+P427</f>
        <v>#VALUE!</v>
      </c>
    </row>
    <row r="428" spans="2:17" x14ac:dyDescent="0.25">
      <c r="B428" t="str" cm="1">
        <f t="array" aca="1" ref="B428" ca="1">_xll.YCI(A428,"detailed_security_type",TODAY())</f>
        <v/>
      </c>
      <c r="C428" t="str" cm="1">
        <f t="array" aca="1" ref="C428" ca="1">_xlfn.IFS(B428="etf", _xll.YCI(A428, "security_name",TODAY()),B428&lt;&gt;"etf",_xll.YCI("M:" &amp; A428, "security_name",TODAY()))</f>
        <v>ERR: INVALID ASSET</v>
      </c>
      <c r="D428" t="str" cm="1">
        <f t="array" aca="1" ref="D428" ca="1">_xlfn.IFS($B428="etf", _xll.YCI($A428, "ycharts_benchmark_category",TODAY()),$B428&lt;&gt;"etf",_xll.YCI("M:" &amp; $A428, "ycharts_benchmark_category",TODAY()))</f>
        <v>ERR: INVALID ASSET</v>
      </c>
      <c r="E428" t="str" cm="1">
        <f t="array" aca="1" ref="E428" ca="1">_xlfn.IFS($B428="etf", _xll.YCI($A428, "ycharts_benchmark_index_symbol",TODAY()),$B428&lt;&gt;"etf",_xll.YCI("M:" &amp; $A428, "ycharts_benchmark_index_symbol",TODAY()))</f>
        <v>ERR: INVALID ASSET</v>
      </c>
      <c r="F428" t="str" cm="1">
        <f t="array" aca="1" ref="F428" ca="1">_xlfn.IFS($B428="etf", _xll.YCI($E428, "security_name",TODAY()),$B428&lt;&gt;"etf",_xll.YCI( $E428, "security_name",TODAY()))</f>
        <v>ERR: INVALID ASSET</v>
      </c>
      <c r="G428" t="str" cm="1">
        <f t="array" aca="1" ref="G428" ca="1">_xlfn.IFS($B428="etf", _xll.YCI($A428, "prospectus_benchmark_index",TODAY()),$B428&lt;&gt;"etf",_xll.YCI("M:" &amp; $A428, "prospectus_benchmark_index",TODAY()))</f>
        <v>ERR: INVALID ASSET</v>
      </c>
      <c r="H428" s="2" t="str" cm="1">
        <f t="array" aca="1" ref="H428" ca="1">_xlfn.IFS($B428="etf", _xll.YCP($A428,"quarterly_total_return",'Database Query'!$E$14),$B428&lt;&gt;"etf",_xll.YCP("M:"&amp; $A428,"quarterly_total_return",'Database Query'!$E$14))</f>
        <v>ERR: INVALID ASSET</v>
      </c>
      <c r="I428" s="2" t="e" cm="1">
        <f t="array" aca="1" ref="I428" ca="1">-_xll.YCP($E428,"quarterly_return",'Database Query'!$E$14)+H428</f>
        <v>#VALUE!</v>
      </c>
      <c r="J428" s="2" t="str" cm="1">
        <f t="array" aca="1" ref="J428" ca="1">_xlfn.IFS($B428="etf", _xll.YCP($A428,"ytd_total_return",'Database Query'!$E$14),$B428&lt;&gt;"etf",_xll.YCP("M:"&amp; $A428,"ytd_total_return",'Database Query'!$E$14))</f>
        <v>ERR: INVALID ASSET</v>
      </c>
      <c r="K428" s="2" t="e" cm="1">
        <f t="array" aca="1" ref="K428" ca="1">-_xll.YCP($E428,"ytd_return",'Database Query'!$E$14)+J428</f>
        <v>#VALUE!</v>
      </c>
      <c r="L428" s="2" t="str" cm="1">
        <f t="array" aca="1" ref="L428" ca="1">_xlfn.IFS($B428="etf", _xll.YCP($A428,"one_year_total_return",'Database Query'!$E$14),$B428&lt;&gt;"etf",_xll.YCP("M:"&amp; $A428,"one_year_total_return",'Database Query'!$E$14))</f>
        <v>ERR: INVALID ASSET</v>
      </c>
      <c r="M428" s="2" t="e" cm="1">
        <f t="array" aca="1" ref="M428" ca="1">-_xll.YCP($E428,"one_year_return",'Database Query'!$E$14)+L428</f>
        <v>#VALUE!</v>
      </c>
      <c r="N428" s="2" t="str" cm="1">
        <f t="array" aca="1" ref="N428" ca="1">_xlfn.IFS($B428="etf", _xll.YCP($A428,"three_year_total_return",'Database Query'!$E$14),$B428&lt;&gt;"etf",_xll.YCP("M:"&amp; $A428,"three_year_total_return",'Database Query'!$E$14))</f>
        <v>ERR: INVALID ASSET</v>
      </c>
      <c r="O428" s="2" t="e" cm="1">
        <f t="array" aca="1" ref="O428" ca="1">-_xll.YCP($E428,"three_year_return",'Database Query'!$E$14)+N428</f>
        <v>#VALUE!</v>
      </c>
      <c r="P428" s="2" t="str" cm="1">
        <f t="array" aca="1" ref="P428" ca="1">_xlfn.IFS($B428="etf", _xll.YCP($A428,"five_year_total_return",'Database Query'!$E$14),$B428&lt;&gt;"etf",_xll.YCP("M:"&amp; $A428,"five_year_total_return",'Database Query'!$E$14))</f>
        <v>ERR: INVALID ASSET</v>
      </c>
      <c r="Q428" s="2" t="e" cm="1">
        <f t="array" aca="1" ref="Q428" ca="1">-_xll.YCP($E428,"five_year_return",'Database Query'!$E$14)+P428</f>
        <v>#VALUE!</v>
      </c>
    </row>
    <row r="429" spans="2:17" x14ac:dyDescent="0.25">
      <c r="B429" t="str" cm="1">
        <f t="array" aca="1" ref="B429" ca="1">_xll.YCI(A429,"detailed_security_type",TODAY())</f>
        <v/>
      </c>
      <c r="C429" t="str" cm="1">
        <f t="array" aca="1" ref="C429" ca="1">_xlfn.IFS(B429="etf", _xll.YCI(A429, "security_name",TODAY()),B429&lt;&gt;"etf",_xll.YCI("M:" &amp; A429, "security_name",TODAY()))</f>
        <v>ERR: INVALID ASSET</v>
      </c>
      <c r="D429" t="str" cm="1">
        <f t="array" aca="1" ref="D429" ca="1">_xlfn.IFS($B429="etf", _xll.YCI($A429, "ycharts_benchmark_category",TODAY()),$B429&lt;&gt;"etf",_xll.YCI("M:" &amp; $A429, "ycharts_benchmark_category",TODAY()))</f>
        <v>ERR: INVALID ASSET</v>
      </c>
      <c r="E429" t="str" cm="1">
        <f t="array" aca="1" ref="E429" ca="1">_xlfn.IFS($B429="etf", _xll.YCI($A429, "ycharts_benchmark_index_symbol",TODAY()),$B429&lt;&gt;"etf",_xll.YCI("M:" &amp; $A429, "ycharts_benchmark_index_symbol",TODAY()))</f>
        <v>ERR: INVALID ASSET</v>
      </c>
      <c r="F429" t="str" cm="1">
        <f t="array" aca="1" ref="F429" ca="1">_xlfn.IFS($B429="etf", _xll.YCI($E429, "security_name",TODAY()),$B429&lt;&gt;"etf",_xll.YCI( $E429, "security_name",TODAY()))</f>
        <v>ERR: INVALID ASSET</v>
      </c>
      <c r="G429" t="str" cm="1">
        <f t="array" aca="1" ref="G429" ca="1">_xlfn.IFS($B429="etf", _xll.YCI($A429, "prospectus_benchmark_index",TODAY()),$B429&lt;&gt;"etf",_xll.YCI("M:" &amp; $A429, "prospectus_benchmark_index",TODAY()))</f>
        <v>ERR: INVALID ASSET</v>
      </c>
      <c r="H429" s="2" t="str" cm="1">
        <f t="array" aca="1" ref="H429" ca="1">_xlfn.IFS($B429="etf", _xll.YCP($A429,"quarterly_total_return",'Database Query'!$E$14),$B429&lt;&gt;"etf",_xll.YCP("M:"&amp; $A429,"quarterly_total_return",'Database Query'!$E$14))</f>
        <v>ERR: INVALID ASSET</v>
      </c>
      <c r="I429" s="2" t="e" cm="1">
        <f t="array" aca="1" ref="I429" ca="1">-_xll.YCP($E429,"quarterly_return",'Database Query'!$E$14)+H429</f>
        <v>#VALUE!</v>
      </c>
      <c r="J429" s="2" t="str" cm="1">
        <f t="array" aca="1" ref="J429" ca="1">_xlfn.IFS($B429="etf", _xll.YCP($A429,"ytd_total_return",'Database Query'!$E$14),$B429&lt;&gt;"etf",_xll.YCP("M:"&amp; $A429,"ytd_total_return",'Database Query'!$E$14))</f>
        <v>ERR: INVALID ASSET</v>
      </c>
      <c r="K429" s="2" t="e" cm="1">
        <f t="array" aca="1" ref="K429" ca="1">-_xll.YCP($E429,"ytd_return",'Database Query'!$E$14)+J429</f>
        <v>#VALUE!</v>
      </c>
      <c r="L429" s="2" t="str" cm="1">
        <f t="array" aca="1" ref="L429" ca="1">_xlfn.IFS($B429="etf", _xll.YCP($A429,"one_year_total_return",'Database Query'!$E$14),$B429&lt;&gt;"etf",_xll.YCP("M:"&amp; $A429,"one_year_total_return",'Database Query'!$E$14))</f>
        <v>ERR: INVALID ASSET</v>
      </c>
      <c r="M429" s="2" t="e" cm="1">
        <f t="array" aca="1" ref="M429" ca="1">-_xll.YCP($E429,"one_year_return",'Database Query'!$E$14)+L429</f>
        <v>#VALUE!</v>
      </c>
      <c r="N429" s="2" t="str" cm="1">
        <f t="array" aca="1" ref="N429" ca="1">_xlfn.IFS($B429="etf", _xll.YCP($A429,"three_year_total_return",'Database Query'!$E$14),$B429&lt;&gt;"etf",_xll.YCP("M:"&amp; $A429,"three_year_total_return",'Database Query'!$E$14))</f>
        <v>ERR: INVALID ASSET</v>
      </c>
      <c r="O429" s="2" t="e" cm="1">
        <f t="array" aca="1" ref="O429" ca="1">-_xll.YCP($E429,"three_year_return",'Database Query'!$E$14)+N429</f>
        <v>#VALUE!</v>
      </c>
      <c r="P429" s="2" t="str" cm="1">
        <f t="array" aca="1" ref="P429" ca="1">_xlfn.IFS($B429="etf", _xll.YCP($A429,"five_year_total_return",'Database Query'!$E$14),$B429&lt;&gt;"etf",_xll.YCP("M:"&amp; $A429,"five_year_total_return",'Database Query'!$E$14))</f>
        <v>ERR: INVALID ASSET</v>
      </c>
      <c r="Q429" s="2" t="e" cm="1">
        <f t="array" aca="1" ref="Q429" ca="1">-_xll.YCP($E429,"five_year_return",'Database Query'!$E$14)+P429</f>
        <v>#VALUE!</v>
      </c>
    </row>
    <row r="430" spans="2:17" x14ac:dyDescent="0.25">
      <c r="B430" t="str" cm="1">
        <f t="array" aca="1" ref="B430" ca="1">_xll.YCI(A430,"detailed_security_type",TODAY())</f>
        <v/>
      </c>
      <c r="C430" t="str" cm="1">
        <f t="array" aca="1" ref="C430" ca="1">_xlfn.IFS(B430="etf", _xll.YCI(A430, "security_name",TODAY()),B430&lt;&gt;"etf",_xll.YCI("M:" &amp; A430, "security_name",TODAY()))</f>
        <v>ERR: INVALID ASSET</v>
      </c>
      <c r="D430" t="str" cm="1">
        <f t="array" aca="1" ref="D430" ca="1">_xlfn.IFS($B430="etf", _xll.YCI($A430, "ycharts_benchmark_category",TODAY()),$B430&lt;&gt;"etf",_xll.YCI("M:" &amp; $A430, "ycharts_benchmark_category",TODAY()))</f>
        <v>ERR: INVALID ASSET</v>
      </c>
      <c r="E430" t="str" cm="1">
        <f t="array" aca="1" ref="E430" ca="1">_xlfn.IFS($B430="etf", _xll.YCI($A430, "ycharts_benchmark_index_symbol",TODAY()),$B430&lt;&gt;"etf",_xll.YCI("M:" &amp; $A430, "ycharts_benchmark_index_symbol",TODAY()))</f>
        <v>ERR: INVALID ASSET</v>
      </c>
      <c r="F430" t="str" cm="1">
        <f t="array" aca="1" ref="F430" ca="1">_xlfn.IFS($B430="etf", _xll.YCI($E430, "security_name",TODAY()),$B430&lt;&gt;"etf",_xll.YCI( $E430, "security_name",TODAY()))</f>
        <v>ERR: INVALID ASSET</v>
      </c>
      <c r="G430" t="str" cm="1">
        <f t="array" aca="1" ref="G430" ca="1">_xlfn.IFS($B430="etf", _xll.YCI($A430, "prospectus_benchmark_index",TODAY()),$B430&lt;&gt;"etf",_xll.YCI("M:" &amp; $A430, "prospectus_benchmark_index",TODAY()))</f>
        <v>ERR: INVALID ASSET</v>
      </c>
      <c r="H430" s="2" t="str" cm="1">
        <f t="array" aca="1" ref="H430" ca="1">_xlfn.IFS($B430="etf", _xll.YCP($A430,"quarterly_total_return",'Database Query'!$E$14),$B430&lt;&gt;"etf",_xll.YCP("M:"&amp; $A430,"quarterly_total_return",'Database Query'!$E$14))</f>
        <v>ERR: INVALID ASSET</v>
      </c>
      <c r="I430" s="2" t="e" cm="1">
        <f t="array" aca="1" ref="I430" ca="1">-_xll.YCP($E430,"quarterly_return",'Database Query'!$E$14)+H430</f>
        <v>#VALUE!</v>
      </c>
      <c r="J430" s="2" t="str" cm="1">
        <f t="array" aca="1" ref="J430" ca="1">_xlfn.IFS($B430="etf", _xll.YCP($A430,"ytd_total_return",'Database Query'!$E$14),$B430&lt;&gt;"etf",_xll.YCP("M:"&amp; $A430,"ytd_total_return",'Database Query'!$E$14))</f>
        <v>ERR: INVALID ASSET</v>
      </c>
      <c r="K430" s="2" t="e" cm="1">
        <f t="array" aca="1" ref="K430" ca="1">-_xll.YCP($E430,"ytd_return",'Database Query'!$E$14)+J430</f>
        <v>#VALUE!</v>
      </c>
      <c r="L430" s="2" t="str" cm="1">
        <f t="array" aca="1" ref="L430" ca="1">_xlfn.IFS($B430="etf", _xll.YCP($A430,"one_year_total_return",'Database Query'!$E$14),$B430&lt;&gt;"etf",_xll.YCP("M:"&amp; $A430,"one_year_total_return",'Database Query'!$E$14))</f>
        <v>ERR: INVALID ASSET</v>
      </c>
      <c r="M430" s="2" t="e" cm="1">
        <f t="array" aca="1" ref="M430" ca="1">-_xll.YCP($E430,"one_year_return",'Database Query'!$E$14)+L430</f>
        <v>#VALUE!</v>
      </c>
      <c r="N430" s="2" t="str" cm="1">
        <f t="array" aca="1" ref="N430" ca="1">_xlfn.IFS($B430="etf", _xll.YCP($A430,"three_year_total_return",'Database Query'!$E$14),$B430&lt;&gt;"etf",_xll.YCP("M:"&amp; $A430,"three_year_total_return",'Database Query'!$E$14))</f>
        <v>ERR: INVALID ASSET</v>
      </c>
      <c r="O430" s="2" t="e" cm="1">
        <f t="array" aca="1" ref="O430" ca="1">-_xll.YCP($E430,"three_year_return",'Database Query'!$E$14)+N430</f>
        <v>#VALUE!</v>
      </c>
      <c r="P430" s="2" t="str" cm="1">
        <f t="array" aca="1" ref="P430" ca="1">_xlfn.IFS($B430="etf", _xll.YCP($A430,"five_year_total_return",'Database Query'!$E$14),$B430&lt;&gt;"etf",_xll.YCP("M:"&amp; $A430,"five_year_total_return",'Database Query'!$E$14))</f>
        <v>ERR: INVALID ASSET</v>
      </c>
      <c r="Q430" s="2" t="e" cm="1">
        <f t="array" aca="1" ref="Q430" ca="1">-_xll.YCP($E430,"five_year_return",'Database Query'!$E$14)+P430</f>
        <v>#VALUE!</v>
      </c>
    </row>
    <row r="431" spans="2:17" x14ac:dyDescent="0.25">
      <c r="B431" t="str" cm="1">
        <f t="array" aca="1" ref="B431" ca="1">_xll.YCI(A431,"detailed_security_type",TODAY())</f>
        <v/>
      </c>
      <c r="C431" t="str" cm="1">
        <f t="array" aca="1" ref="C431" ca="1">_xlfn.IFS(B431="etf", _xll.YCI(A431, "security_name",TODAY()),B431&lt;&gt;"etf",_xll.YCI("M:" &amp; A431, "security_name",TODAY()))</f>
        <v>ERR: INVALID ASSET</v>
      </c>
      <c r="D431" t="str" cm="1">
        <f t="array" aca="1" ref="D431" ca="1">_xlfn.IFS($B431="etf", _xll.YCI($A431, "ycharts_benchmark_category",TODAY()),$B431&lt;&gt;"etf",_xll.YCI("M:" &amp; $A431, "ycharts_benchmark_category",TODAY()))</f>
        <v>ERR: INVALID ASSET</v>
      </c>
      <c r="E431" t="str" cm="1">
        <f t="array" aca="1" ref="E431" ca="1">_xlfn.IFS($B431="etf", _xll.YCI($A431, "ycharts_benchmark_index_symbol",TODAY()),$B431&lt;&gt;"etf",_xll.YCI("M:" &amp; $A431, "ycharts_benchmark_index_symbol",TODAY()))</f>
        <v>ERR: INVALID ASSET</v>
      </c>
      <c r="F431" t="str" cm="1">
        <f t="array" aca="1" ref="F431" ca="1">_xlfn.IFS($B431="etf", _xll.YCI($E431, "security_name",TODAY()),$B431&lt;&gt;"etf",_xll.YCI( $E431, "security_name",TODAY()))</f>
        <v>ERR: INVALID ASSET</v>
      </c>
      <c r="G431" t="str" cm="1">
        <f t="array" aca="1" ref="G431" ca="1">_xlfn.IFS($B431="etf", _xll.YCI($A431, "prospectus_benchmark_index",TODAY()),$B431&lt;&gt;"etf",_xll.YCI("M:" &amp; $A431, "prospectus_benchmark_index",TODAY()))</f>
        <v>ERR: INVALID ASSET</v>
      </c>
      <c r="H431" s="2" t="str" cm="1">
        <f t="array" aca="1" ref="H431" ca="1">_xlfn.IFS($B431="etf", _xll.YCP($A431,"quarterly_total_return",'Database Query'!$E$14),$B431&lt;&gt;"etf",_xll.YCP("M:"&amp; $A431,"quarterly_total_return",'Database Query'!$E$14))</f>
        <v>ERR: INVALID ASSET</v>
      </c>
      <c r="I431" s="2" t="e" cm="1">
        <f t="array" aca="1" ref="I431" ca="1">-_xll.YCP($E431,"quarterly_return",'Database Query'!$E$14)+H431</f>
        <v>#VALUE!</v>
      </c>
      <c r="J431" s="2" t="str" cm="1">
        <f t="array" aca="1" ref="J431" ca="1">_xlfn.IFS($B431="etf", _xll.YCP($A431,"ytd_total_return",'Database Query'!$E$14),$B431&lt;&gt;"etf",_xll.YCP("M:"&amp; $A431,"ytd_total_return",'Database Query'!$E$14))</f>
        <v>ERR: INVALID ASSET</v>
      </c>
      <c r="K431" s="2" t="e" cm="1">
        <f t="array" aca="1" ref="K431" ca="1">-_xll.YCP($E431,"ytd_return",'Database Query'!$E$14)+J431</f>
        <v>#VALUE!</v>
      </c>
      <c r="L431" s="2" t="str" cm="1">
        <f t="array" aca="1" ref="L431" ca="1">_xlfn.IFS($B431="etf", _xll.YCP($A431,"one_year_total_return",'Database Query'!$E$14),$B431&lt;&gt;"etf",_xll.YCP("M:"&amp; $A431,"one_year_total_return",'Database Query'!$E$14))</f>
        <v>ERR: INVALID ASSET</v>
      </c>
      <c r="M431" s="2" t="e" cm="1">
        <f t="array" aca="1" ref="M431" ca="1">-_xll.YCP($E431,"one_year_return",'Database Query'!$E$14)+L431</f>
        <v>#VALUE!</v>
      </c>
      <c r="N431" s="2" t="str" cm="1">
        <f t="array" aca="1" ref="N431" ca="1">_xlfn.IFS($B431="etf", _xll.YCP($A431,"three_year_total_return",'Database Query'!$E$14),$B431&lt;&gt;"etf",_xll.YCP("M:"&amp; $A431,"three_year_total_return",'Database Query'!$E$14))</f>
        <v>ERR: INVALID ASSET</v>
      </c>
      <c r="O431" s="2" t="e" cm="1">
        <f t="array" aca="1" ref="O431" ca="1">-_xll.YCP($E431,"three_year_return",'Database Query'!$E$14)+N431</f>
        <v>#VALUE!</v>
      </c>
      <c r="P431" s="2" t="str" cm="1">
        <f t="array" aca="1" ref="P431" ca="1">_xlfn.IFS($B431="etf", _xll.YCP($A431,"five_year_total_return",'Database Query'!$E$14),$B431&lt;&gt;"etf",_xll.YCP("M:"&amp; $A431,"five_year_total_return",'Database Query'!$E$14))</f>
        <v>ERR: INVALID ASSET</v>
      </c>
      <c r="Q431" s="2" t="e" cm="1">
        <f t="array" aca="1" ref="Q431" ca="1">-_xll.YCP($E431,"five_year_return",'Database Query'!$E$14)+P431</f>
        <v>#VALUE!</v>
      </c>
    </row>
    <row r="432" spans="2:17" x14ac:dyDescent="0.25">
      <c r="B432" t="str" cm="1">
        <f t="array" aca="1" ref="B432" ca="1">_xll.YCI(A432,"detailed_security_type",TODAY())</f>
        <v/>
      </c>
      <c r="C432" t="str" cm="1">
        <f t="array" aca="1" ref="C432" ca="1">_xlfn.IFS(B432="etf", _xll.YCI(A432, "security_name",TODAY()),B432&lt;&gt;"etf",_xll.YCI("M:" &amp; A432, "security_name",TODAY()))</f>
        <v>ERR: INVALID ASSET</v>
      </c>
      <c r="D432" t="str" cm="1">
        <f t="array" aca="1" ref="D432" ca="1">_xlfn.IFS($B432="etf", _xll.YCI($A432, "ycharts_benchmark_category",TODAY()),$B432&lt;&gt;"etf",_xll.YCI("M:" &amp; $A432, "ycharts_benchmark_category",TODAY()))</f>
        <v>ERR: INVALID ASSET</v>
      </c>
      <c r="E432" t="str" cm="1">
        <f t="array" aca="1" ref="E432" ca="1">_xlfn.IFS($B432="etf", _xll.YCI($A432, "ycharts_benchmark_index_symbol",TODAY()),$B432&lt;&gt;"etf",_xll.YCI("M:" &amp; $A432, "ycharts_benchmark_index_symbol",TODAY()))</f>
        <v>ERR: INVALID ASSET</v>
      </c>
      <c r="F432" t="str" cm="1">
        <f t="array" aca="1" ref="F432" ca="1">_xlfn.IFS($B432="etf", _xll.YCI($E432, "security_name",TODAY()),$B432&lt;&gt;"etf",_xll.YCI( $E432, "security_name",TODAY()))</f>
        <v>ERR: INVALID ASSET</v>
      </c>
      <c r="G432" t="str" cm="1">
        <f t="array" aca="1" ref="G432" ca="1">_xlfn.IFS($B432="etf", _xll.YCI($A432, "prospectus_benchmark_index",TODAY()),$B432&lt;&gt;"etf",_xll.YCI("M:" &amp; $A432, "prospectus_benchmark_index",TODAY()))</f>
        <v>ERR: INVALID ASSET</v>
      </c>
      <c r="H432" s="2" t="str" cm="1">
        <f t="array" aca="1" ref="H432" ca="1">_xlfn.IFS($B432="etf", _xll.YCP($A432,"quarterly_total_return",'Database Query'!$E$14),$B432&lt;&gt;"etf",_xll.YCP("M:"&amp; $A432,"quarterly_total_return",'Database Query'!$E$14))</f>
        <v>ERR: INVALID ASSET</v>
      </c>
      <c r="I432" s="2" t="e" cm="1">
        <f t="array" aca="1" ref="I432" ca="1">-_xll.YCP($E432,"quarterly_return",'Database Query'!$E$14)+H432</f>
        <v>#VALUE!</v>
      </c>
      <c r="J432" s="2" t="str" cm="1">
        <f t="array" aca="1" ref="J432" ca="1">_xlfn.IFS($B432="etf", _xll.YCP($A432,"ytd_total_return",'Database Query'!$E$14),$B432&lt;&gt;"etf",_xll.YCP("M:"&amp; $A432,"ytd_total_return",'Database Query'!$E$14))</f>
        <v>ERR: INVALID ASSET</v>
      </c>
      <c r="K432" s="2" t="e" cm="1">
        <f t="array" aca="1" ref="K432" ca="1">-_xll.YCP($E432,"ytd_return",'Database Query'!$E$14)+J432</f>
        <v>#VALUE!</v>
      </c>
      <c r="L432" s="2" t="str" cm="1">
        <f t="array" aca="1" ref="L432" ca="1">_xlfn.IFS($B432="etf", _xll.YCP($A432,"one_year_total_return",'Database Query'!$E$14),$B432&lt;&gt;"etf",_xll.YCP("M:"&amp; $A432,"one_year_total_return",'Database Query'!$E$14))</f>
        <v>ERR: INVALID ASSET</v>
      </c>
      <c r="M432" s="2" t="e" cm="1">
        <f t="array" aca="1" ref="M432" ca="1">-_xll.YCP($E432,"one_year_return",'Database Query'!$E$14)+L432</f>
        <v>#VALUE!</v>
      </c>
      <c r="N432" s="2" t="str" cm="1">
        <f t="array" aca="1" ref="N432" ca="1">_xlfn.IFS($B432="etf", _xll.YCP($A432,"three_year_total_return",'Database Query'!$E$14),$B432&lt;&gt;"etf",_xll.YCP("M:"&amp; $A432,"three_year_total_return",'Database Query'!$E$14))</f>
        <v>ERR: INVALID ASSET</v>
      </c>
      <c r="O432" s="2" t="e" cm="1">
        <f t="array" aca="1" ref="O432" ca="1">-_xll.YCP($E432,"three_year_return",'Database Query'!$E$14)+N432</f>
        <v>#VALUE!</v>
      </c>
      <c r="P432" s="2" t="str" cm="1">
        <f t="array" aca="1" ref="P432" ca="1">_xlfn.IFS($B432="etf", _xll.YCP($A432,"five_year_total_return",'Database Query'!$E$14),$B432&lt;&gt;"etf",_xll.YCP("M:"&amp; $A432,"five_year_total_return",'Database Query'!$E$14))</f>
        <v>ERR: INVALID ASSET</v>
      </c>
      <c r="Q432" s="2" t="e" cm="1">
        <f t="array" aca="1" ref="Q432" ca="1">-_xll.YCP($E432,"five_year_return",'Database Query'!$E$14)+P432</f>
        <v>#VALUE!</v>
      </c>
    </row>
    <row r="433" spans="2:17" x14ac:dyDescent="0.25">
      <c r="B433" t="str" cm="1">
        <f t="array" aca="1" ref="B433" ca="1">_xll.YCI(A433,"detailed_security_type",TODAY())</f>
        <v/>
      </c>
      <c r="C433" t="str" cm="1">
        <f t="array" aca="1" ref="C433" ca="1">_xlfn.IFS(B433="etf", _xll.YCI(A433, "security_name",TODAY()),B433&lt;&gt;"etf",_xll.YCI("M:" &amp; A433, "security_name",TODAY()))</f>
        <v>ERR: INVALID ASSET</v>
      </c>
      <c r="D433" t="str" cm="1">
        <f t="array" aca="1" ref="D433" ca="1">_xlfn.IFS($B433="etf", _xll.YCI($A433, "ycharts_benchmark_category",TODAY()),$B433&lt;&gt;"etf",_xll.YCI("M:" &amp; $A433, "ycharts_benchmark_category",TODAY()))</f>
        <v>ERR: INVALID ASSET</v>
      </c>
      <c r="E433" t="str" cm="1">
        <f t="array" aca="1" ref="E433" ca="1">_xlfn.IFS($B433="etf", _xll.YCI($A433, "ycharts_benchmark_index_symbol",TODAY()),$B433&lt;&gt;"etf",_xll.YCI("M:" &amp; $A433, "ycharts_benchmark_index_symbol",TODAY()))</f>
        <v>ERR: INVALID ASSET</v>
      </c>
      <c r="F433" t="str" cm="1">
        <f t="array" aca="1" ref="F433" ca="1">_xlfn.IFS($B433="etf", _xll.YCI($E433, "security_name",TODAY()),$B433&lt;&gt;"etf",_xll.YCI( $E433, "security_name",TODAY()))</f>
        <v>ERR: INVALID ASSET</v>
      </c>
      <c r="G433" t="str" cm="1">
        <f t="array" aca="1" ref="G433" ca="1">_xlfn.IFS($B433="etf", _xll.YCI($A433, "prospectus_benchmark_index",TODAY()),$B433&lt;&gt;"etf",_xll.YCI("M:" &amp; $A433, "prospectus_benchmark_index",TODAY()))</f>
        <v>ERR: INVALID ASSET</v>
      </c>
      <c r="H433" s="2" t="str" cm="1">
        <f t="array" aca="1" ref="H433" ca="1">_xlfn.IFS($B433="etf", _xll.YCP($A433,"quarterly_total_return",'Database Query'!$E$14),$B433&lt;&gt;"etf",_xll.YCP("M:"&amp; $A433,"quarterly_total_return",'Database Query'!$E$14))</f>
        <v>ERR: INVALID ASSET</v>
      </c>
      <c r="I433" s="2" t="e" cm="1">
        <f t="array" aca="1" ref="I433" ca="1">-_xll.YCP($E433,"quarterly_return",'Database Query'!$E$14)+H433</f>
        <v>#VALUE!</v>
      </c>
      <c r="J433" s="2" t="str" cm="1">
        <f t="array" aca="1" ref="J433" ca="1">_xlfn.IFS($B433="etf", _xll.YCP($A433,"ytd_total_return",'Database Query'!$E$14),$B433&lt;&gt;"etf",_xll.YCP("M:"&amp; $A433,"ytd_total_return",'Database Query'!$E$14))</f>
        <v>ERR: INVALID ASSET</v>
      </c>
      <c r="K433" s="2" t="e" cm="1">
        <f t="array" aca="1" ref="K433" ca="1">-_xll.YCP($E433,"ytd_return",'Database Query'!$E$14)+J433</f>
        <v>#VALUE!</v>
      </c>
      <c r="L433" s="2" t="str" cm="1">
        <f t="array" aca="1" ref="L433" ca="1">_xlfn.IFS($B433="etf", _xll.YCP($A433,"one_year_total_return",'Database Query'!$E$14),$B433&lt;&gt;"etf",_xll.YCP("M:"&amp; $A433,"one_year_total_return",'Database Query'!$E$14))</f>
        <v>ERR: INVALID ASSET</v>
      </c>
      <c r="M433" s="2" t="e" cm="1">
        <f t="array" aca="1" ref="M433" ca="1">-_xll.YCP($E433,"one_year_return",'Database Query'!$E$14)+L433</f>
        <v>#VALUE!</v>
      </c>
      <c r="N433" s="2" t="str" cm="1">
        <f t="array" aca="1" ref="N433" ca="1">_xlfn.IFS($B433="etf", _xll.YCP($A433,"three_year_total_return",'Database Query'!$E$14),$B433&lt;&gt;"etf",_xll.YCP("M:"&amp; $A433,"three_year_total_return",'Database Query'!$E$14))</f>
        <v>ERR: INVALID ASSET</v>
      </c>
      <c r="O433" s="2" t="e" cm="1">
        <f t="array" aca="1" ref="O433" ca="1">-_xll.YCP($E433,"three_year_return",'Database Query'!$E$14)+N433</f>
        <v>#VALUE!</v>
      </c>
      <c r="P433" s="2" t="str" cm="1">
        <f t="array" aca="1" ref="P433" ca="1">_xlfn.IFS($B433="etf", _xll.YCP($A433,"five_year_total_return",'Database Query'!$E$14),$B433&lt;&gt;"etf",_xll.YCP("M:"&amp; $A433,"five_year_total_return",'Database Query'!$E$14))</f>
        <v>ERR: INVALID ASSET</v>
      </c>
      <c r="Q433" s="2" t="e" cm="1">
        <f t="array" aca="1" ref="Q433" ca="1">-_xll.YCP($E433,"five_year_return",'Database Query'!$E$14)+P433</f>
        <v>#VALUE!</v>
      </c>
    </row>
    <row r="434" spans="2:17" x14ac:dyDescent="0.25">
      <c r="B434" t="str" cm="1">
        <f t="array" aca="1" ref="B434" ca="1">_xll.YCI(A434,"detailed_security_type",TODAY())</f>
        <v/>
      </c>
      <c r="C434" t="str" cm="1">
        <f t="array" aca="1" ref="C434" ca="1">_xlfn.IFS(B434="etf", _xll.YCI(A434, "security_name",TODAY()),B434&lt;&gt;"etf",_xll.YCI("M:" &amp; A434, "security_name",TODAY()))</f>
        <v>ERR: INVALID ASSET</v>
      </c>
      <c r="D434" t="str" cm="1">
        <f t="array" aca="1" ref="D434" ca="1">_xlfn.IFS($B434="etf", _xll.YCI($A434, "ycharts_benchmark_category",TODAY()),$B434&lt;&gt;"etf",_xll.YCI("M:" &amp; $A434, "ycharts_benchmark_category",TODAY()))</f>
        <v>ERR: INVALID ASSET</v>
      </c>
      <c r="E434" t="str" cm="1">
        <f t="array" aca="1" ref="E434" ca="1">_xlfn.IFS($B434="etf", _xll.YCI($A434, "ycharts_benchmark_index_symbol",TODAY()),$B434&lt;&gt;"etf",_xll.YCI("M:" &amp; $A434, "ycharts_benchmark_index_symbol",TODAY()))</f>
        <v>ERR: INVALID ASSET</v>
      </c>
      <c r="F434" t="str" cm="1">
        <f t="array" aca="1" ref="F434" ca="1">_xlfn.IFS($B434="etf", _xll.YCI($E434, "security_name",TODAY()),$B434&lt;&gt;"etf",_xll.YCI( $E434, "security_name",TODAY()))</f>
        <v>ERR: INVALID ASSET</v>
      </c>
      <c r="G434" t="str" cm="1">
        <f t="array" aca="1" ref="G434" ca="1">_xlfn.IFS($B434="etf", _xll.YCI($A434, "prospectus_benchmark_index",TODAY()),$B434&lt;&gt;"etf",_xll.YCI("M:" &amp; $A434, "prospectus_benchmark_index",TODAY()))</f>
        <v>ERR: INVALID ASSET</v>
      </c>
      <c r="H434" s="2" t="str" cm="1">
        <f t="array" aca="1" ref="H434" ca="1">_xlfn.IFS($B434="etf", _xll.YCP($A434,"quarterly_total_return",'Database Query'!$E$14),$B434&lt;&gt;"etf",_xll.YCP("M:"&amp; $A434,"quarterly_total_return",'Database Query'!$E$14))</f>
        <v>ERR: INVALID ASSET</v>
      </c>
      <c r="I434" s="2" t="e" cm="1">
        <f t="array" aca="1" ref="I434" ca="1">-_xll.YCP($E434,"quarterly_return",'Database Query'!$E$14)+H434</f>
        <v>#VALUE!</v>
      </c>
      <c r="J434" s="2" t="str" cm="1">
        <f t="array" aca="1" ref="J434" ca="1">_xlfn.IFS($B434="etf", _xll.YCP($A434,"ytd_total_return",'Database Query'!$E$14),$B434&lt;&gt;"etf",_xll.YCP("M:"&amp; $A434,"ytd_total_return",'Database Query'!$E$14))</f>
        <v>ERR: INVALID ASSET</v>
      </c>
      <c r="K434" s="2" t="e" cm="1">
        <f t="array" aca="1" ref="K434" ca="1">-_xll.YCP($E434,"ytd_return",'Database Query'!$E$14)+J434</f>
        <v>#VALUE!</v>
      </c>
      <c r="L434" s="2" t="str" cm="1">
        <f t="array" aca="1" ref="L434" ca="1">_xlfn.IFS($B434="etf", _xll.YCP($A434,"one_year_total_return",'Database Query'!$E$14),$B434&lt;&gt;"etf",_xll.YCP("M:"&amp; $A434,"one_year_total_return",'Database Query'!$E$14))</f>
        <v>ERR: INVALID ASSET</v>
      </c>
      <c r="M434" s="2" t="e" cm="1">
        <f t="array" aca="1" ref="M434" ca="1">-_xll.YCP($E434,"one_year_return",'Database Query'!$E$14)+L434</f>
        <v>#VALUE!</v>
      </c>
      <c r="N434" s="2" t="str" cm="1">
        <f t="array" aca="1" ref="N434" ca="1">_xlfn.IFS($B434="etf", _xll.YCP($A434,"three_year_total_return",'Database Query'!$E$14),$B434&lt;&gt;"etf",_xll.YCP("M:"&amp; $A434,"three_year_total_return",'Database Query'!$E$14))</f>
        <v>ERR: INVALID ASSET</v>
      </c>
      <c r="O434" s="2" t="e" cm="1">
        <f t="array" aca="1" ref="O434" ca="1">-_xll.YCP($E434,"three_year_return",'Database Query'!$E$14)+N434</f>
        <v>#VALUE!</v>
      </c>
      <c r="P434" s="2" t="str" cm="1">
        <f t="array" aca="1" ref="P434" ca="1">_xlfn.IFS($B434="etf", _xll.YCP($A434,"five_year_total_return",'Database Query'!$E$14),$B434&lt;&gt;"etf",_xll.YCP("M:"&amp; $A434,"five_year_total_return",'Database Query'!$E$14))</f>
        <v>ERR: INVALID ASSET</v>
      </c>
      <c r="Q434" s="2" t="e" cm="1">
        <f t="array" aca="1" ref="Q434" ca="1">-_xll.YCP($E434,"five_year_return",'Database Query'!$E$14)+P434</f>
        <v>#VALUE!</v>
      </c>
    </row>
    <row r="435" spans="2:17" x14ac:dyDescent="0.25">
      <c r="B435" t="str" cm="1">
        <f t="array" aca="1" ref="B435" ca="1">_xll.YCI(A435,"detailed_security_type",TODAY())</f>
        <v/>
      </c>
      <c r="C435" t="str" cm="1">
        <f t="array" aca="1" ref="C435" ca="1">_xlfn.IFS(B435="etf", _xll.YCI(A435, "security_name",TODAY()),B435&lt;&gt;"etf",_xll.YCI("M:" &amp; A435, "security_name",TODAY()))</f>
        <v>ERR: INVALID ASSET</v>
      </c>
      <c r="D435" t="str" cm="1">
        <f t="array" aca="1" ref="D435" ca="1">_xlfn.IFS($B435="etf", _xll.YCI($A435, "ycharts_benchmark_category",TODAY()),$B435&lt;&gt;"etf",_xll.YCI("M:" &amp; $A435, "ycharts_benchmark_category",TODAY()))</f>
        <v>ERR: INVALID ASSET</v>
      </c>
      <c r="E435" t="str" cm="1">
        <f t="array" aca="1" ref="E435" ca="1">_xlfn.IFS($B435="etf", _xll.YCI($A435, "ycharts_benchmark_index_symbol",TODAY()),$B435&lt;&gt;"etf",_xll.YCI("M:" &amp; $A435, "ycharts_benchmark_index_symbol",TODAY()))</f>
        <v>ERR: INVALID ASSET</v>
      </c>
      <c r="F435" t="str" cm="1">
        <f t="array" aca="1" ref="F435" ca="1">_xlfn.IFS($B435="etf", _xll.YCI($E435, "security_name",TODAY()),$B435&lt;&gt;"etf",_xll.YCI( $E435, "security_name",TODAY()))</f>
        <v>ERR: INVALID ASSET</v>
      </c>
      <c r="G435" t="str" cm="1">
        <f t="array" aca="1" ref="G435" ca="1">_xlfn.IFS($B435="etf", _xll.YCI($A435, "prospectus_benchmark_index",TODAY()),$B435&lt;&gt;"etf",_xll.YCI("M:" &amp; $A435, "prospectus_benchmark_index",TODAY()))</f>
        <v>ERR: INVALID ASSET</v>
      </c>
      <c r="H435" s="2" t="str" cm="1">
        <f t="array" aca="1" ref="H435" ca="1">_xlfn.IFS($B435="etf", _xll.YCP($A435,"quarterly_total_return",'Database Query'!$E$14),$B435&lt;&gt;"etf",_xll.YCP("M:"&amp; $A435,"quarterly_total_return",'Database Query'!$E$14))</f>
        <v>ERR: INVALID ASSET</v>
      </c>
      <c r="I435" s="2" t="e" cm="1">
        <f t="array" aca="1" ref="I435" ca="1">-_xll.YCP($E435,"quarterly_return",'Database Query'!$E$14)+H435</f>
        <v>#VALUE!</v>
      </c>
      <c r="J435" s="2" t="str" cm="1">
        <f t="array" aca="1" ref="J435" ca="1">_xlfn.IFS($B435="etf", _xll.YCP($A435,"ytd_total_return",'Database Query'!$E$14),$B435&lt;&gt;"etf",_xll.YCP("M:"&amp; $A435,"ytd_total_return",'Database Query'!$E$14))</f>
        <v>ERR: INVALID ASSET</v>
      </c>
      <c r="K435" s="2" t="e" cm="1">
        <f t="array" aca="1" ref="K435" ca="1">-_xll.YCP($E435,"ytd_return",'Database Query'!$E$14)+J435</f>
        <v>#VALUE!</v>
      </c>
      <c r="L435" s="2" t="str" cm="1">
        <f t="array" aca="1" ref="L435" ca="1">_xlfn.IFS($B435="etf", _xll.YCP($A435,"one_year_total_return",'Database Query'!$E$14),$B435&lt;&gt;"etf",_xll.YCP("M:"&amp; $A435,"one_year_total_return",'Database Query'!$E$14))</f>
        <v>ERR: INVALID ASSET</v>
      </c>
      <c r="M435" s="2" t="e" cm="1">
        <f t="array" aca="1" ref="M435" ca="1">-_xll.YCP($E435,"one_year_return",'Database Query'!$E$14)+L435</f>
        <v>#VALUE!</v>
      </c>
      <c r="N435" s="2" t="str" cm="1">
        <f t="array" aca="1" ref="N435" ca="1">_xlfn.IFS($B435="etf", _xll.YCP($A435,"three_year_total_return",'Database Query'!$E$14),$B435&lt;&gt;"etf",_xll.YCP("M:"&amp; $A435,"three_year_total_return",'Database Query'!$E$14))</f>
        <v>ERR: INVALID ASSET</v>
      </c>
      <c r="O435" s="2" t="e" cm="1">
        <f t="array" aca="1" ref="O435" ca="1">-_xll.YCP($E435,"three_year_return",'Database Query'!$E$14)+N435</f>
        <v>#VALUE!</v>
      </c>
      <c r="P435" s="2" t="str" cm="1">
        <f t="array" aca="1" ref="P435" ca="1">_xlfn.IFS($B435="etf", _xll.YCP($A435,"five_year_total_return",'Database Query'!$E$14),$B435&lt;&gt;"etf",_xll.YCP("M:"&amp; $A435,"five_year_total_return",'Database Query'!$E$14))</f>
        <v>ERR: INVALID ASSET</v>
      </c>
      <c r="Q435" s="2" t="e" cm="1">
        <f t="array" aca="1" ref="Q435" ca="1">-_xll.YCP($E435,"five_year_return",'Database Query'!$E$14)+P435</f>
        <v>#VALUE!</v>
      </c>
    </row>
    <row r="436" spans="2:17" x14ac:dyDescent="0.25">
      <c r="B436" t="str" cm="1">
        <f t="array" aca="1" ref="B436" ca="1">_xll.YCI(A436,"detailed_security_type",TODAY())</f>
        <v/>
      </c>
      <c r="C436" t="str" cm="1">
        <f t="array" aca="1" ref="C436" ca="1">_xlfn.IFS(B436="etf", _xll.YCI(A436, "security_name",TODAY()),B436&lt;&gt;"etf",_xll.YCI("M:" &amp; A436, "security_name",TODAY()))</f>
        <v>ERR: INVALID ASSET</v>
      </c>
      <c r="D436" t="str" cm="1">
        <f t="array" aca="1" ref="D436" ca="1">_xlfn.IFS($B436="etf", _xll.YCI($A436, "ycharts_benchmark_category",TODAY()),$B436&lt;&gt;"etf",_xll.YCI("M:" &amp; $A436, "ycharts_benchmark_category",TODAY()))</f>
        <v>ERR: INVALID ASSET</v>
      </c>
      <c r="E436" t="str" cm="1">
        <f t="array" aca="1" ref="E436" ca="1">_xlfn.IFS($B436="etf", _xll.YCI($A436, "ycharts_benchmark_index_symbol",TODAY()),$B436&lt;&gt;"etf",_xll.YCI("M:" &amp; $A436, "ycharts_benchmark_index_symbol",TODAY()))</f>
        <v>ERR: INVALID ASSET</v>
      </c>
      <c r="F436" t="str" cm="1">
        <f t="array" aca="1" ref="F436" ca="1">_xlfn.IFS($B436="etf", _xll.YCI($E436, "security_name",TODAY()),$B436&lt;&gt;"etf",_xll.YCI( $E436, "security_name",TODAY()))</f>
        <v>ERR: INVALID ASSET</v>
      </c>
      <c r="G436" t="str" cm="1">
        <f t="array" aca="1" ref="G436" ca="1">_xlfn.IFS($B436="etf", _xll.YCI($A436, "prospectus_benchmark_index",TODAY()),$B436&lt;&gt;"etf",_xll.YCI("M:" &amp; $A436, "prospectus_benchmark_index",TODAY()))</f>
        <v>ERR: INVALID ASSET</v>
      </c>
      <c r="H436" s="2" t="str" cm="1">
        <f t="array" aca="1" ref="H436" ca="1">_xlfn.IFS($B436="etf", _xll.YCP($A436,"quarterly_total_return",'Database Query'!$E$14),$B436&lt;&gt;"etf",_xll.YCP("M:"&amp; $A436,"quarterly_total_return",'Database Query'!$E$14))</f>
        <v>ERR: INVALID ASSET</v>
      </c>
      <c r="I436" s="2" t="e" cm="1">
        <f t="array" aca="1" ref="I436" ca="1">-_xll.YCP($E436,"quarterly_return",'Database Query'!$E$14)+H436</f>
        <v>#VALUE!</v>
      </c>
      <c r="J436" s="2" t="str" cm="1">
        <f t="array" aca="1" ref="J436" ca="1">_xlfn.IFS($B436="etf", _xll.YCP($A436,"ytd_total_return",'Database Query'!$E$14),$B436&lt;&gt;"etf",_xll.YCP("M:"&amp; $A436,"ytd_total_return",'Database Query'!$E$14))</f>
        <v>ERR: INVALID ASSET</v>
      </c>
      <c r="K436" s="2" t="e" cm="1">
        <f t="array" aca="1" ref="K436" ca="1">-_xll.YCP($E436,"ytd_return",'Database Query'!$E$14)+J436</f>
        <v>#VALUE!</v>
      </c>
      <c r="L436" s="2" t="str" cm="1">
        <f t="array" aca="1" ref="L436" ca="1">_xlfn.IFS($B436="etf", _xll.YCP($A436,"one_year_total_return",'Database Query'!$E$14),$B436&lt;&gt;"etf",_xll.YCP("M:"&amp; $A436,"one_year_total_return",'Database Query'!$E$14))</f>
        <v>ERR: INVALID ASSET</v>
      </c>
      <c r="M436" s="2" t="e" cm="1">
        <f t="array" aca="1" ref="M436" ca="1">-_xll.YCP($E436,"one_year_return",'Database Query'!$E$14)+L436</f>
        <v>#VALUE!</v>
      </c>
      <c r="N436" s="2" t="str" cm="1">
        <f t="array" aca="1" ref="N436" ca="1">_xlfn.IFS($B436="etf", _xll.YCP($A436,"three_year_total_return",'Database Query'!$E$14),$B436&lt;&gt;"etf",_xll.YCP("M:"&amp; $A436,"three_year_total_return",'Database Query'!$E$14))</f>
        <v>ERR: INVALID ASSET</v>
      </c>
      <c r="O436" s="2" t="e" cm="1">
        <f t="array" aca="1" ref="O436" ca="1">-_xll.YCP($E436,"three_year_return",'Database Query'!$E$14)+N436</f>
        <v>#VALUE!</v>
      </c>
      <c r="P436" s="2" t="str" cm="1">
        <f t="array" aca="1" ref="P436" ca="1">_xlfn.IFS($B436="etf", _xll.YCP($A436,"five_year_total_return",'Database Query'!$E$14),$B436&lt;&gt;"etf",_xll.YCP("M:"&amp; $A436,"five_year_total_return",'Database Query'!$E$14))</f>
        <v>ERR: INVALID ASSET</v>
      </c>
      <c r="Q436" s="2" t="e" cm="1">
        <f t="array" aca="1" ref="Q436" ca="1">-_xll.YCP($E436,"five_year_return",'Database Query'!$E$14)+P436</f>
        <v>#VALUE!</v>
      </c>
    </row>
    <row r="437" spans="2:17" x14ac:dyDescent="0.25">
      <c r="B437" t="str" cm="1">
        <f t="array" aca="1" ref="B437" ca="1">_xll.YCI(A437,"detailed_security_type",TODAY())</f>
        <v/>
      </c>
      <c r="C437" t="str" cm="1">
        <f t="array" aca="1" ref="C437" ca="1">_xlfn.IFS(B437="etf", _xll.YCI(A437, "security_name",TODAY()),B437&lt;&gt;"etf",_xll.YCI("M:" &amp; A437, "security_name",TODAY()))</f>
        <v>ERR: INVALID ASSET</v>
      </c>
      <c r="D437" t="str" cm="1">
        <f t="array" aca="1" ref="D437" ca="1">_xlfn.IFS($B437="etf", _xll.YCI($A437, "ycharts_benchmark_category",TODAY()),$B437&lt;&gt;"etf",_xll.YCI("M:" &amp; $A437, "ycharts_benchmark_category",TODAY()))</f>
        <v>ERR: INVALID ASSET</v>
      </c>
      <c r="E437" t="str" cm="1">
        <f t="array" aca="1" ref="E437" ca="1">_xlfn.IFS($B437="etf", _xll.YCI($A437, "ycharts_benchmark_index_symbol",TODAY()),$B437&lt;&gt;"etf",_xll.YCI("M:" &amp; $A437, "ycharts_benchmark_index_symbol",TODAY()))</f>
        <v>ERR: INVALID ASSET</v>
      </c>
      <c r="F437" t="str" cm="1">
        <f t="array" aca="1" ref="F437" ca="1">_xlfn.IFS($B437="etf", _xll.YCI($E437, "security_name",TODAY()),$B437&lt;&gt;"etf",_xll.YCI( $E437, "security_name",TODAY()))</f>
        <v>ERR: INVALID ASSET</v>
      </c>
      <c r="G437" t="str" cm="1">
        <f t="array" aca="1" ref="G437" ca="1">_xlfn.IFS($B437="etf", _xll.YCI($A437, "prospectus_benchmark_index",TODAY()),$B437&lt;&gt;"etf",_xll.YCI("M:" &amp; $A437, "prospectus_benchmark_index",TODAY()))</f>
        <v>ERR: INVALID ASSET</v>
      </c>
      <c r="H437" s="2" t="str" cm="1">
        <f t="array" aca="1" ref="H437" ca="1">_xlfn.IFS($B437="etf", _xll.YCP($A437,"quarterly_total_return",'Database Query'!$E$14),$B437&lt;&gt;"etf",_xll.YCP("M:"&amp; $A437,"quarterly_total_return",'Database Query'!$E$14))</f>
        <v>ERR: INVALID ASSET</v>
      </c>
      <c r="I437" s="2" t="e" cm="1">
        <f t="array" aca="1" ref="I437" ca="1">-_xll.YCP($E437,"quarterly_return",'Database Query'!$E$14)+H437</f>
        <v>#VALUE!</v>
      </c>
      <c r="J437" s="2" t="str" cm="1">
        <f t="array" aca="1" ref="J437" ca="1">_xlfn.IFS($B437="etf", _xll.YCP($A437,"ytd_total_return",'Database Query'!$E$14),$B437&lt;&gt;"etf",_xll.YCP("M:"&amp; $A437,"ytd_total_return",'Database Query'!$E$14))</f>
        <v>ERR: INVALID ASSET</v>
      </c>
      <c r="K437" s="2" t="e" cm="1">
        <f t="array" aca="1" ref="K437" ca="1">-_xll.YCP($E437,"ytd_return",'Database Query'!$E$14)+J437</f>
        <v>#VALUE!</v>
      </c>
      <c r="L437" s="2" t="str" cm="1">
        <f t="array" aca="1" ref="L437" ca="1">_xlfn.IFS($B437="etf", _xll.YCP($A437,"one_year_total_return",'Database Query'!$E$14),$B437&lt;&gt;"etf",_xll.YCP("M:"&amp; $A437,"one_year_total_return",'Database Query'!$E$14))</f>
        <v>ERR: INVALID ASSET</v>
      </c>
      <c r="M437" s="2" t="e" cm="1">
        <f t="array" aca="1" ref="M437" ca="1">-_xll.YCP($E437,"one_year_return",'Database Query'!$E$14)+L437</f>
        <v>#VALUE!</v>
      </c>
      <c r="N437" s="2" t="str" cm="1">
        <f t="array" aca="1" ref="N437" ca="1">_xlfn.IFS($B437="etf", _xll.YCP($A437,"three_year_total_return",'Database Query'!$E$14),$B437&lt;&gt;"etf",_xll.YCP("M:"&amp; $A437,"three_year_total_return",'Database Query'!$E$14))</f>
        <v>ERR: INVALID ASSET</v>
      </c>
      <c r="O437" s="2" t="e" cm="1">
        <f t="array" aca="1" ref="O437" ca="1">-_xll.YCP($E437,"three_year_return",'Database Query'!$E$14)+N437</f>
        <v>#VALUE!</v>
      </c>
      <c r="P437" s="2" t="str" cm="1">
        <f t="array" aca="1" ref="P437" ca="1">_xlfn.IFS($B437="etf", _xll.YCP($A437,"five_year_total_return",'Database Query'!$E$14),$B437&lt;&gt;"etf",_xll.YCP("M:"&amp; $A437,"five_year_total_return",'Database Query'!$E$14))</f>
        <v>ERR: INVALID ASSET</v>
      </c>
      <c r="Q437" s="2" t="e" cm="1">
        <f t="array" aca="1" ref="Q437" ca="1">-_xll.YCP($E437,"five_year_return",'Database Query'!$E$14)+P437</f>
        <v>#VALUE!</v>
      </c>
    </row>
    <row r="438" spans="2:17" x14ac:dyDescent="0.25">
      <c r="B438" t="str" cm="1">
        <f t="array" aca="1" ref="B438" ca="1">_xll.YCI(A438,"detailed_security_type",TODAY())</f>
        <v/>
      </c>
      <c r="C438" t="str" cm="1">
        <f t="array" aca="1" ref="C438" ca="1">_xlfn.IFS(B438="etf", _xll.YCI(A438, "security_name",TODAY()),B438&lt;&gt;"etf",_xll.YCI("M:" &amp; A438, "security_name",TODAY()))</f>
        <v>ERR: INVALID ASSET</v>
      </c>
      <c r="D438" t="str" cm="1">
        <f t="array" aca="1" ref="D438" ca="1">_xlfn.IFS($B438="etf", _xll.YCI($A438, "ycharts_benchmark_category",TODAY()),$B438&lt;&gt;"etf",_xll.YCI("M:" &amp; $A438, "ycharts_benchmark_category",TODAY()))</f>
        <v>ERR: INVALID ASSET</v>
      </c>
      <c r="E438" t="str" cm="1">
        <f t="array" aca="1" ref="E438" ca="1">_xlfn.IFS($B438="etf", _xll.YCI($A438, "ycharts_benchmark_index_symbol",TODAY()),$B438&lt;&gt;"etf",_xll.YCI("M:" &amp; $A438, "ycharts_benchmark_index_symbol",TODAY()))</f>
        <v>ERR: INVALID ASSET</v>
      </c>
      <c r="F438" t="str" cm="1">
        <f t="array" aca="1" ref="F438" ca="1">_xlfn.IFS($B438="etf", _xll.YCI($E438, "security_name",TODAY()),$B438&lt;&gt;"etf",_xll.YCI( $E438, "security_name",TODAY()))</f>
        <v>ERR: INVALID ASSET</v>
      </c>
      <c r="G438" t="str" cm="1">
        <f t="array" aca="1" ref="G438" ca="1">_xlfn.IFS($B438="etf", _xll.YCI($A438, "prospectus_benchmark_index",TODAY()),$B438&lt;&gt;"etf",_xll.YCI("M:" &amp; $A438, "prospectus_benchmark_index",TODAY()))</f>
        <v>ERR: INVALID ASSET</v>
      </c>
      <c r="H438" s="2" t="str" cm="1">
        <f t="array" aca="1" ref="H438" ca="1">_xlfn.IFS($B438="etf", _xll.YCP($A438,"quarterly_total_return",'Database Query'!$E$14),$B438&lt;&gt;"etf",_xll.YCP("M:"&amp; $A438,"quarterly_total_return",'Database Query'!$E$14))</f>
        <v>ERR: INVALID ASSET</v>
      </c>
      <c r="I438" s="2" t="e" cm="1">
        <f t="array" aca="1" ref="I438" ca="1">-_xll.YCP($E438,"quarterly_return",'Database Query'!$E$14)+H438</f>
        <v>#VALUE!</v>
      </c>
      <c r="J438" s="2" t="str" cm="1">
        <f t="array" aca="1" ref="J438" ca="1">_xlfn.IFS($B438="etf", _xll.YCP($A438,"ytd_total_return",'Database Query'!$E$14),$B438&lt;&gt;"etf",_xll.YCP("M:"&amp; $A438,"ytd_total_return",'Database Query'!$E$14))</f>
        <v>ERR: INVALID ASSET</v>
      </c>
      <c r="K438" s="2" t="e" cm="1">
        <f t="array" aca="1" ref="K438" ca="1">-_xll.YCP($E438,"ytd_return",'Database Query'!$E$14)+J438</f>
        <v>#VALUE!</v>
      </c>
      <c r="L438" s="2" t="str" cm="1">
        <f t="array" aca="1" ref="L438" ca="1">_xlfn.IFS($B438="etf", _xll.YCP($A438,"one_year_total_return",'Database Query'!$E$14),$B438&lt;&gt;"etf",_xll.YCP("M:"&amp; $A438,"one_year_total_return",'Database Query'!$E$14))</f>
        <v>ERR: INVALID ASSET</v>
      </c>
      <c r="M438" s="2" t="e" cm="1">
        <f t="array" aca="1" ref="M438" ca="1">-_xll.YCP($E438,"one_year_return",'Database Query'!$E$14)+L438</f>
        <v>#VALUE!</v>
      </c>
      <c r="N438" s="2" t="str" cm="1">
        <f t="array" aca="1" ref="N438" ca="1">_xlfn.IFS($B438="etf", _xll.YCP($A438,"three_year_total_return",'Database Query'!$E$14),$B438&lt;&gt;"etf",_xll.YCP("M:"&amp; $A438,"three_year_total_return",'Database Query'!$E$14))</f>
        <v>ERR: INVALID ASSET</v>
      </c>
      <c r="O438" s="2" t="e" cm="1">
        <f t="array" aca="1" ref="O438" ca="1">-_xll.YCP($E438,"three_year_return",'Database Query'!$E$14)+N438</f>
        <v>#VALUE!</v>
      </c>
      <c r="P438" s="2" t="str" cm="1">
        <f t="array" aca="1" ref="P438" ca="1">_xlfn.IFS($B438="etf", _xll.YCP($A438,"five_year_total_return",'Database Query'!$E$14),$B438&lt;&gt;"etf",_xll.YCP("M:"&amp; $A438,"five_year_total_return",'Database Query'!$E$14))</f>
        <v>ERR: INVALID ASSET</v>
      </c>
      <c r="Q438" s="2" t="e" cm="1">
        <f t="array" aca="1" ref="Q438" ca="1">-_xll.YCP($E438,"five_year_return",'Database Query'!$E$14)+P438</f>
        <v>#VALUE!</v>
      </c>
    </row>
    <row r="439" spans="2:17" x14ac:dyDescent="0.25">
      <c r="B439" t="str" cm="1">
        <f t="array" aca="1" ref="B439" ca="1">_xll.YCI(A439,"detailed_security_type",TODAY())</f>
        <v/>
      </c>
      <c r="C439" t="str" cm="1">
        <f t="array" aca="1" ref="C439" ca="1">_xlfn.IFS(B439="etf", _xll.YCI(A439, "security_name",TODAY()),B439&lt;&gt;"etf",_xll.YCI("M:" &amp; A439, "security_name",TODAY()))</f>
        <v>ERR: INVALID ASSET</v>
      </c>
      <c r="D439" t="str" cm="1">
        <f t="array" aca="1" ref="D439" ca="1">_xlfn.IFS($B439="etf", _xll.YCI($A439, "ycharts_benchmark_category",TODAY()),$B439&lt;&gt;"etf",_xll.YCI("M:" &amp; $A439, "ycharts_benchmark_category",TODAY()))</f>
        <v>ERR: INVALID ASSET</v>
      </c>
      <c r="E439" t="str" cm="1">
        <f t="array" aca="1" ref="E439" ca="1">_xlfn.IFS($B439="etf", _xll.YCI($A439, "ycharts_benchmark_index_symbol",TODAY()),$B439&lt;&gt;"etf",_xll.YCI("M:" &amp; $A439, "ycharts_benchmark_index_symbol",TODAY()))</f>
        <v>ERR: INVALID ASSET</v>
      </c>
      <c r="F439" t="str" cm="1">
        <f t="array" aca="1" ref="F439" ca="1">_xlfn.IFS($B439="etf", _xll.YCI($E439, "security_name",TODAY()),$B439&lt;&gt;"etf",_xll.YCI( $E439, "security_name",TODAY()))</f>
        <v>ERR: INVALID ASSET</v>
      </c>
      <c r="G439" t="str" cm="1">
        <f t="array" aca="1" ref="G439" ca="1">_xlfn.IFS($B439="etf", _xll.YCI($A439, "prospectus_benchmark_index",TODAY()),$B439&lt;&gt;"etf",_xll.YCI("M:" &amp; $A439, "prospectus_benchmark_index",TODAY()))</f>
        <v>ERR: INVALID ASSET</v>
      </c>
      <c r="H439" s="2" t="str" cm="1">
        <f t="array" aca="1" ref="H439" ca="1">_xlfn.IFS($B439="etf", _xll.YCP($A439,"quarterly_total_return",'Database Query'!$E$14),$B439&lt;&gt;"etf",_xll.YCP("M:"&amp; $A439,"quarterly_total_return",'Database Query'!$E$14))</f>
        <v>ERR: INVALID ASSET</v>
      </c>
      <c r="I439" s="2" t="e" cm="1">
        <f t="array" aca="1" ref="I439" ca="1">-_xll.YCP($E439,"quarterly_return",'Database Query'!$E$14)+H439</f>
        <v>#VALUE!</v>
      </c>
      <c r="J439" s="2" t="str" cm="1">
        <f t="array" aca="1" ref="J439" ca="1">_xlfn.IFS($B439="etf", _xll.YCP($A439,"ytd_total_return",'Database Query'!$E$14),$B439&lt;&gt;"etf",_xll.YCP("M:"&amp; $A439,"ytd_total_return",'Database Query'!$E$14))</f>
        <v>ERR: INVALID ASSET</v>
      </c>
      <c r="K439" s="2" t="e" cm="1">
        <f t="array" aca="1" ref="K439" ca="1">-_xll.YCP($E439,"ytd_return",'Database Query'!$E$14)+J439</f>
        <v>#VALUE!</v>
      </c>
      <c r="L439" s="2" t="str" cm="1">
        <f t="array" aca="1" ref="L439" ca="1">_xlfn.IFS($B439="etf", _xll.YCP($A439,"one_year_total_return",'Database Query'!$E$14),$B439&lt;&gt;"etf",_xll.YCP("M:"&amp; $A439,"one_year_total_return",'Database Query'!$E$14))</f>
        <v>ERR: INVALID ASSET</v>
      </c>
      <c r="M439" s="2" t="e" cm="1">
        <f t="array" aca="1" ref="M439" ca="1">-_xll.YCP($E439,"one_year_return",'Database Query'!$E$14)+L439</f>
        <v>#VALUE!</v>
      </c>
      <c r="N439" s="2" t="str" cm="1">
        <f t="array" aca="1" ref="N439" ca="1">_xlfn.IFS($B439="etf", _xll.YCP($A439,"three_year_total_return",'Database Query'!$E$14),$B439&lt;&gt;"etf",_xll.YCP("M:"&amp; $A439,"three_year_total_return",'Database Query'!$E$14))</f>
        <v>ERR: INVALID ASSET</v>
      </c>
      <c r="O439" s="2" t="e" cm="1">
        <f t="array" aca="1" ref="O439" ca="1">-_xll.YCP($E439,"three_year_return",'Database Query'!$E$14)+N439</f>
        <v>#VALUE!</v>
      </c>
      <c r="P439" s="2" t="str" cm="1">
        <f t="array" aca="1" ref="P439" ca="1">_xlfn.IFS($B439="etf", _xll.YCP($A439,"five_year_total_return",'Database Query'!$E$14),$B439&lt;&gt;"etf",_xll.YCP("M:"&amp; $A439,"five_year_total_return",'Database Query'!$E$14))</f>
        <v>ERR: INVALID ASSET</v>
      </c>
      <c r="Q439" s="2" t="e" cm="1">
        <f t="array" aca="1" ref="Q439" ca="1">-_xll.YCP($E439,"five_year_return",'Database Query'!$E$14)+P439</f>
        <v>#VALUE!</v>
      </c>
    </row>
    <row r="440" spans="2:17" x14ac:dyDescent="0.25">
      <c r="B440" t="str" cm="1">
        <f t="array" aca="1" ref="B440" ca="1">_xll.YCI(A440,"detailed_security_type",TODAY())</f>
        <v/>
      </c>
      <c r="C440" t="str" cm="1">
        <f t="array" aca="1" ref="C440" ca="1">_xlfn.IFS(B440="etf", _xll.YCI(A440, "security_name",TODAY()),B440&lt;&gt;"etf",_xll.YCI("M:" &amp; A440, "security_name",TODAY()))</f>
        <v>ERR: INVALID ASSET</v>
      </c>
      <c r="D440" t="str" cm="1">
        <f t="array" aca="1" ref="D440" ca="1">_xlfn.IFS($B440="etf", _xll.YCI($A440, "ycharts_benchmark_category",TODAY()),$B440&lt;&gt;"etf",_xll.YCI("M:" &amp; $A440, "ycharts_benchmark_category",TODAY()))</f>
        <v>ERR: INVALID ASSET</v>
      </c>
      <c r="E440" t="str" cm="1">
        <f t="array" aca="1" ref="E440" ca="1">_xlfn.IFS($B440="etf", _xll.YCI($A440, "ycharts_benchmark_index_symbol",TODAY()),$B440&lt;&gt;"etf",_xll.YCI("M:" &amp; $A440, "ycharts_benchmark_index_symbol",TODAY()))</f>
        <v>ERR: INVALID ASSET</v>
      </c>
      <c r="F440" t="str" cm="1">
        <f t="array" aca="1" ref="F440" ca="1">_xlfn.IFS($B440="etf", _xll.YCI($E440, "security_name",TODAY()),$B440&lt;&gt;"etf",_xll.YCI( $E440, "security_name",TODAY()))</f>
        <v>ERR: INVALID ASSET</v>
      </c>
      <c r="G440" t="str" cm="1">
        <f t="array" aca="1" ref="G440" ca="1">_xlfn.IFS($B440="etf", _xll.YCI($A440, "prospectus_benchmark_index",TODAY()),$B440&lt;&gt;"etf",_xll.YCI("M:" &amp; $A440, "prospectus_benchmark_index",TODAY()))</f>
        <v>ERR: INVALID ASSET</v>
      </c>
      <c r="H440" s="2" t="str" cm="1">
        <f t="array" aca="1" ref="H440" ca="1">_xlfn.IFS($B440="etf", _xll.YCP($A440,"quarterly_total_return",'Database Query'!$E$14),$B440&lt;&gt;"etf",_xll.YCP("M:"&amp; $A440,"quarterly_total_return",'Database Query'!$E$14))</f>
        <v>ERR: INVALID ASSET</v>
      </c>
      <c r="I440" s="2" t="e" cm="1">
        <f t="array" aca="1" ref="I440" ca="1">-_xll.YCP($E440,"quarterly_return",'Database Query'!$E$14)+H440</f>
        <v>#VALUE!</v>
      </c>
      <c r="J440" s="2" t="str" cm="1">
        <f t="array" aca="1" ref="J440" ca="1">_xlfn.IFS($B440="etf", _xll.YCP($A440,"ytd_total_return",'Database Query'!$E$14),$B440&lt;&gt;"etf",_xll.YCP("M:"&amp; $A440,"ytd_total_return",'Database Query'!$E$14))</f>
        <v>ERR: INVALID ASSET</v>
      </c>
      <c r="K440" s="2" t="e" cm="1">
        <f t="array" aca="1" ref="K440" ca="1">-_xll.YCP($E440,"ytd_return",'Database Query'!$E$14)+J440</f>
        <v>#VALUE!</v>
      </c>
      <c r="L440" s="2" t="str" cm="1">
        <f t="array" aca="1" ref="L440" ca="1">_xlfn.IFS($B440="etf", _xll.YCP($A440,"one_year_total_return",'Database Query'!$E$14),$B440&lt;&gt;"etf",_xll.YCP("M:"&amp; $A440,"one_year_total_return",'Database Query'!$E$14))</f>
        <v>ERR: INVALID ASSET</v>
      </c>
      <c r="M440" s="2" t="e" cm="1">
        <f t="array" aca="1" ref="M440" ca="1">-_xll.YCP($E440,"one_year_return",'Database Query'!$E$14)+L440</f>
        <v>#VALUE!</v>
      </c>
      <c r="N440" s="2" t="str" cm="1">
        <f t="array" aca="1" ref="N440" ca="1">_xlfn.IFS($B440="etf", _xll.YCP($A440,"three_year_total_return",'Database Query'!$E$14),$B440&lt;&gt;"etf",_xll.YCP("M:"&amp; $A440,"three_year_total_return",'Database Query'!$E$14))</f>
        <v>ERR: INVALID ASSET</v>
      </c>
      <c r="O440" s="2" t="e" cm="1">
        <f t="array" aca="1" ref="O440" ca="1">-_xll.YCP($E440,"three_year_return",'Database Query'!$E$14)+N440</f>
        <v>#VALUE!</v>
      </c>
      <c r="P440" s="2" t="str" cm="1">
        <f t="array" aca="1" ref="P440" ca="1">_xlfn.IFS($B440="etf", _xll.YCP($A440,"five_year_total_return",'Database Query'!$E$14),$B440&lt;&gt;"etf",_xll.YCP("M:"&amp; $A440,"five_year_total_return",'Database Query'!$E$14))</f>
        <v>ERR: INVALID ASSET</v>
      </c>
      <c r="Q440" s="2" t="e" cm="1">
        <f t="array" aca="1" ref="Q440" ca="1">-_xll.YCP($E440,"five_year_return",'Database Query'!$E$14)+P440</f>
        <v>#VALUE!</v>
      </c>
    </row>
    <row r="441" spans="2:17" x14ac:dyDescent="0.25">
      <c r="B441" t="str" cm="1">
        <f t="array" aca="1" ref="B441" ca="1">_xll.YCI(A441,"detailed_security_type",TODAY())</f>
        <v/>
      </c>
      <c r="C441" t="str" cm="1">
        <f t="array" aca="1" ref="C441" ca="1">_xlfn.IFS(B441="etf", _xll.YCI(A441, "security_name",TODAY()),B441&lt;&gt;"etf",_xll.YCI("M:" &amp; A441, "security_name",TODAY()))</f>
        <v>ERR: INVALID ASSET</v>
      </c>
      <c r="D441" t="str" cm="1">
        <f t="array" aca="1" ref="D441" ca="1">_xlfn.IFS($B441="etf", _xll.YCI($A441, "ycharts_benchmark_category",TODAY()),$B441&lt;&gt;"etf",_xll.YCI("M:" &amp; $A441, "ycharts_benchmark_category",TODAY()))</f>
        <v>ERR: INVALID ASSET</v>
      </c>
      <c r="E441" t="str" cm="1">
        <f t="array" aca="1" ref="E441" ca="1">_xlfn.IFS($B441="etf", _xll.YCI($A441, "ycharts_benchmark_index_symbol",TODAY()),$B441&lt;&gt;"etf",_xll.YCI("M:" &amp; $A441, "ycharts_benchmark_index_symbol",TODAY()))</f>
        <v>ERR: INVALID ASSET</v>
      </c>
      <c r="F441" t="str" cm="1">
        <f t="array" aca="1" ref="F441" ca="1">_xlfn.IFS($B441="etf", _xll.YCI($E441, "security_name",TODAY()),$B441&lt;&gt;"etf",_xll.YCI( $E441, "security_name",TODAY()))</f>
        <v>ERR: INVALID ASSET</v>
      </c>
      <c r="G441" t="str" cm="1">
        <f t="array" aca="1" ref="G441" ca="1">_xlfn.IFS($B441="etf", _xll.YCI($A441, "prospectus_benchmark_index",TODAY()),$B441&lt;&gt;"etf",_xll.YCI("M:" &amp; $A441, "prospectus_benchmark_index",TODAY()))</f>
        <v>ERR: INVALID ASSET</v>
      </c>
      <c r="H441" s="2" t="str" cm="1">
        <f t="array" aca="1" ref="H441" ca="1">_xlfn.IFS($B441="etf", _xll.YCP($A441,"quarterly_total_return",'Database Query'!$E$14),$B441&lt;&gt;"etf",_xll.YCP("M:"&amp; $A441,"quarterly_total_return",'Database Query'!$E$14))</f>
        <v>ERR: INVALID ASSET</v>
      </c>
      <c r="I441" s="2" t="e" cm="1">
        <f t="array" aca="1" ref="I441" ca="1">-_xll.YCP($E441,"quarterly_return",'Database Query'!$E$14)+H441</f>
        <v>#VALUE!</v>
      </c>
      <c r="J441" s="2" t="str" cm="1">
        <f t="array" aca="1" ref="J441" ca="1">_xlfn.IFS($B441="etf", _xll.YCP($A441,"ytd_total_return",'Database Query'!$E$14),$B441&lt;&gt;"etf",_xll.YCP("M:"&amp; $A441,"ytd_total_return",'Database Query'!$E$14))</f>
        <v>ERR: INVALID ASSET</v>
      </c>
      <c r="K441" s="2" t="e" cm="1">
        <f t="array" aca="1" ref="K441" ca="1">-_xll.YCP($E441,"ytd_return",'Database Query'!$E$14)+J441</f>
        <v>#VALUE!</v>
      </c>
      <c r="L441" s="2" t="str" cm="1">
        <f t="array" aca="1" ref="L441" ca="1">_xlfn.IFS($B441="etf", _xll.YCP($A441,"one_year_total_return",'Database Query'!$E$14),$B441&lt;&gt;"etf",_xll.YCP("M:"&amp; $A441,"one_year_total_return",'Database Query'!$E$14))</f>
        <v>ERR: INVALID ASSET</v>
      </c>
      <c r="M441" s="2" t="e" cm="1">
        <f t="array" aca="1" ref="M441" ca="1">-_xll.YCP($E441,"one_year_return",'Database Query'!$E$14)+L441</f>
        <v>#VALUE!</v>
      </c>
      <c r="N441" s="2" t="str" cm="1">
        <f t="array" aca="1" ref="N441" ca="1">_xlfn.IFS($B441="etf", _xll.YCP($A441,"three_year_total_return",'Database Query'!$E$14),$B441&lt;&gt;"etf",_xll.YCP("M:"&amp; $A441,"three_year_total_return",'Database Query'!$E$14))</f>
        <v>ERR: INVALID ASSET</v>
      </c>
      <c r="O441" s="2" t="e" cm="1">
        <f t="array" aca="1" ref="O441" ca="1">-_xll.YCP($E441,"three_year_return",'Database Query'!$E$14)+N441</f>
        <v>#VALUE!</v>
      </c>
      <c r="P441" s="2" t="str" cm="1">
        <f t="array" aca="1" ref="P441" ca="1">_xlfn.IFS($B441="etf", _xll.YCP($A441,"five_year_total_return",'Database Query'!$E$14),$B441&lt;&gt;"etf",_xll.YCP("M:"&amp; $A441,"five_year_total_return",'Database Query'!$E$14))</f>
        <v>ERR: INVALID ASSET</v>
      </c>
      <c r="Q441" s="2" t="e" cm="1">
        <f t="array" aca="1" ref="Q441" ca="1">-_xll.YCP($E441,"five_year_return",'Database Query'!$E$14)+P441</f>
        <v>#VALUE!</v>
      </c>
    </row>
    <row r="442" spans="2:17" x14ac:dyDescent="0.25">
      <c r="B442" t="str" cm="1">
        <f t="array" aca="1" ref="B442" ca="1">_xll.YCI(A442,"detailed_security_type",TODAY())</f>
        <v/>
      </c>
      <c r="C442" t="str" cm="1">
        <f t="array" aca="1" ref="C442" ca="1">_xlfn.IFS(B442="etf", _xll.YCI(A442, "security_name",TODAY()),B442&lt;&gt;"etf",_xll.YCI("M:" &amp; A442, "security_name",TODAY()))</f>
        <v>ERR: INVALID ASSET</v>
      </c>
      <c r="D442" t="str" cm="1">
        <f t="array" aca="1" ref="D442" ca="1">_xlfn.IFS($B442="etf", _xll.YCI($A442, "ycharts_benchmark_category",TODAY()),$B442&lt;&gt;"etf",_xll.YCI("M:" &amp; $A442, "ycharts_benchmark_category",TODAY()))</f>
        <v>ERR: INVALID ASSET</v>
      </c>
      <c r="E442" t="str" cm="1">
        <f t="array" aca="1" ref="E442" ca="1">_xlfn.IFS($B442="etf", _xll.YCI($A442, "ycharts_benchmark_index_symbol",TODAY()),$B442&lt;&gt;"etf",_xll.YCI("M:" &amp; $A442, "ycharts_benchmark_index_symbol",TODAY()))</f>
        <v>ERR: INVALID ASSET</v>
      </c>
      <c r="F442" t="str" cm="1">
        <f t="array" aca="1" ref="F442" ca="1">_xlfn.IFS($B442="etf", _xll.YCI($E442, "security_name",TODAY()),$B442&lt;&gt;"etf",_xll.YCI( $E442, "security_name",TODAY()))</f>
        <v>ERR: INVALID ASSET</v>
      </c>
      <c r="G442" t="str" cm="1">
        <f t="array" aca="1" ref="G442" ca="1">_xlfn.IFS($B442="etf", _xll.YCI($A442, "prospectus_benchmark_index",TODAY()),$B442&lt;&gt;"etf",_xll.YCI("M:" &amp; $A442, "prospectus_benchmark_index",TODAY()))</f>
        <v>ERR: INVALID ASSET</v>
      </c>
      <c r="H442" s="2" t="str" cm="1">
        <f t="array" aca="1" ref="H442" ca="1">_xlfn.IFS($B442="etf", _xll.YCP($A442,"quarterly_total_return",'Database Query'!$E$14),$B442&lt;&gt;"etf",_xll.YCP("M:"&amp; $A442,"quarterly_total_return",'Database Query'!$E$14))</f>
        <v>ERR: INVALID ASSET</v>
      </c>
      <c r="I442" s="2" t="e" cm="1">
        <f t="array" aca="1" ref="I442" ca="1">-_xll.YCP($E442,"quarterly_return",'Database Query'!$E$14)+H442</f>
        <v>#VALUE!</v>
      </c>
      <c r="J442" s="2" t="str" cm="1">
        <f t="array" aca="1" ref="J442" ca="1">_xlfn.IFS($B442="etf", _xll.YCP($A442,"ytd_total_return",'Database Query'!$E$14),$B442&lt;&gt;"etf",_xll.YCP("M:"&amp; $A442,"ytd_total_return",'Database Query'!$E$14))</f>
        <v>ERR: INVALID ASSET</v>
      </c>
      <c r="K442" s="2" t="e" cm="1">
        <f t="array" aca="1" ref="K442" ca="1">-_xll.YCP($E442,"ytd_return",'Database Query'!$E$14)+J442</f>
        <v>#VALUE!</v>
      </c>
      <c r="L442" s="2" t="str" cm="1">
        <f t="array" aca="1" ref="L442" ca="1">_xlfn.IFS($B442="etf", _xll.YCP($A442,"one_year_total_return",'Database Query'!$E$14),$B442&lt;&gt;"etf",_xll.YCP("M:"&amp; $A442,"one_year_total_return",'Database Query'!$E$14))</f>
        <v>ERR: INVALID ASSET</v>
      </c>
      <c r="M442" s="2" t="e" cm="1">
        <f t="array" aca="1" ref="M442" ca="1">-_xll.YCP($E442,"one_year_return",'Database Query'!$E$14)+L442</f>
        <v>#VALUE!</v>
      </c>
      <c r="N442" s="2" t="str" cm="1">
        <f t="array" aca="1" ref="N442" ca="1">_xlfn.IFS($B442="etf", _xll.YCP($A442,"three_year_total_return",'Database Query'!$E$14),$B442&lt;&gt;"etf",_xll.YCP("M:"&amp; $A442,"three_year_total_return",'Database Query'!$E$14))</f>
        <v>ERR: INVALID ASSET</v>
      </c>
      <c r="O442" s="2" t="e" cm="1">
        <f t="array" aca="1" ref="O442" ca="1">-_xll.YCP($E442,"three_year_return",'Database Query'!$E$14)+N442</f>
        <v>#VALUE!</v>
      </c>
      <c r="P442" s="2" t="str" cm="1">
        <f t="array" aca="1" ref="P442" ca="1">_xlfn.IFS($B442="etf", _xll.YCP($A442,"five_year_total_return",'Database Query'!$E$14),$B442&lt;&gt;"etf",_xll.YCP("M:"&amp; $A442,"five_year_total_return",'Database Query'!$E$14))</f>
        <v>ERR: INVALID ASSET</v>
      </c>
      <c r="Q442" s="2" t="e" cm="1">
        <f t="array" aca="1" ref="Q442" ca="1">-_xll.YCP($E442,"five_year_return",'Database Query'!$E$14)+P442</f>
        <v>#VALUE!</v>
      </c>
    </row>
    <row r="443" spans="2:17" x14ac:dyDescent="0.25">
      <c r="B443" t="str" cm="1">
        <f t="array" aca="1" ref="B443" ca="1">_xll.YCI(A443,"detailed_security_type",TODAY())</f>
        <v/>
      </c>
      <c r="C443" t="str" cm="1">
        <f t="array" aca="1" ref="C443" ca="1">_xlfn.IFS(B443="etf", _xll.YCI(A443, "security_name",TODAY()),B443&lt;&gt;"etf",_xll.YCI("M:" &amp; A443, "security_name",TODAY()))</f>
        <v>ERR: INVALID ASSET</v>
      </c>
      <c r="D443" t="str" cm="1">
        <f t="array" aca="1" ref="D443" ca="1">_xlfn.IFS($B443="etf", _xll.YCI($A443, "ycharts_benchmark_category",TODAY()),$B443&lt;&gt;"etf",_xll.YCI("M:" &amp; $A443, "ycharts_benchmark_category",TODAY()))</f>
        <v>ERR: INVALID ASSET</v>
      </c>
      <c r="E443" t="str" cm="1">
        <f t="array" aca="1" ref="E443" ca="1">_xlfn.IFS($B443="etf", _xll.YCI($A443, "ycharts_benchmark_index_symbol",TODAY()),$B443&lt;&gt;"etf",_xll.YCI("M:" &amp; $A443, "ycharts_benchmark_index_symbol",TODAY()))</f>
        <v>ERR: INVALID ASSET</v>
      </c>
      <c r="F443" t="str" cm="1">
        <f t="array" aca="1" ref="F443" ca="1">_xlfn.IFS($B443="etf", _xll.YCI($E443, "security_name",TODAY()),$B443&lt;&gt;"etf",_xll.YCI( $E443, "security_name",TODAY()))</f>
        <v>ERR: INVALID ASSET</v>
      </c>
      <c r="G443" t="str" cm="1">
        <f t="array" aca="1" ref="G443" ca="1">_xlfn.IFS($B443="etf", _xll.YCI($A443, "prospectus_benchmark_index",TODAY()),$B443&lt;&gt;"etf",_xll.YCI("M:" &amp; $A443, "prospectus_benchmark_index",TODAY()))</f>
        <v>ERR: INVALID ASSET</v>
      </c>
      <c r="H443" s="2" t="str" cm="1">
        <f t="array" aca="1" ref="H443" ca="1">_xlfn.IFS($B443="etf", _xll.YCP($A443,"quarterly_total_return",'Database Query'!$E$14),$B443&lt;&gt;"etf",_xll.YCP("M:"&amp; $A443,"quarterly_total_return",'Database Query'!$E$14))</f>
        <v>ERR: INVALID ASSET</v>
      </c>
      <c r="I443" s="2" t="e" cm="1">
        <f t="array" aca="1" ref="I443" ca="1">-_xll.YCP($E443,"quarterly_return",'Database Query'!$E$14)+H443</f>
        <v>#VALUE!</v>
      </c>
      <c r="J443" s="2" t="str" cm="1">
        <f t="array" aca="1" ref="J443" ca="1">_xlfn.IFS($B443="etf", _xll.YCP($A443,"ytd_total_return",'Database Query'!$E$14),$B443&lt;&gt;"etf",_xll.YCP("M:"&amp; $A443,"ytd_total_return",'Database Query'!$E$14))</f>
        <v>ERR: INVALID ASSET</v>
      </c>
      <c r="K443" s="2" t="e" cm="1">
        <f t="array" aca="1" ref="K443" ca="1">-_xll.YCP($E443,"ytd_return",'Database Query'!$E$14)+J443</f>
        <v>#VALUE!</v>
      </c>
      <c r="L443" s="2" t="str" cm="1">
        <f t="array" aca="1" ref="L443" ca="1">_xlfn.IFS($B443="etf", _xll.YCP($A443,"one_year_total_return",'Database Query'!$E$14),$B443&lt;&gt;"etf",_xll.YCP("M:"&amp; $A443,"one_year_total_return",'Database Query'!$E$14))</f>
        <v>ERR: INVALID ASSET</v>
      </c>
      <c r="M443" s="2" t="e" cm="1">
        <f t="array" aca="1" ref="M443" ca="1">-_xll.YCP($E443,"one_year_return",'Database Query'!$E$14)+L443</f>
        <v>#VALUE!</v>
      </c>
      <c r="N443" s="2" t="str" cm="1">
        <f t="array" aca="1" ref="N443" ca="1">_xlfn.IFS($B443="etf", _xll.YCP($A443,"three_year_total_return",'Database Query'!$E$14),$B443&lt;&gt;"etf",_xll.YCP("M:"&amp; $A443,"three_year_total_return",'Database Query'!$E$14))</f>
        <v>ERR: INVALID ASSET</v>
      </c>
      <c r="O443" s="2" t="e" cm="1">
        <f t="array" aca="1" ref="O443" ca="1">-_xll.YCP($E443,"three_year_return",'Database Query'!$E$14)+N443</f>
        <v>#VALUE!</v>
      </c>
      <c r="P443" s="2" t="str" cm="1">
        <f t="array" aca="1" ref="P443" ca="1">_xlfn.IFS($B443="etf", _xll.YCP($A443,"five_year_total_return",'Database Query'!$E$14),$B443&lt;&gt;"etf",_xll.YCP("M:"&amp; $A443,"five_year_total_return",'Database Query'!$E$14))</f>
        <v>ERR: INVALID ASSET</v>
      </c>
      <c r="Q443" s="2" t="e" cm="1">
        <f t="array" aca="1" ref="Q443" ca="1">-_xll.YCP($E443,"five_year_return",'Database Query'!$E$14)+P443</f>
        <v>#VALUE!</v>
      </c>
    </row>
    <row r="444" spans="2:17" x14ac:dyDescent="0.25">
      <c r="B444" t="str" cm="1">
        <f t="array" aca="1" ref="B444" ca="1">_xll.YCI(A444,"detailed_security_type",TODAY())</f>
        <v/>
      </c>
      <c r="C444" t="str" cm="1">
        <f t="array" aca="1" ref="C444" ca="1">_xlfn.IFS(B444="etf", _xll.YCI(A444, "security_name",TODAY()),B444&lt;&gt;"etf",_xll.YCI("M:" &amp; A444, "security_name",TODAY()))</f>
        <v>ERR: INVALID ASSET</v>
      </c>
      <c r="D444" t="str" cm="1">
        <f t="array" aca="1" ref="D444" ca="1">_xlfn.IFS($B444="etf", _xll.YCI($A444, "ycharts_benchmark_category",TODAY()),$B444&lt;&gt;"etf",_xll.YCI("M:" &amp; $A444, "ycharts_benchmark_category",TODAY()))</f>
        <v>ERR: INVALID ASSET</v>
      </c>
      <c r="E444" t="str" cm="1">
        <f t="array" aca="1" ref="E444" ca="1">_xlfn.IFS($B444="etf", _xll.YCI($A444, "ycharts_benchmark_index_symbol",TODAY()),$B444&lt;&gt;"etf",_xll.YCI("M:" &amp; $A444, "ycharts_benchmark_index_symbol",TODAY()))</f>
        <v>ERR: INVALID ASSET</v>
      </c>
      <c r="F444" t="str" cm="1">
        <f t="array" aca="1" ref="F444" ca="1">_xlfn.IFS($B444="etf", _xll.YCI($E444, "security_name",TODAY()),$B444&lt;&gt;"etf",_xll.YCI( $E444, "security_name",TODAY()))</f>
        <v>ERR: INVALID ASSET</v>
      </c>
      <c r="G444" t="str" cm="1">
        <f t="array" aca="1" ref="G444" ca="1">_xlfn.IFS($B444="etf", _xll.YCI($A444, "prospectus_benchmark_index",TODAY()),$B444&lt;&gt;"etf",_xll.YCI("M:" &amp; $A444, "prospectus_benchmark_index",TODAY()))</f>
        <v>ERR: INVALID ASSET</v>
      </c>
      <c r="H444" s="2" t="str" cm="1">
        <f t="array" aca="1" ref="H444" ca="1">_xlfn.IFS($B444="etf", _xll.YCP($A444,"quarterly_total_return",'Database Query'!$E$14),$B444&lt;&gt;"etf",_xll.YCP("M:"&amp; $A444,"quarterly_total_return",'Database Query'!$E$14))</f>
        <v>ERR: INVALID ASSET</v>
      </c>
      <c r="I444" s="2" t="e" cm="1">
        <f t="array" aca="1" ref="I444" ca="1">-_xll.YCP($E444,"quarterly_return",'Database Query'!$E$14)+H444</f>
        <v>#VALUE!</v>
      </c>
      <c r="J444" s="2" t="str" cm="1">
        <f t="array" aca="1" ref="J444" ca="1">_xlfn.IFS($B444="etf", _xll.YCP($A444,"ytd_total_return",'Database Query'!$E$14),$B444&lt;&gt;"etf",_xll.YCP("M:"&amp; $A444,"ytd_total_return",'Database Query'!$E$14))</f>
        <v>ERR: INVALID ASSET</v>
      </c>
      <c r="K444" s="2" t="e" cm="1">
        <f t="array" aca="1" ref="K444" ca="1">-_xll.YCP($E444,"ytd_return",'Database Query'!$E$14)+J444</f>
        <v>#VALUE!</v>
      </c>
      <c r="L444" s="2" t="str" cm="1">
        <f t="array" aca="1" ref="L444" ca="1">_xlfn.IFS($B444="etf", _xll.YCP($A444,"one_year_total_return",'Database Query'!$E$14),$B444&lt;&gt;"etf",_xll.YCP("M:"&amp; $A444,"one_year_total_return",'Database Query'!$E$14))</f>
        <v>ERR: INVALID ASSET</v>
      </c>
      <c r="M444" s="2" t="e" cm="1">
        <f t="array" aca="1" ref="M444" ca="1">-_xll.YCP($E444,"one_year_return",'Database Query'!$E$14)+L444</f>
        <v>#VALUE!</v>
      </c>
      <c r="N444" s="2" t="str" cm="1">
        <f t="array" aca="1" ref="N444" ca="1">_xlfn.IFS($B444="etf", _xll.YCP($A444,"three_year_total_return",'Database Query'!$E$14),$B444&lt;&gt;"etf",_xll.YCP("M:"&amp; $A444,"three_year_total_return",'Database Query'!$E$14))</f>
        <v>ERR: INVALID ASSET</v>
      </c>
      <c r="O444" s="2" t="e" cm="1">
        <f t="array" aca="1" ref="O444" ca="1">-_xll.YCP($E444,"three_year_return",'Database Query'!$E$14)+N444</f>
        <v>#VALUE!</v>
      </c>
      <c r="P444" s="2" t="str" cm="1">
        <f t="array" aca="1" ref="P444" ca="1">_xlfn.IFS($B444="etf", _xll.YCP($A444,"five_year_total_return",'Database Query'!$E$14),$B444&lt;&gt;"etf",_xll.YCP("M:"&amp; $A444,"five_year_total_return",'Database Query'!$E$14))</f>
        <v>ERR: INVALID ASSET</v>
      </c>
      <c r="Q444" s="2" t="e" cm="1">
        <f t="array" aca="1" ref="Q444" ca="1">-_xll.YCP($E444,"five_year_return",'Database Query'!$E$14)+P444</f>
        <v>#VALUE!</v>
      </c>
    </row>
    <row r="445" spans="2:17" x14ac:dyDescent="0.25">
      <c r="B445" t="str" cm="1">
        <f t="array" aca="1" ref="B445" ca="1">_xll.YCI(A445,"detailed_security_type",TODAY())</f>
        <v/>
      </c>
      <c r="C445" t="str" cm="1">
        <f t="array" aca="1" ref="C445" ca="1">_xlfn.IFS(B445="etf", _xll.YCI(A445, "security_name",TODAY()),B445&lt;&gt;"etf",_xll.YCI("M:" &amp; A445, "security_name",TODAY()))</f>
        <v>ERR: INVALID ASSET</v>
      </c>
      <c r="D445" t="str" cm="1">
        <f t="array" aca="1" ref="D445" ca="1">_xlfn.IFS($B445="etf", _xll.YCI($A445, "ycharts_benchmark_category",TODAY()),$B445&lt;&gt;"etf",_xll.YCI("M:" &amp; $A445, "ycharts_benchmark_category",TODAY()))</f>
        <v>ERR: INVALID ASSET</v>
      </c>
      <c r="E445" t="str" cm="1">
        <f t="array" aca="1" ref="E445" ca="1">_xlfn.IFS($B445="etf", _xll.YCI($A445, "ycharts_benchmark_index_symbol",TODAY()),$B445&lt;&gt;"etf",_xll.YCI("M:" &amp; $A445, "ycharts_benchmark_index_symbol",TODAY()))</f>
        <v>ERR: INVALID ASSET</v>
      </c>
      <c r="F445" t="str" cm="1">
        <f t="array" aca="1" ref="F445" ca="1">_xlfn.IFS($B445="etf", _xll.YCI($E445, "security_name",TODAY()),$B445&lt;&gt;"etf",_xll.YCI( $E445, "security_name",TODAY()))</f>
        <v>ERR: INVALID ASSET</v>
      </c>
      <c r="G445" t="str" cm="1">
        <f t="array" aca="1" ref="G445" ca="1">_xlfn.IFS($B445="etf", _xll.YCI($A445, "prospectus_benchmark_index",TODAY()),$B445&lt;&gt;"etf",_xll.YCI("M:" &amp; $A445, "prospectus_benchmark_index",TODAY()))</f>
        <v>ERR: INVALID ASSET</v>
      </c>
      <c r="H445" s="2" t="str" cm="1">
        <f t="array" aca="1" ref="H445" ca="1">_xlfn.IFS($B445="etf", _xll.YCP($A445,"quarterly_total_return",'Database Query'!$E$14),$B445&lt;&gt;"etf",_xll.YCP("M:"&amp; $A445,"quarterly_total_return",'Database Query'!$E$14))</f>
        <v>ERR: INVALID ASSET</v>
      </c>
      <c r="I445" s="2" t="e" cm="1">
        <f t="array" aca="1" ref="I445" ca="1">-_xll.YCP($E445,"quarterly_return",'Database Query'!$E$14)+H445</f>
        <v>#VALUE!</v>
      </c>
      <c r="J445" s="2" t="str" cm="1">
        <f t="array" aca="1" ref="J445" ca="1">_xlfn.IFS($B445="etf", _xll.YCP($A445,"ytd_total_return",'Database Query'!$E$14),$B445&lt;&gt;"etf",_xll.YCP("M:"&amp; $A445,"ytd_total_return",'Database Query'!$E$14))</f>
        <v>ERR: INVALID ASSET</v>
      </c>
      <c r="K445" s="2" t="e" cm="1">
        <f t="array" aca="1" ref="K445" ca="1">-_xll.YCP($E445,"ytd_return",'Database Query'!$E$14)+J445</f>
        <v>#VALUE!</v>
      </c>
      <c r="L445" s="2" t="str" cm="1">
        <f t="array" aca="1" ref="L445" ca="1">_xlfn.IFS($B445="etf", _xll.YCP($A445,"one_year_total_return",'Database Query'!$E$14),$B445&lt;&gt;"etf",_xll.YCP("M:"&amp; $A445,"one_year_total_return",'Database Query'!$E$14))</f>
        <v>ERR: INVALID ASSET</v>
      </c>
      <c r="M445" s="2" t="e" cm="1">
        <f t="array" aca="1" ref="M445" ca="1">-_xll.YCP($E445,"one_year_return",'Database Query'!$E$14)+L445</f>
        <v>#VALUE!</v>
      </c>
      <c r="N445" s="2" t="str" cm="1">
        <f t="array" aca="1" ref="N445" ca="1">_xlfn.IFS($B445="etf", _xll.YCP($A445,"three_year_total_return",'Database Query'!$E$14),$B445&lt;&gt;"etf",_xll.YCP("M:"&amp; $A445,"three_year_total_return",'Database Query'!$E$14))</f>
        <v>ERR: INVALID ASSET</v>
      </c>
      <c r="O445" s="2" t="e" cm="1">
        <f t="array" aca="1" ref="O445" ca="1">-_xll.YCP($E445,"three_year_return",'Database Query'!$E$14)+N445</f>
        <v>#VALUE!</v>
      </c>
      <c r="P445" s="2" t="str" cm="1">
        <f t="array" aca="1" ref="P445" ca="1">_xlfn.IFS($B445="etf", _xll.YCP($A445,"five_year_total_return",'Database Query'!$E$14),$B445&lt;&gt;"etf",_xll.YCP("M:"&amp; $A445,"five_year_total_return",'Database Query'!$E$14))</f>
        <v>ERR: INVALID ASSET</v>
      </c>
      <c r="Q445" s="2" t="e" cm="1">
        <f t="array" aca="1" ref="Q445" ca="1">-_xll.YCP($E445,"five_year_return",'Database Query'!$E$14)+P445</f>
        <v>#VALUE!</v>
      </c>
    </row>
    <row r="446" spans="2:17" x14ac:dyDescent="0.25">
      <c r="B446" t="str" cm="1">
        <f t="array" aca="1" ref="B446" ca="1">_xll.YCI(A446,"detailed_security_type",TODAY())</f>
        <v/>
      </c>
      <c r="C446" t="str" cm="1">
        <f t="array" aca="1" ref="C446" ca="1">_xlfn.IFS(B446="etf", _xll.YCI(A446, "security_name",TODAY()),B446&lt;&gt;"etf",_xll.YCI("M:" &amp; A446, "security_name",TODAY()))</f>
        <v>ERR: INVALID ASSET</v>
      </c>
      <c r="D446" t="str" cm="1">
        <f t="array" aca="1" ref="D446" ca="1">_xlfn.IFS($B446="etf", _xll.YCI($A446, "ycharts_benchmark_category",TODAY()),$B446&lt;&gt;"etf",_xll.YCI("M:" &amp; $A446, "ycharts_benchmark_category",TODAY()))</f>
        <v>ERR: INVALID ASSET</v>
      </c>
      <c r="E446" t="str" cm="1">
        <f t="array" aca="1" ref="E446" ca="1">_xlfn.IFS($B446="etf", _xll.YCI($A446, "ycharts_benchmark_index_symbol",TODAY()),$B446&lt;&gt;"etf",_xll.YCI("M:" &amp; $A446, "ycharts_benchmark_index_symbol",TODAY()))</f>
        <v>ERR: INVALID ASSET</v>
      </c>
      <c r="F446" t="str" cm="1">
        <f t="array" aca="1" ref="F446" ca="1">_xlfn.IFS($B446="etf", _xll.YCI($E446, "security_name",TODAY()),$B446&lt;&gt;"etf",_xll.YCI( $E446, "security_name",TODAY()))</f>
        <v>ERR: INVALID ASSET</v>
      </c>
      <c r="G446" t="str" cm="1">
        <f t="array" aca="1" ref="G446" ca="1">_xlfn.IFS($B446="etf", _xll.YCI($A446, "prospectus_benchmark_index",TODAY()),$B446&lt;&gt;"etf",_xll.YCI("M:" &amp; $A446, "prospectus_benchmark_index",TODAY()))</f>
        <v>ERR: INVALID ASSET</v>
      </c>
      <c r="H446" s="2" t="str" cm="1">
        <f t="array" aca="1" ref="H446" ca="1">_xlfn.IFS($B446="etf", _xll.YCP($A446,"quarterly_total_return",'Database Query'!$E$14),$B446&lt;&gt;"etf",_xll.YCP("M:"&amp; $A446,"quarterly_total_return",'Database Query'!$E$14))</f>
        <v>ERR: INVALID ASSET</v>
      </c>
      <c r="I446" s="2" t="e" cm="1">
        <f t="array" aca="1" ref="I446" ca="1">-_xll.YCP($E446,"quarterly_return",'Database Query'!$E$14)+H446</f>
        <v>#VALUE!</v>
      </c>
      <c r="J446" s="2" t="str" cm="1">
        <f t="array" aca="1" ref="J446" ca="1">_xlfn.IFS($B446="etf", _xll.YCP($A446,"ytd_total_return",'Database Query'!$E$14),$B446&lt;&gt;"etf",_xll.YCP("M:"&amp; $A446,"ytd_total_return",'Database Query'!$E$14))</f>
        <v>ERR: INVALID ASSET</v>
      </c>
      <c r="K446" s="2" t="e" cm="1">
        <f t="array" aca="1" ref="K446" ca="1">-_xll.YCP($E446,"ytd_return",'Database Query'!$E$14)+J446</f>
        <v>#VALUE!</v>
      </c>
      <c r="L446" s="2" t="str" cm="1">
        <f t="array" aca="1" ref="L446" ca="1">_xlfn.IFS($B446="etf", _xll.YCP($A446,"one_year_total_return",'Database Query'!$E$14),$B446&lt;&gt;"etf",_xll.YCP("M:"&amp; $A446,"one_year_total_return",'Database Query'!$E$14))</f>
        <v>ERR: INVALID ASSET</v>
      </c>
      <c r="M446" s="2" t="e" cm="1">
        <f t="array" aca="1" ref="M446" ca="1">-_xll.YCP($E446,"one_year_return",'Database Query'!$E$14)+L446</f>
        <v>#VALUE!</v>
      </c>
      <c r="N446" s="2" t="str" cm="1">
        <f t="array" aca="1" ref="N446" ca="1">_xlfn.IFS($B446="etf", _xll.YCP($A446,"three_year_total_return",'Database Query'!$E$14),$B446&lt;&gt;"etf",_xll.YCP("M:"&amp; $A446,"three_year_total_return",'Database Query'!$E$14))</f>
        <v>ERR: INVALID ASSET</v>
      </c>
      <c r="O446" s="2" t="e" cm="1">
        <f t="array" aca="1" ref="O446" ca="1">-_xll.YCP($E446,"three_year_return",'Database Query'!$E$14)+N446</f>
        <v>#VALUE!</v>
      </c>
      <c r="P446" s="2" t="str" cm="1">
        <f t="array" aca="1" ref="P446" ca="1">_xlfn.IFS($B446="etf", _xll.YCP($A446,"five_year_total_return",'Database Query'!$E$14),$B446&lt;&gt;"etf",_xll.YCP("M:"&amp; $A446,"five_year_total_return",'Database Query'!$E$14))</f>
        <v>ERR: INVALID ASSET</v>
      </c>
      <c r="Q446" s="2" t="e" cm="1">
        <f t="array" aca="1" ref="Q446" ca="1">-_xll.YCP($E446,"five_year_return",'Database Query'!$E$14)+P446</f>
        <v>#VALUE!</v>
      </c>
    </row>
    <row r="447" spans="2:17" x14ac:dyDescent="0.25">
      <c r="B447" t="str" cm="1">
        <f t="array" aca="1" ref="B447" ca="1">_xll.YCI(A447,"detailed_security_type",TODAY())</f>
        <v/>
      </c>
      <c r="C447" t="str" cm="1">
        <f t="array" aca="1" ref="C447" ca="1">_xlfn.IFS(B447="etf", _xll.YCI(A447, "security_name",TODAY()),B447&lt;&gt;"etf",_xll.YCI("M:" &amp; A447, "security_name",TODAY()))</f>
        <v>ERR: INVALID ASSET</v>
      </c>
      <c r="D447" t="str" cm="1">
        <f t="array" aca="1" ref="D447" ca="1">_xlfn.IFS($B447="etf", _xll.YCI($A447, "ycharts_benchmark_category",TODAY()),$B447&lt;&gt;"etf",_xll.YCI("M:" &amp; $A447, "ycharts_benchmark_category",TODAY()))</f>
        <v>ERR: INVALID ASSET</v>
      </c>
      <c r="E447" t="str" cm="1">
        <f t="array" aca="1" ref="E447" ca="1">_xlfn.IFS($B447="etf", _xll.YCI($A447, "ycharts_benchmark_index_symbol",TODAY()),$B447&lt;&gt;"etf",_xll.YCI("M:" &amp; $A447, "ycharts_benchmark_index_symbol",TODAY()))</f>
        <v>ERR: INVALID ASSET</v>
      </c>
      <c r="F447" t="str" cm="1">
        <f t="array" aca="1" ref="F447" ca="1">_xlfn.IFS($B447="etf", _xll.YCI($E447, "security_name",TODAY()),$B447&lt;&gt;"etf",_xll.YCI( $E447, "security_name",TODAY()))</f>
        <v>ERR: INVALID ASSET</v>
      </c>
      <c r="G447" t="str" cm="1">
        <f t="array" aca="1" ref="G447" ca="1">_xlfn.IFS($B447="etf", _xll.YCI($A447, "prospectus_benchmark_index",TODAY()),$B447&lt;&gt;"etf",_xll.YCI("M:" &amp; $A447, "prospectus_benchmark_index",TODAY()))</f>
        <v>ERR: INVALID ASSET</v>
      </c>
      <c r="H447" s="2" t="str" cm="1">
        <f t="array" aca="1" ref="H447" ca="1">_xlfn.IFS($B447="etf", _xll.YCP($A447,"quarterly_total_return",'Database Query'!$E$14),$B447&lt;&gt;"etf",_xll.YCP("M:"&amp; $A447,"quarterly_total_return",'Database Query'!$E$14))</f>
        <v>ERR: INVALID ASSET</v>
      </c>
      <c r="I447" s="2" t="e" cm="1">
        <f t="array" aca="1" ref="I447" ca="1">-_xll.YCP($E447,"quarterly_return",'Database Query'!$E$14)+H447</f>
        <v>#VALUE!</v>
      </c>
      <c r="J447" s="2" t="str" cm="1">
        <f t="array" aca="1" ref="J447" ca="1">_xlfn.IFS($B447="etf", _xll.YCP($A447,"ytd_total_return",'Database Query'!$E$14),$B447&lt;&gt;"etf",_xll.YCP("M:"&amp; $A447,"ytd_total_return",'Database Query'!$E$14))</f>
        <v>ERR: INVALID ASSET</v>
      </c>
      <c r="K447" s="2" t="e" cm="1">
        <f t="array" aca="1" ref="K447" ca="1">-_xll.YCP($E447,"ytd_return",'Database Query'!$E$14)+J447</f>
        <v>#VALUE!</v>
      </c>
      <c r="L447" s="2" t="str" cm="1">
        <f t="array" aca="1" ref="L447" ca="1">_xlfn.IFS($B447="etf", _xll.YCP($A447,"one_year_total_return",'Database Query'!$E$14),$B447&lt;&gt;"etf",_xll.YCP("M:"&amp; $A447,"one_year_total_return",'Database Query'!$E$14))</f>
        <v>ERR: INVALID ASSET</v>
      </c>
      <c r="M447" s="2" t="e" cm="1">
        <f t="array" aca="1" ref="M447" ca="1">-_xll.YCP($E447,"one_year_return",'Database Query'!$E$14)+L447</f>
        <v>#VALUE!</v>
      </c>
      <c r="N447" s="2" t="str" cm="1">
        <f t="array" aca="1" ref="N447" ca="1">_xlfn.IFS($B447="etf", _xll.YCP($A447,"three_year_total_return",'Database Query'!$E$14),$B447&lt;&gt;"etf",_xll.YCP("M:"&amp; $A447,"three_year_total_return",'Database Query'!$E$14))</f>
        <v>ERR: INVALID ASSET</v>
      </c>
      <c r="O447" s="2" t="e" cm="1">
        <f t="array" aca="1" ref="O447" ca="1">-_xll.YCP($E447,"three_year_return",'Database Query'!$E$14)+N447</f>
        <v>#VALUE!</v>
      </c>
      <c r="P447" s="2" t="str" cm="1">
        <f t="array" aca="1" ref="P447" ca="1">_xlfn.IFS($B447="etf", _xll.YCP($A447,"five_year_total_return",'Database Query'!$E$14),$B447&lt;&gt;"etf",_xll.YCP("M:"&amp; $A447,"five_year_total_return",'Database Query'!$E$14))</f>
        <v>ERR: INVALID ASSET</v>
      </c>
      <c r="Q447" s="2" t="e" cm="1">
        <f t="array" aca="1" ref="Q447" ca="1">-_xll.YCP($E447,"five_year_return",'Database Query'!$E$14)+P447</f>
        <v>#VALUE!</v>
      </c>
    </row>
    <row r="448" spans="2:17" x14ac:dyDescent="0.25">
      <c r="B448" t="str" cm="1">
        <f t="array" aca="1" ref="B448" ca="1">_xll.YCI(A448,"detailed_security_type",TODAY())</f>
        <v/>
      </c>
      <c r="C448" t="str" cm="1">
        <f t="array" aca="1" ref="C448" ca="1">_xlfn.IFS(B448="etf", _xll.YCI(A448, "security_name",TODAY()),B448&lt;&gt;"etf",_xll.YCI("M:" &amp; A448, "security_name",TODAY()))</f>
        <v>ERR: INVALID ASSET</v>
      </c>
      <c r="D448" t="str" cm="1">
        <f t="array" aca="1" ref="D448" ca="1">_xlfn.IFS($B448="etf", _xll.YCI($A448, "ycharts_benchmark_category",TODAY()),$B448&lt;&gt;"etf",_xll.YCI("M:" &amp; $A448, "ycharts_benchmark_category",TODAY()))</f>
        <v>ERR: INVALID ASSET</v>
      </c>
      <c r="E448" t="str" cm="1">
        <f t="array" aca="1" ref="E448" ca="1">_xlfn.IFS($B448="etf", _xll.YCI($A448, "ycharts_benchmark_index_symbol",TODAY()),$B448&lt;&gt;"etf",_xll.YCI("M:" &amp; $A448, "ycharts_benchmark_index_symbol",TODAY()))</f>
        <v>ERR: INVALID ASSET</v>
      </c>
      <c r="F448" t="str" cm="1">
        <f t="array" aca="1" ref="F448" ca="1">_xlfn.IFS($B448="etf", _xll.YCI($E448, "security_name",TODAY()),$B448&lt;&gt;"etf",_xll.YCI( $E448, "security_name",TODAY()))</f>
        <v>ERR: INVALID ASSET</v>
      </c>
      <c r="G448" t="str" cm="1">
        <f t="array" aca="1" ref="G448" ca="1">_xlfn.IFS($B448="etf", _xll.YCI($A448, "prospectus_benchmark_index",TODAY()),$B448&lt;&gt;"etf",_xll.YCI("M:" &amp; $A448, "prospectus_benchmark_index",TODAY()))</f>
        <v>ERR: INVALID ASSET</v>
      </c>
      <c r="H448" s="2" t="str" cm="1">
        <f t="array" aca="1" ref="H448" ca="1">_xlfn.IFS($B448="etf", _xll.YCP($A448,"quarterly_total_return",'Database Query'!$E$14),$B448&lt;&gt;"etf",_xll.YCP("M:"&amp; $A448,"quarterly_total_return",'Database Query'!$E$14))</f>
        <v>ERR: INVALID ASSET</v>
      </c>
      <c r="I448" s="2" t="e" cm="1">
        <f t="array" aca="1" ref="I448" ca="1">-_xll.YCP($E448,"quarterly_return",'Database Query'!$E$14)+H448</f>
        <v>#VALUE!</v>
      </c>
      <c r="J448" s="2" t="str" cm="1">
        <f t="array" aca="1" ref="J448" ca="1">_xlfn.IFS($B448="etf", _xll.YCP($A448,"ytd_total_return",'Database Query'!$E$14),$B448&lt;&gt;"etf",_xll.YCP("M:"&amp; $A448,"ytd_total_return",'Database Query'!$E$14))</f>
        <v>ERR: INVALID ASSET</v>
      </c>
      <c r="K448" s="2" t="e" cm="1">
        <f t="array" aca="1" ref="K448" ca="1">-_xll.YCP($E448,"ytd_return",'Database Query'!$E$14)+J448</f>
        <v>#VALUE!</v>
      </c>
      <c r="L448" s="2" t="str" cm="1">
        <f t="array" aca="1" ref="L448" ca="1">_xlfn.IFS($B448="etf", _xll.YCP($A448,"one_year_total_return",'Database Query'!$E$14),$B448&lt;&gt;"etf",_xll.YCP("M:"&amp; $A448,"one_year_total_return",'Database Query'!$E$14))</f>
        <v>ERR: INVALID ASSET</v>
      </c>
      <c r="M448" s="2" t="e" cm="1">
        <f t="array" aca="1" ref="M448" ca="1">-_xll.YCP($E448,"one_year_return",'Database Query'!$E$14)+L448</f>
        <v>#VALUE!</v>
      </c>
      <c r="N448" s="2" t="str" cm="1">
        <f t="array" aca="1" ref="N448" ca="1">_xlfn.IFS($B448="etf", _xll.YCP($A448,"three_year_total_return",'Database Query'!$E$14),$B448&lt;&gt;"etf",_xll.YCP("M:"&amp; $A448,"three_year_total_return",'Database Query'!$E$14))</f>
        <v>ERR: INVALID ASSET</v>
      </c>
      <c r="O448" s="2" t="e" cm="1">
        <f t="array" aca="1" ref="O448" ca="1">-_xll.YCP($E448,"three_year_return",'Database Query'!$E$14)+N448</f>
        <v>#VALUE!</v>
      </c>
      <c r="P448" s="2" t="str" cm="1">
        <f t="array" aca="1" ref="P448" ca="1">_xlfn.IFS($B448="etf", _xll.YCP($A448,"five_year_total_return",'Database Query'!$E$14),$B448&lt;&gt;"etf",_xll.YCP("M:"&amp; $A448,"five_year_total_return",'Database Query'!$E$14))</f>
        <v>ERR: INVALID ASSET</v>
      </c>
      <c r="Q448" s="2" t="e" cm="1">
        <f t="array" aca="1" ref="Q448" ca="1">-_xll.YCP($E448,"five_year_return",'Database Query'!$E$14)+P448</f>
        <v>#VALUE!</v>
      </c>
    </row>
    <row r="449" spans="2:17" x14ac:dyDescent="0.25">
      <c r="B449" t="str" cm="1">
        <f t="array" aca="1" ref="B449" ca="1">_xll.YCI(A449,"detailed_security_type",TODAY())</f>
        <v/>
      </c>
      <c r="C449" t="str" cm="1">
        <f t="array" aca="1" ref="C449" ca="1">_xlfn.IFS(B449="etf", _xll.YCI(A449, "security_name",TODAY()),B449&lt;&gt;"etf",_xll.YCI("M:" &amp; A449, "security_name",TODAY()))</f>
        <v>ERR: INVALID ASSET</v>
      </c>
      <c r="D449" t="str" cm="1">
        <f t="array" aca="1" ref="D449" ca="1">_xlfn.IFS($B449="etf", _xll.YCI($A449, "ycharts_benchmark_category",TODAY()),$B449&lt;&gt;"etf",_xll.YCI("M:" &amp; $A449, "ycharts_benchmark_category",TODAY()))</f>
        <v>ERR: INVALID ASSET</v>
      </c>
      <c r="E449" t="str" cm="1">
        <f t="array" aca="1" ref="E449" ca="1">_xlfn.IFS($B449="etf", _xll.YCI($A449, "ycharts_benchmark_index_symbol",TODAY()),$B449&lt;&gt;"etf",_xll.YCI("M:" &amp; $A449, "ycharts_benchmark_index_symbol",TODAY()))</f>
        <v>ERR: INVALID ASSET</v>
      </c>
      <c r="F449" t="str" cm="1">
        <f t="array" aca="1" ref="F449" ca="1">_xlfn.IFS($B449="etf", _xll.YCI($E449, "security_name",TODAY()),$B449&lt;&gt;"etf",_xll.YCI( $E449, "security_name",TODAY()))</f>
        <v>ERR: INVALID ASSET</v>
      </c>
      <c r="G449" t="str" cm="1">
        <f t="array" aca="1" ref="G449" ca="1">_xlfn.IFS($B449="etf", _xll.YCI($A449, "prospectus_benchmark_index",TODAY()),$B449&lt;&gt;"etf",_xll.YCI("M:" &amp; $A449, "prospectus_benchmark_index",TODAY()))</f>
        <v>ERR: INVALID ASSET</v>
      </c>
      <c r="H449" s="2" t="str" cm="1">
        <f t="array" aca="1" ref="H449" ca="1">_xlfn.IFS($B449="etf", _xll.YCP($A449,"quarterly_total_return",'Database Query'!$E$14),$B449&lt;&gt;"etf",_xll.YCP("M:"&amp; $A449,"quarterly_total_return",'Database Query'!$E$14))</f>
        <v>ERR: INVALID ASSET</v>
      </c>
      <c r="I449" s="2" t="e" cm="1">
        <f t="array" aca="1" ref="I449" ca="1">-_xll.YCP($E449,"quarterly_return",'Database Query'!$E$14)+H449</f>
        <v>#VALUE!</v>
      </c>
      <c r="J449" s="2" t="str" cm="1">
        <f t="array" aca="1" ref="J449" ca="1">_xlfn.IFS($B449="etf", _xll.YCP($A449,"ytd_total_return",'Database Query'!$E$14),$B449&lt;&gt;"etf",_xll.YCP("M:"&amp; $A449,"ytd_total_return",'Database Query'!$E$14))</f>
        <v>ERR: INVALID ASSET</v>
      </c>
      <c r="K449" s="2" t="e" cm="1">
        <f t="array" aca="1" ref="K449" ca="1">-_xll.YCP($E449,"ytd_return",'Database Query'!$E$14)+J449</f>
        <v>#VALUE!</v>
      </c>
      <c r="L449" s="2" t="str" cm="1">
        <f t="array" aca="1" ref="L449" ca="1">_xlfn.IFS($B449="etf", _xll.YCP($A449,"one_year_total_return",'Database Query'!$E$14),$B449&lt;&gt;"etf",_xll.YCP("M:"&amp; $A449,"one_year_total_return",'Database Query'!$E$14))</f>
        <v>ERR: INVALID ASSET</v>
      </c>
      <c r="M449" s="2" t="e" cm="1">
        <f t="array" aca="1" ref="M449" ca="1">-_xll.YCP($E449,"one_year_return",'Database Query'!$E$14)+L449</f>
        <v>#VALUE!</v>
      </c>
      <c r="N449" s="2" t="str" cm="1">
        <f t="array" aca="1" ref="N449" ca="1">_xlfn.IFS($B449="etf", _xll.YCP($A449,"three_year_total_return",'Database Query'!$E$14),$B449&lt;&gt;"etf",_xll.YCP("M:"&amp; $A449,"three_year_total_return",'Database Query'!$E$14))</f>
        <v>ERR: INVALID ASSET</v>
      </c>
      <c r="O449" s="2" t="e" cm="1">
        <f t="array" aca="1" ref="O449" ca="1">-_xll.YCP($E449,"three_year_return",'Database Query'!$E$14)+N449</f>
        <v>#VALUE!</v>
      </c>
      <c r="P449" s="2" t="str" cm="1">
        <f t="array" aca="1" ref="P449" ca="1">_xlfn.IFS($B449="etf", _xll.YCP($A449,"five_year_total_return",'Database Query'!$E$14),$B449&lt;&gt;"etf",_xll.YCP("M:"&amp; $A449,"five_year_total_return",'Database Query'!$E$14))</f>
        <v>ERR: INVALID ASSET</v>
      </c>
      <c r="Q449" s="2" t="e" cm="1">
        <f t="array" aca="1" ref="Q449" ca="1">-_xll.YCP($E449,"five_year_return",'Database Query'!$E$14)+P449</f>
        <v>#VALUE!</v>
      </c>
    </row>
    <row r="450" spans="2:17" x14ac:dyDescent="0.25">
      <c r="B450" t="str" cm="1">
        <f t="array" aca="1" ref="B450" ca="1">_xll.YCI(A450,"detailed_security_type",TODAY())</f>
        <v/>
      </c>
      <c r="C450" t="str" cm="1">
        <f t="array" aca="1" ref="C450" ca="1">_xlfn.IFS(B450="etf", _xll.YCI(A450, "security_name",TODAY()),B450&lt;&gt;"etf",_xll.YCI("M:" &amp; A450, "security_name",TODAY()))</f>
        <v>ERR: INVALID ASSET</v>
      </c>
      <c r="D450" t="str" cm="1">
        <f t="array" aca="1" ref="D450" ca="1">_xlfn.IFS($B450="etf", _xll.YCI($A450, "ycharts_benchmark_category",TODAY()),$B450&lt;&gt;"etf",_xll.YCI("M:" &amp; $A450, "ycharts_benchmark_category",TODAY()))</f>
        <v>ERR: INVALID ASSET</v>
      </c>
      <c r="E450" t="str" cm="1">
        <f t="array" aca="1" ref="E450" ca="1">_xlfn.IFS($B450="etf", _xll.YCI($A450, "ycharts_benchmark_index_symbol",TODAY()),$B450&lt;&gt;"etf",_xll.YCI("M:" &amp; $A450, "ycharts_benchmark_index_symbol",TODAY()))</f>
        <v>ERR: INVALID ASSET</v>
      </c>
      <c r="F450" t="str" cm="1">
        <f t="array" aca="1" ref="F450" ca="1">_xlfn.IFS($B450="etf", _xll.YCI($E450, "security_name",TODAY()),$B450&lt;&gt;"etf",_xll.YCI( $E450, "security_name",TODAY()))</f>
        <v>ERR: INVALID ASSET</v>
      </c>
      <c r="G450" t="str" cm="1">
        <f t="array" aca="1" ref="G450" ca="1">_xlfn.IFS($B450="etf", _xll.YCI($A450, "prospectus_benchmark_index",TODAY()),$B450&lt;&gt;"etf",_xll.YCI("M:" &amp; $A450, "prospectus_benchmark_index",TODAY()))</f>
        <v>ERR: INVALID ASSET</v>
      </c>
      <c r="H450" s="2" t="str" cm="1">
        <f t="array" aca="1" ref="H450" ca="1">_xlfn.IFS($B450="etf", _xll.YCP($A450,"quarterly_total_return",'Database Query'!$E$14),$B450&lt;&gt;"etf",_xll.YCP("M:"&amp; $A450,"quarterly_total_return",'Database Query'!$E$14))</f>
        <v>ERR: INVALID ASSET</v>
      </c>
      <c r="I450" s="2" t="e" cm="1">
        <f t="array" aca="1" ref="I450" ca="1">-_xll.YCP($E450,"quarterly_return",'Database Query'!$E$14)+H450</f>
        <v>#VALUE!</v>
      </c>
      <c r="J450" s="2" t="str" cm="1">
        <f t="array" aca="1" ref="J450" ca="1">_xlfn.IFS($B450="etf", _xll.YCP($A450,"ytd_total_return",'Database Query'!$E$14),$B450&lt;&gt;"etf",_xll.YCP("M:"&amp; $A450,"ytd_total_return",'Database Query'!$E$14))</f>
        <v>ERR: INVALID ASSET</v>
      </c>
      <c r="K450" s="2" t="e" cm="1">
        <f t="array" aca="1" ref="K450" ca="1">-_xll.YCP($E450,"ytd_return",'Database Query'!$E$14)+J450</f>
        <v>#VALUE!</v>
      </c>
      <c r="L450" s="2" t="str" cm="1">
        <f t="array" aca="1" ref="L450" ca="1">_xlfn.IFS($B450="etf", _xll.YCP($A450,"one_year_total_return",'Database Query'!$E$14),$B450&lt;&gt;"etf",_xll.YCP("M:"&amp; $A450,"one_year_total_return",'Database Query'!$E$14))</f>
        <v>ERR: INVALID ASSET</v>
      </c>
      <c r="M450" s="2" t="e" cm="1">
        <f t="array" aca="1" ref="M450" ca="1">-_xll.YCP($E450,"one_year_return",'Database Query'!$E$14)+L450</f>
        <v>#VALUE!</v>
      </c>
      <c r="N450" s="2" t="str" cm="1">
        <f t="array" aca="1" ref="N450" ca="1">_xlfn.IFS($B450="etf", _xll.YCP($A450,"three_year_total_return",'Database Query'!$E$14),$B450&lt;&gt;"etf",_xll.YCP("M:"&amp; $A450,"three_year_total_return",'Database Query'!$E$14))</f>
        <v>ERR: INVALID ASSET</v>
      </c>
      <c r="O450" s="2" t="e" cm="1">
        <f t="array" aca="1" ref="O450" ca="1">-_xll.YCP($E450,"three_year_return",'Database Query'!$E$14)+N450</f>
        <v>#VALUE!</v>
      </c>
      <c r="P450" s="2" t="str" cm="1">
        <f t="array" aca="1" ref="P450" ca="1">_xlfn.IFS($B450="etf", _xll.YCP($A450,"five_year_total_return",'Database Query'!$E$14),$B450&lt;&gt;"etf",_xll.YCP("M:"&amp; $A450,"five_year_total_return",'Database Query'!$E$14))</f>
        <v>ERR: INVALID ASSET</v>
      </c>
      <c r="Q450" s="2" t="e" cm="1">
        <f t="array" aca="1" ref="Q450" ca="1">-_xll.YCP($E450,"five_year_return",'Database Query'!$E$14)+P450</f>
        <v>#VALUE!</v>
      </c>
    </row>
    <row r="451" spans="2:17" x14ac:dyDescent="0.25">
      <c r="B451" t="str" cm="1">
        <f t="array" aca="1" ref="B451" ca="1">_xll.YCI(A451,"detailed_security_type",TODAY())</f>
        <v/>
      </c>
      <c r="C451" t="str" cm="1">
        <f t="array" aca="1" ref="C451" ca="1">_xlfn.IFS(B451="etf", _xll.YCI(A451, "security_name",TODAY()),B451&lt;&gt;"etf",_xll.YCI("M:" &amp; A451, "security_name",TODAY()))</f>
        <v>ERR: INVALID ASSET</v>
      </c>
      <c r="D451" t="str" cm="1">
        <f t="array" aca="1" ref="D451" ca="1">_xlfn.IFS($B451="etf", _xll.YCI($A451, "ycharts_benchmark_category",TODAY()),$B451&lt;&gt;"etf",_xll.YCI("M:" &amp; $A451, "ycharts_benchmark_category",TODAY()))</f>
        <v>ERR: INVALID ASSET</v>
      </c>
      <c r="E451" t="str" cm="1">
        <f t="array" aca="1" ref="E451" ca="1">_xlfn.IFS($B451="etf", _xll.YCI($A451, "ycharts_benchmark_index_symbol",TODAY()),$B451&lt;&gt;"etf",_xll.YCI("M:" &amp; $A451, "ycharts_benchmark_index_symbol",TODAY()))</f>
        <v>ERR: INVALID ASSET</v>
      </c>
      <c r="F451" t="str" cm="1">
        <f t="array" aca="1" ref="F451" ca="1">_xlfn.IFS($B451="etf", _xll.YCI($E451, "security_name",TODAY()),$B451&lt;&gt;"etf",_xll.YCI( $E451, "security_name",TODAY()))</f>
        <v>ERR: INVALID ASSET</v>
      </c>
      <c r="G451" t="str" cm="1">
        <f t="array" aca="1" ref="G451" ca="1">_xlfn.IFS($B451="etf", _xll.YCI($A451, "prospectus_benchmark_index",TODAY()),$B451&lt;&gt;"etf",_xll.YCI("M:" &amp; $A451, "prospectus_benchmark_index",TODAY()))</f>
        <v>ERR: INVALID ASSET</v>
      </c>
      <c r="H451" s="2" t="str" cm="1">
        <f t="array" aca="1" ref="H451" ca="1">_xlfn.IFS($B451="etf", _xll.YCP($A451,"quarterly_total_return",'Database Query'!$E$14),$B451&lt;&gt;"etf",_xll.YCP("M:"&amp; $A451,"quarterly_total_return",'Database Query'!$E$14))</f>
        <v>ERR: INVALID ASSET</v>
      </c>
      <c r="I451" s="2" t="e" cm="1">
        <f t="array" aca="1" ref="I451" ca="1">-_xll.YCP($E451,"quarterly_return",'Database Query'!$E$14)+H451</f>
        <v>#VALUE!</v>
      </c>
      <c r="J451" s="2" t="str" cm="1">
        <f t="array" aca="1" ref="J451" ca="1">_xlfn.IFS($B451="etf", _xll.YCP($A451,"ytd_total_return",'Database Query'!$E$14),$B451&lt;&gt;"etf",_xll.YCP("M:"&amp; $A451,"ytd_total_return",'Database Query'!$E$14))</f>
        <v>ERR: INVALID ASSET</v>
      </c>
      <c r="K451" s="2" t="e" cm="1">
        <f t="array" aca="1" ref="K451" ca="1">-_xll.YCP($E451,"ytd_return",'Database Query'!$E$14)+J451</f>
        <v>#VALUE!</v>
      </c>
      <c r="L451" s="2" t="str" cm="1">
        <f t="array" aca="1" ref="L451" ca="1">_xlfn.IFS($B451="etf", _xll.YCP($A451,"one_year_total_return",'Database Query'!$E$14),$B451&lt;&gt;"etf",_xll.YCP("M:"&amp; $A451,"one_year_total_return",'Database Query'!$E$14))</f>
        <v>ERR: INVALID ASSET</v>
      </c>
      <c r="M451" s="2" t="e" cm="1">
        <f t="array" aca="1" ref="M451" ca="1">-_xll.YCP($E451,"one_year_return",'Database Query'!$E$14)+L451</f>
        <v>#VALUE!</v>
      </c>
      <c r="N451" s="2" t="str" cm="1">
        <f t="array" aca="1" ref="N451" ca="1">_xlfn.IFS($B451="etf", _xll.YCP($A451,"three_year_total_return",'Database Query'!$E$14),$B451&lt;&gt;"etf",_xll.YCP("M:"&amp; $A451,"three_year_total_return",'Database Query'!$E$14))</f>
        <v>ERR: INVALID ASSET</v>
      </c>
      <c r="O451" s="2" t="e" cm="1">
        <f t="array" aca="1" ref="O451" ca="1">-_xll.YCP($E451,"three_year_return",'Database Query'!$E$14)+N451</f>
        <v>#VALUE!</v>
      </c>
      <c r="P451" s="2" t="str" cm="1">
        <f t="array" aca="1" ref="P451" ca="1">_xlfn.IFS($B451="etf", _xll.YCP($A451,"five_year_total_return",'Database Query'!$E$14),$B451&lt;&gt;"etf",_xll.YCP("M:"&amp; $A451,"five_year_total_return",'Database Query'!$E$14))</f>
        <v>ERR: INVALID ASSET</v>
      </c>
      <c r="Q451" s="2" t="e" cm="1">
        <f t="array" aca="1" ref="Q451" ca="1">-_xll.YCP($E451,"five_year_return",'Database Query'!$E$14)+P451</f>
        <v>#VALUE!</v>
      </c>
    </row>
    <row r="452" spans="2:17" x14ac:dyDescent="0.25">
      <c r="B452" t="str" cm="1">
        <f t="array" aca="1" ref="B452" ca="1">_xll.YCI(A452,"detailed_security_type",TODAY())</f>
        <v/>
      </c>
      <c r="C452" t="str" cm="1">
        <f t="array" aca="1" ref="C452" ca="1">_xlfn.IFS(B452="etf", _xll.YCI(A452, "security_name",TODAY()),B452&lt;&gt;"etf",_xll.YCI("M:" &amp; A452, "security_name",TODAY()))</f>
        <v>ERR: INVALID ASSET</v>
      </c>
      <c r="D452" t="str" cm="1">
        <f t="array" aca="1" ref="D452" ca="1">_xlfn.IFS($B452="etf", _xll.YCI($A452, "ycharts_benchmark_category",TODAY()),$B452&lt;&gt;"etf",_xll.YCI("M:" &amp; $A452, "ycharts_benchmark_category",TODAY()))</f>
        <v>ERR: INVALID ASSET</v>
      </c>
      <c r="E452" t="str" cm="1">
        <f t="array" aca="1" ref="E452" ca="1">_xlfn.IFS($B452="etf", _xll.YCI($A452, "ycharts_benchmark_index_symbol",TODAY()),$B452&lt;&gt;"etf",_xll.YCI("M:" &amp; $A452, "ycharts_benchmark_index_symbol",TODAY()))</f>
        <v>ERR: INVALID ASSET</v>
      </c>
      <c r="F452" t="str" cm="1">
        <f t="array" aca="1" ref="F452" ca="1">_xlfn.IFS($B452="etf", _xll.YCI($E452, "security_name",TODAY()),$B452&lt;&gt;"etf",_xll.YCI( $E452, "security_name",TODAY()))</f>
        <v>ERR: INVALID ASSET</v>
      </c>
      <c r="G452" t="str" cm="1">
        <f t="array" aca="1" ref="G452" ca="1">_xlfn.IFS($B452="etf", _xll.YCI($A452, "prospectus_benchmark_index",TODAY()),$B452&lt;&gt;"etf",_xll.YCI("M:" &amp; $A452, "prospectus_benchmark_index",TODAY()))</f>
        <v>ERR: INVALID ASSET</v>
      </c>
      <c r="H452" s="2" t="str" cm="1">
        <f t="array" aca="1" ref="H452" ca="1">_xlfn.IFS($B452="etf", _xll.YCP($A452,"quarterly_total_return",'Database Query'!$E$14),$B452&lt;&gt;"etf",_xll.YCP("M:"&amp; $A452,"quarterly_total_return",'Database Query'!$E$14))</f>
        <v>ERR: INVALID ASSET</v>
      </c>
      <c r="I452" s="2" t="e" cm="1">
        <f t="array" aca="1" ref="I452" ca="1">-_xll.YCP($E452,"quarterly_return",'Database Query'!$E$14)+H452</f>
        <v>#VALUE!</v>
      </c>
      <c r="J452" s="2" t="str" cm="1">
        <f t="array" aca="1" ref="J452" ca="1">_xlfn.IFS($B452="etf", _xll.YCP($A452,"ytd_total_return",'Database Query'!$E$14),$B452&lt;&gt;"etf",_xll.YCP("M:"&amp; $A452,"ytd_total_return",'Database Query'!$E$14))</f>
        <v>ERR: INVALID ASSET</v>
      </c>
      <c r="K452" s="2" t="e" cm="1">
        <f t="array" aca="1" ref="K452" ca="1">-_xll.YCP($E452,"ytd_return",'Database Query'!$E$14)+J452</f>
        <v>#VALUE!</v>
      </c>
      <c r="L452" s="2" t="str" cm="1">
        <f t="array" aca="1" ref="L452" ca="1">_xlfn.IFS($B452="etf", _xll.YCP($A452,"one_year_total_return",'Database Query'!$E$14),$B452&lt;&gt;"etf",_xll.YCP("M:"&amp; $A452,"one_year_total_return",'Database Query'!$E$14))</f>
        <v>ERR: INVALID ASSET</v>
      </c>
      <c r="M452" s="2" t="e" cm="1">
        <f t="array" aca="1" ref="M452" ca="1">-_xll.YCP($E452,"one_year_return",'Database Query'!$E$14)+L452</f>
        <v>#VALUE!</v>
      </c>
      <c r="N452" s="2" t="str" cm="1">
        <f t="array" aca="1" ref="N452" ca="1">_xlfn.IFS($B452="etf", _xll.YCP($A452,"three_year_total_return",'Database Query'!$E$14),$B452&lt;&gt;"etf",_xll.YCP("M:"&amp; $A452,"three_year_total_return",'Database Query'!$E$14))</f>
        <v>ERR: INVALID ASSET</v>
      </c>
      <c r="O452" s="2" t="e" cm="1">
        <f t="array" aca="1" ref="O452" ca="1">-_xll.YCP($E452,"three_year_return",'Database Query'!$E$14)+N452</f>
        <v>#VALUE!</v>
      </c>
      <c r="P452" s="2" t="str" cm="1">
        <f t="array" aca="1" ref="P452" ca="1">_xlfn.IFS($B452="etf", _xll.YCP($A452,"five_year_total_return",'Database Query'!$E$14),$B452&lt;&gt;"etf",_xll.YCP("M:"&amp; $A452,"five_year_total_return",'Database Query'!$E$14))</f>
        <v>ERR: INVALID ASSET</v>
      </c>
      <c r="Q452" s="2" t="e" cm="1">
        <f t="array" aca="1" ref="Q452" ca="1">-_xll.YCP($E452,"five_year_return",'Database Query'!$E$14)+P452</f>
        <v>#VALUE!</v>
      </c>
    </row>
    <row r="453" spans="2:17" x14ac:dyDescent="0.25">
      <c r="B453" t="str" cm="1">
        <f t="array" aca="1" ref="B453" ca="1">_xll.YCI(A453,"detailed_security_type",TODAY())</f>
        <v/>
      </c>
      <c r="C453" t="str" cm="1">
        <f t="array" aca="1" ref="C453" ca="1">_xlfn.IFS(B453="etf", _xll.YCI(A453, "security_name",TODAY()),B453&lt;&gt;"etf",_xll.YCI("M:" &amp; A453, "security_name",TODAY()))</f>
        <v>ERR: INVALID ASSET</v>
      </c>
      <c r="D453" t="str" cm="1">
        <f t="array" aca="1" ref="D453" ca="1">_xlfn.IFS($B453="etf", _xll.YCI($A453, "ycharts_benchmark_category",TODAY()),$B453&lt;&gt;"etf",_xll.YCI("M:" &amp; $A453, "ycharts_benchmark_category",TODAY()))</f>
        <v>ERR: INVALID ASSET</v>
      </c>
      <c r="E453" t="str" cm="1">
        <f t="array" aca="1" ref="E453" ca="1">_xlfn.IFS($B453="etf", _xll.YCI($A453, "ycharts_benchmark_index_symbol",TODAY()),$B453&lt;&gt;"etf",_xll.YCI("M:" &amp; $A453, "ycharts_benchmark_index_symbol",TODAY()))</f>
        <v>ERR: INVALID ASSET</v>
      </c>
      <c r="F453" t="str" cm="1">
        <f t="array" aca="1" ref="F453" ca="1">_xlfn.IFS($B453="etf", _xll.YCI($E453, "security_name",TODAY()),$B453&lt;&gt;"etf",_xll.YCI( $E453, "security_name",TODAY()))</f>
        <v>ERR: INVALID ASSET</v>
      </c>
      <c r="G453" t="str" cm="1">
        <f t="array" aca="1" ref="G453" ca="1">_xlfn.IFS($B453="etf", _xll.YCI($A453, "prospectus_benchmark_index",TODAY()),$B453&lt;&gt;"etf",_xll.YCI("M:" &amp; $A453, "prospectus_benchmark_index",TODAY()))</f>
        <v>ERR: INVALID ASSET</v>
      </c>
      <c r="H453" s="2" t="str" cm="1">
        <f t="array" aca="1" ref="H453" ca="1">_xlfn.IFS($B453="etf", _xll.YCP($A453,"quarterly_total_return",'Database Query'!$E$14),$B453&lt;&gt;"etf",_xll.YCP("M:"&amp; $A453,"quarterly_total_return",'Database Query'!$E$14))</f>
        <v>ERR: INVALID ASSET</v>
      </c>
      <c r="I453" s="2" t="e" cm="1">
        <f t="array" aca="1" ref="I453" ca="1">-_xll.YCP($E453,"quarterly_return",'Database Query'!$E$14)+H453</f>
        <v>#VALUE!</v>
      </c>
      <c r="J453" s="2" t="str" cm="1">
        <f t="array" aca="1" ref="J453" ca="1">_xlfn.IFS($B453="etf", _xll.YCP($A453,"ytd_total_return",'Database Query'!$E$14),$B453&lt;&gt;"etf",_xll.YCP("M:"&amp; $A453,"ytd_total_return",'Database Query'!$E$14))</f>
        <v>ERR: INVALID ASSET</v>
      </c>
      <c r="K453" s="2" t="e" cm="1">
        <f t="array" aca="1" ref="K453" ca="1">-_xll.YCP($E453,"ytd_return",'Database Query'!$E$14)+J453</f>
        <v>#VALUE!</v>
      </c>
      <c r="L453" s="2" t="str" cm="1">
        <f t="array" aca="1" ref="L453" ca="1">_xlfn.IFS($B453="etf", _xll.YCP($A453,"one_year_total_return",'Database Query'!$E$14),$B453&lt;&gt;"etf",_xll.YCP("M:"&amp; $A453,"one_year_total_return",'Database Query'!$E$14))</f>
        <v>ERR: INVALID ASSET</v>
      </c>
      <c r="M453" s="2" t="e" cm="1">
        <f t="array" aca="1" ref="M453" ca="1">-_xll.YCP($E453,"one_year_return",'Database Query'!$E$14)+L453</f>
        <v>#VALUE!</v>
      </c>
      <c r="N453" s="2" t="str" cm="1">
        <f t="array" aca="1" ref="N453" ca="1">_xlfn.IFS($B453="etf", _xll.YCP($A453,"three_year_total_return",'Database Query'!$E$14),$B453&lt;&gt;"etf",_xll.YCP("M:"&amp; $A453,"three_year_total_return",'Database Query'!$E$14))</f>
        <v>ERR: INVALID ASSET</v>
      </c>
      <c r="O453" s="2" t="e" cm="1">
        <f t="array" aca="1" ref="O453" ca="1">-_xll.YCP($E453,"three_year_return",'Database Query'!$E$14)+N453</f>
        <v>#VALUE!</v>
      </c>
      <c r="P453" s="2" t="str" cm="1">
        <f t="array" aca="1" ref="P453" ca="1">_xlfn.IFS($B453="etf", _xll.YCP($A453,"five_year_total_return",'Database Query'!$E$14),$B453&lt;&gt;"etf",_xll.YCP("M:"&amp; $A453,"five_year_total_return",'Database Query'!$E$14))</f>
        <v>ERR: INVALID ASSET</v>
      </c>
      <c r="Q453" s="2" t="e" cm="1">
        <f t="array" aca="1" ref="Q453" ca="1">-_xll.YCP($E453,"five_year_return",'Database Query'!$E$14)+P453</f>
        <v>#VALUE!</v>
      </c>
    </row>
    <row r="454" spans="2:17" x14ac:dyDescent="0.25">
      <c r="B454" t="str" cm="1">
        <f t="array" aca="1" ref="B454" ca="1">_xll.YCI(A454,"detailed_security_type",TODAY())</f>
        <v/>
      </c>
      <c r="C454" t="str" cm="1">
        <f t="array" aca="1" ref="C454" ca="1">_xlfn.IFS(B454="etf", _xll.YCI(A454, "security_name",TODAY()),B454&lt;&gt;"etf",_xll.YCI("M:" &amp; A454, "security_name",TODAY()))</f>
        <v>ERR: INVALID ASSET</v>
      </c>
      <c r="D454" t="str" cm="1">
        <f t="array" aca="1" ref="D454" ca="1">_xlfn.IFS($B454="etf", _xll.YCI($A454, "ycharts_benchmark_category",TODAY()),$B454&lt;&gt;"etf",_xll.YCI("M:" &amp; $A454, "ycharts_benchmark_category",TODAY()))</f>
        <v>ERR: INVALID ASSET</v>
      </c>
      <c r="E454" t="str" cm="1">
        <f t="array" aca="1" ref="E454" ca="1">_xlfn.IFS($B454="etf", _xll.YCI($A454, "ycharts_benchmark_index_symbol",TODAY()),$B454&lt;&gt;"etf",_xll.YCI("M:" &amp; $A454, "ycharts_benchmark_index_symbol",TODAY()))</f>
        <v>ERR: INVALID ASSET</v>
      </c>
      <c r="F454" t="str" cm="1">
        <f t="array" aca="1" ref="F454" ca="1">_xlfn.IFS($B454="etf", _xll.YCI($E454, "security_name",TODAY()),$B454&lt;&gt;"etf",_xll.YCI( $E454, "security_name",TODAY()))</f>
        <v>ERR: INVALID ASSET</v>
      </c>
      <c r="G454" t="str" cm="1">
        <f t="array" aca="1" ref="G454" ca="1">_xlfn.IFS($B454="etf", _xll.YCI($A454, "prospectus_benchmark_index",TODAY()),$B454&lt;&gt;"etf",_xll.YCI("M:" &amp; $A454, "prospectus_benchmark_index",TODAY()))</f>
        <v>ERR: INVALID ASSET</v>
      </c>
      <c r="H454" s="2" t="str" cm="1">
        <f t="array" aca="1" ref="H454" ca="1">_xlfn.IFS($B454="etf", _xll.YCP($A454,"quarterly_total_return",'Database Query'!$E$14),$B454&lt;&gt;"etf",_xll.YCP("M:"&amp; $A454,"quarterly_total_return",'Database Query'!$E$14))</f>
        <v>ERR: INVALID ASSET</v>
      </c>
      <c r="I454" s="2" t="e" cm="1">
        <f t="array" aca="1" ref="I454" ca="1">-_xll.YCP($E454,"quarterly_return",'Database Query'!$E$14)+H454</f>
        <v>#VALUE!</v>
      </c>
      <c r="J454" s="2" t="str" cm="1">
        <f t="array" aca="1" ref="J454" ca="1">_xlfn.IFS($B454="etf", _xll.YCP($A454,"ytd_total_return",'Database Query'!$E$14),$B454&lt;&gt;"etf",_xll.YCP("M:"&amp; $A454,"ytd_total_return",'Database Query'!$E$14))</f>
        <v>ERR: INVALID ASSET</v>
      </c>
      <c r="K454" s="2" t="e" cm="1">
        <f t="array" aca="1" ref="K454" ca="1">-_xll.YCP($E454,"ytd_return",'Database Query'!$E$14)+J454</f>
        <v>#VALUE!</v>
      </c>
      <c r="L454" s="2" t="str" cm="1">
        <f t="array" aca="1" ref="L454" ca="1">_xlfn.IFS($B454="etf", _xll.YCP($A454,"one_year_total_return",'Database Query'!$E$14),$B454&lt;&gt;"etf",_xll.YCP("M:"&amp; $A454,"one_year_total_return",'Database Query'!$E$14))</f>
        <v>ERR: INVALID ASSET</v>
      </c>
      <c r="M454" s="2" t="e" cm="1">
        <f t="array" aca="1" ref="M454" ca="1">-_xll.YCP($E454,"one_year_return",'Database Query'!$E$14)+L454</f>
        <v>#VALUE!</v>
      </c>
      <c r="N454" s="2" t="str" cm="1">
        <f t="array" aca="1" ref="N454" ca="1">_xlfn.IFS($B454="etf", _xll.YCP($A454,"three_year_total_return",'Database Query'!$E$14),$B454&lt;&gt;"etf",_xll.YCP("M:"&amp; $A454,"three_year_total_return",'Database Query'!$E$14))</f>
        <v>ERR: INVALID ASSET</v>
      </c>
      <c r="O454" s="2" t="e" cm="1">
        <f t="array" aca="1" ref="O454" ca="1">-_xll.YCP($E454,"three_year_return",'Database Query'!$E$14)+N454</f>
        <v>#VALUE!</v>
      </c>
      <c r="P454" s="2" t="str" cm="1">
        <f t="array" aca="1" ref="P454" ca="1">_xlfn.IFS($B454="etf", _xll.YCP($A454,"five_year_total_return",'Database Query'!$E$14),$B454&lt;&gt;"etf",_xll.YCP("M:"&amp; $A454,"five_year_total_return",'Database Query'!$E$14))</f>
        <v>ERR: INVALID ASSET</v>
      </c>
      <c r="Q454" s="2" t="e" cm="1">
        <f t="array" aca="1" ref="Q454" ca="1">-_xll.YCP($E454,"five_year_return",'Database Query'!$E$14)+P454</f>
        <v>#VALUE!</v>
      </c>
    </row>
    <row r="455" spans="2:17" x14ac:dyDescent="0.25">
      <c r="B455" t="str" cm="1">
        <f t="array" aca="1" ref="B455" ca="1">_xll.YCI(A455,"detailed_security_type",TODAY())</f>
        <v/>
      </c>
      <c r="C455" t="str" cm="1">
        <f t="array" aca="1" ref="C455" ca="1">_xlfn.IFS(B455="etf", _xll.YCI(A455, "security_name",TODAY()),B455&lt;&gt;"etf",_xll.YCI("M:" &amp; A455, "security_name",TODAY()))</f>
        <v>ERR: INVALID ASSET</v>
      </c>
      <c r="D455" t="str" cm="1">
        <f t="array" aca="1" ref="D455" ca="1">_xlfn.IFS($B455="etf", _xll.YCI($A455, "ycharts_benchmark_category",TODAY()),$B455&lt;&gt;"etf",_xll.YCI("M:" &amp; $A455, "ycharts_benchmark_category",TODAY()))</f>
        <v>ERR: INVALID ASSET</v>
      </c>
      <c r="E455" t="str" cm="1">
        <f t="array" aca="1" ref="E455" ca="1">_xlfn.IFS($B455="etf", _xll.YCI($A455, "ycharts_benchmark_index_symbol",TODAY()),$B455&lt;&gt;"etf",_xll.YCI("M:" &amp; $A455, "ycharts_benchmark_index_symbol",TODAY()))</f>
        <v>ERR: INVALID ASSET</v>
      </c>
      <c r="F455" t="str" cm="1">
        <f t="array" aca="1" ref="F455" ca="1">_xlfn.IFS($B455="etf", _xll.YCI($E455, "security_name",TODAY()),$B455&lt;&gt;"etf",_xll.YCI( $E455, "security_name",TODAY()))</f>
        <v>ERR: INVALID ASSET</v>
      </c>
      <c r="G455" t="str" cm="1">
        <f t="array" aca="1" ref="G455" ca="1">_xlfn.IFS($B455="etf", _xll.YCI($A455, "prospectus_benchmark_index",TODAY()),$B455&lt;&gt;"etf",_xll.YCI("M:" &amp; $A455, "prospectus_benchmark_index",TODAY()))</f>
        <v>ERR: INVALID ASSET</v>
      </c>
      <c r="H455" s="2" t="str" cm="1">
        <f t="array" aca="1" ref="H455" ca="1">_xlfn.IFS($B455="etf", _xll.YCP($A455,"quarterly_total_return",'Database Query'!$E$14),$B455&lt;&gt;"etf",_xll.YCP("M:"&amp; $A455,"quarterly_total_return",'Database Query'!$E$14))</f>
        <v>ERR: INVALID ASSET</v>
      </c>
      <c r="I455" s="2" t="e" cm="1">
        <f t="array" aca="1" ref="I455" ca="1">-_xll.YCP($E455,"quarterly_return",'Database Query'!$E$14)+H455</f>
        <v>#VALUE!</v>
      </c>
      <c r="J455" s="2" t="str" cm="1">
        <f t="array" aca="1" ref="J455" ca="1">_xlfn.IFS($B455="etf", _xll.YCP($A455,"ytd_total_return",'Database Query'!$E$14),$B455&lt;&gt;"etf",_xll.YCP("M:"&amp; $A455,"ytd_total_return",'Database Query'!$E$14))</f>
        <v>ERR: INVALID ASSET</v>
      </c>
      <c r="K455" s="2" t="e" cm="1">
        <f t="array" aca="1" ref="K455" ca="1">-_xll.YCP($E455,"ytd_return",'Database Query'!$E$14)+J455</f>
        <v>#VALUE!</v>
      </c>
      <c r="L455" s="2" t="str" cm="1">
        <f t="array" aca="1" ref="L455" ca="1">_xlfn.IFS($B455="etf", _xll.YCP($A455,"one_year_total_return",'Database Query'!$E$14),$B455&lt;&gt;"etf",_xll.YCP("M:"&amp; $A455,"one_year_total_return",'Database Query'!$E$14))</f>
        <v>ERR: INVALID ASSET</v>
      </c>
      <c r="M455" s="2" t="e" cm="1">
        <f t="array" aca="1" ref="M455" ca="1">-_xll.YCP($E455,"one_year_return",'Database Query'!$E$14)+L455</f>
        <v>#VALUE!</v>
      </c>
      <c r="N455" s="2" t="str" cm="1">
        <f t="array" aca="1" ref="N455" ca="1">_xlfn.IFS($B455="etf", _xll.YCP($A455,"three_year_total_return",'Database Query'!$E$14),$B455&lt;&gt;"etf",_xll.YCP("M:"&amp; $A455,"three_year_total_return",'Database Query'!$E$14))</f>
        <v>ERR: INVALID ASSET</v>
      </c>
      <c r="O455" s="2" t="e" cm="1">
        <f t="array" aca="1" ref="O455" ca="1">-_xll.YCP($E455,"three_year_return",'Database Query'!$E$14)+N455</f>
        <v>#VALUE!</v>
      </c>
      <c r="P455" s="2" t="str" cm="1">
        <f t="array" aca="1" ref="P455" ca="1">_xlfn.IFS($B455="etf", _xll.YCP($A455,"five_year_total_return",'Database Query'!$E$14),$B455&lt;&gt;"etf",_xll.YCP("M:"&amp; $A455,"five_year_total_return",'Database Query'!$E$14))</f>
        <v>ERR: INVALID ASSET</v>
      </c>
      <c r="Q455" s="2" t="e" cm="1">
        <f t="array" aca="1" ref="Q455" ca="1">-_xll.YCP($E455,"five_year_return",'Database Query'!$E$14)+P455</f>
        <v>#VALUE!</v>
      </c>
    </row>
    <row r="456" spans="2:17" x14ac:dyDescent="0.25">
      <c r="B456" t="str" cm="1">
        <f t="array" aca="1" ref="B456" ca="1">_xll.YCI(A456,"detailed_security_type",TODAY())</f>
        <v/>
      </c>
      <c r="C456" t="str" cm="1">
        <f t="array" aca="1" ref="C456" ca="1">_xlfn.IFS(B456="etf", _xll.YCI(A456, "security_name",TODAY()),B456&lt;&gt;"etf",_xll.YCI("M:" &amp; A456, "security_name",TODAY()))</f>
        <v>ERR: INVALID ASSET</v>
      </c>
      <c r="D456" t="str" cm="1">
        <f t="array" aca="1" ref="D456" ca="1">_xlfn.IFS($B456="etf", _xll.YCI($A456, "ycharts_benchmark_category",TODAY()),$B456&lt;&gt;"etf",_xll.YCI("M:" &amp; $A456, "ycharts_benchmark_category",TODAY()))</f>
        <v>ERR: INVALID ASSET</v>
      </c>
      <c r="E456" t="str" cm="1">
        <f t="array" aca="1" ref="E456" ca="1">_xlfn.IFS($B456="etf", _xll.YCI($A456, "ycharts_benchmark_index_symbol",TODAY()),$B456&lt;&gt;"etf",_xll.YCI("M:" &amp; $A456, "ycharts_benchmark_index_symbol",TODAY()))</f>
        <v>ERR: INVALID ASSET</v>
      </c>
      <c r="F456" t="str" cm="1">
        <f t="array" aca="1" ref="F456" ca="1">_xlfn.IFS($B456="etf", _xll.YCI($E456, "security_name",TODAY()),$B456&lt;&gt;"etf",_xll.YCI( $E456, "security_name",TODAY()))</f>
        <v>ERR: INVALID ASSET</v>
      </c>
      <c r="G456" t="str" cm="1">
        <f t="array" aca="1" ref="G456" ca="1">_xlfn.IFS($B456="etf", _xll.YCI($A456, "prospectus_benchmark_index",TODAY()),$B456&lt;&gt;"etf",_xll.YCI("M:" &amp; $A456, "prospectus_benchmark_index",TODAY()))</f>
        <v>ERR: INVALID ASSET</v>
      </c>
      <c r="H456" s="2" t="str" cm="1">
        <f t="array" aca="1" ref="H456" ca="1">_xlfn.IFS($B456="etf", _xll.YCP($A456,"quarterly_total_return",'Database Query'!$E$14),$B456&lt;&gt;"etf",_xll.YCP("M:"&amp; $A456,"quarterly_total_return",'Database Query'!$E$14))</f>
        <v>ERR: INVALID ASSET</v>
      </c>
      <c r="I456" s="2" t="e" cm="1">
        <f t="array" aca="1" ref="I456" ca="1">-_xll.YCP($E456,"quarterly_return",'Database Query'!$E$14)+H456</f>
        <v>#VALUE!</v>
      </c>
      <c r="J456" s="2" t="str" cm="1">
        <f t="array" aca="1" ref="J456" ca="1">_xlfn.IFS($B456="etf", _xll.YCP($A456,"ytd_total_return",'Database Query'!$E$14),$B456&lt;&gt;"etf",_xll.YCP("M:"&amp; $A456,"ytd_total_return",'Database Query'!$E$14))</f>
        <v>ERR: INVALID ASSET</v>
      </c>
      <c r="K456" s="2" t="e" cm="1">
        <f t="array" aca="1" ref="K456" ca="1">-_xll.YCP($E456,"ytd_return",'Database Query'!$E$14)+J456</f>
        <v>#VALUE!</v>
      </c>
      <c r="L456" s="2" t="str" cm="1">
        <f t="array" aca="1" ref="L456" ca="1">_xlfn.IFS($B456="etf", _xll.YCP($A456,"one_year_total_return",'Database Query'!$E$14),$B456&lt;&gt;"etf",_xll.YCP("M:"&amp; $A456,"one_year_total_return",'Database Query'!$E$14))</f>
        <v>ERR: INVALID ASSET</v>
      </c>
      <c r="M456" s="2" t="e" cm="1">
        <f t="array" aca="1" ref="M456" ca="1">-_xll.YCP($E456,"one_year_return",'Database Query'!$E$14)+L456</f>
        <v>#VALUE!</v>
      </c>
      <c r="N456" s="2" t="str" cm="1">
        <f t="array" aca="1" ref="N456" ca="1">_xlfn.IFS($B456="etf", _xll.YCP($A456,"three_year_total_return",'Database Query'!$E$14),$B456&lt;&gt;"etf",_xll.YCP("M:"&amp; $A456,"three_year_total_return",'Database Query'!$E$14))</f>
        <v>ERR: INVALID ASSET</v>
      </c>
      <c r="O456" s="2" t="e" cm="1">
        <f t="array" aca="1" ref="O456" ca="1">-_xll.YCP($E456,"three_year_return",'Database Query'!$E$14)+N456</f>
        <v>#VALUE!</v>
      </c>
      <c r="P456" s="2" t="str" cm="1">
        <f t="array" aca="1" ref="P456" ca="1">_xlfn.IFS($B456="etf", _xll.YCP($A456,"five_year_total_return",'Database Query'!$E$14),$B456&lt;&gt;"etf",_xll.YCP("M:"&amp; $A456,"five_year_total_return",'Database Query'!$E$14))</f>
        <v>ERR: INVALID ASSET</v>
      </c>
      <c r="Q456" s="2" t="e" cm="1">
        <f t="array" aca="1" ref="Q456" ca="1">-_xll.YCP($E456,"five_year_return",'Database Query'!$E$14)+P456</f>
        <v>#VALUE!</v>
      </c>
    </row>
    <row r="457" spans="2:17" x14ac:dyDescent="0.25">
      <c r="B457" t="str" cm="1">
        <f t="array" aca="1" ref="B457" ca="1">_xll.YCI(A457,"detailed_security_type",TODAY())</f>
        <v/>
      </c>
      <c r="C457" t="str" cm="1">
        <f t="array" aca="1" ref="C457" ca="1">_xlfn.IFS(B457="etf", _xll.YCI(A457, "security_name",TODAY()),B457&lt;&gt;"etf",_xll.YCI("M:" &amp; A457, "security_name",TODAY()))</f>
        <v>ERR: INVALID ASSET</v>
      </c>
      <c r="D457" t="str" cm="1">
        <f t="array" aca="1" ref="D457" ca="1">_xlfn.IFS($B457="etf", _xll.YCI($A457, "ycharts_benchmark_category",TODAY()),$B457&lt;&gt;"etf",_xll.YCI("M:" &amp; $A457, "ycharts_benchmark_category",TODAY()))</f>
        <v>ERR: INVALID ASSET</v>
      </c>
      <c r="E457" t="str" cm="1">
        <f t="array" aca="1" ref="E457" ca="1">_xlfn.IFS($B457="etf", _xll.YCI($A457, "ycharts_benchmark_index_symbol",TODAY()),$B457&lt;&gt;"etf",_xll.YCI("M:" &amp; $A457, "ycharts_benchmark_index_symbol",TODAY()))</f>
        <v>ERR: INVALID ASSET</v>
      </c>
      <c r="F457" t="str" cm="1">
        <f t="array" aca="1" ref="F457" ca="1">_xlfn.IFS($B457="etf", _xll.YCI($E457, "security_name",TODAY()),$B457&lt;&gt;"etf",_xll.YCI( $E457, "security_name",TODAY()))</f>
        <v>ERR: INVALID ASSET</v>
      </c>
      <c r="G457" t="str" cm="1">
        <f t="array" aca="1" ref="G457" ca="1">_xlfn.IFS($B457="etf", _xll.YCI($A457, "prospectus_benchmark_index",TODAY()),$B457&lt;&gt;"etf",_xll.YCI("M:" &amp; $A457, "prospectus_benchmark_index",TODAY()))</f>
        <v>ERR: INVALID ASSET</v>
      </c>
      <c r="H457" s="2" t="str" cm="1">
        <f t="array" aca="1" ref="H457" ca="1">_xlfn.IFS($B457="etf", _xll.YCP($A457,"quarterly_total_return",'Database Query'!$E$14),$B457&lt;&gt;"etf",_xll.YCP("M:"&amp; $A457,"quarterly_total_return",'Database Query'!$E$14))</f>
        <v>ERR: INVALID ASSET</v>
      </c>
      <c r="I457" s="2" t="e" cm="1">
        <f t="array" aca="1" ref="I457" ca="1">-_xll.YCP($E457,"quarterly_return",'Database Query'!$E$14)+H457</f>
        <v>#VALUE!</v>
      </c>
      <c r="J457" s="2" t="str" cm="1">
        <f t="array" aca="1" ref="J457" ca="1">_xlfn.IFS($B457="etf", _xll.YCP($A457,"ytd_total_return",'Database Query'!$E$14),$B457&lt;&gt;"etf",_xll.YCP("M:"&amp; $A457,"ytd_total_return",'Database Query'!$E$14))</f>
        <v>ERR: INVALID ASSET</v>
      </c>
      <c r="K457" s="2" t="e" cm="1">
        <f t="array" aca="1" ref="K457" ca="1">-_xll.YCP($E457,"ytd_return",'Database Query'!$E$14)+J457</f>
        <v>#VALUE!</v>
      </c>
      <c r="L457" s="2" t="str" cm="1">
        <f t="array" aca="1" ref="L457" ca="1">_xlfn.IFS($B457="etf", _xll.YCP($A457,"one_year_total_return",'Database Query'!$E$14),$B457&lt;&gt;"etf",_xll.YCP("M:"&amp; $A457,"one_year_total_return",'Database Query'!$E$14))</f>
        <v>ERR: INVALID ASSET</v>
      </c>
      <c r="M457" s="2" t="e" cm="1">
        <f t="array" aca="1" ref="M457" ca="1">-_xll.YCP($E457,"one_year_return",'Database Query'!$E$14)+L457</f>
        <v>#VALUE!</v>
      </c>
      <c r="N457" s="2" t="str" cm="1">
        <f t="array" aca="1" ref="N457" ca="1">_xlfn.IFS($B457="etf", _xll.YCP($A457,"three_year_total_return",'Database Query'!$E$14),$B457&lt;&gt;"etf",_xll.YCP("M:"&amp; $A457,"three_year_total_return",'Database Query'!$E$14))</f>
        <v>ERR: INVALID ASSET</v>
      </c>
      <c r="O457" s="2" t="e" cm="1">
        <f t="array" aca="1" ref="O457" ca="1">-_xll.YCP($E457,"three_year_return",'Database Query'!$E$14)+N457</f>
        <v>#VALUE!</v>
      </c>
      <c r="P457" s="2" t="str" cm="1">
        <f t="array" aca="1" ref="P457" ca="1">_xlfn.IFS($B457="etf", _xll.YCP($A457,"five_year_total_return",'Database Query'!$E$14),$B457&lt;&gt;"etf",_xll.YCP("M:"&amp; $A457,"five_year_total_return",'Database Query'!$E$14))</f>
        <v>ERR: INVALID ASSET</v>
      </c>
      <c r="Q457" s="2" t="e" cm="1">
        <f t="array" aca="1" ref="Q457" ca="1">-_xll.YCP($E457,"five_year_return",'Database Query'!$E$14)+P457</f>
        <v>#VALUE!</v>
      </c>
    </row>
    <row r="458" spans="2:17" x14ac:dyDescent="0.25">
      <c r="B458" t="str" cm="1">
        <f t="array" aca="1" ref="B458" ca="1">_xll.YCI(A458,"detailed_security_type",TODAY())</f>
        <v/>
      </c>
      <c r="C458" t="str" cm="1">
        <f t="array" aca="1" ref="C458" ca="1">_xlfn.IFS(B458="etf", _xll.YCI(A458, "security_name",TODAY()),B458&lt;&gt;"etf",_xll.YCI("M:" &amp; A458, "security_name",TODAY()))</f>
        <v>ERR: INVALID ASSET</v>
      </c>
      <c r="D458" t="str" cm="1">
        <f t="array" aca="1" ref="D458" ca="1">_xlfn.IFS($B458="etf", _xll.YCI($A458, "ycharts_benchmark_category",TODAY()),$B458&lt;&gt;"etf",_xll.YCI("M:" &amp; $A458, "ycharts_benchmark_category",TODAY()))</f>
        <v>ERR: INVALID ASSET</v>
      </c>
      <c r="E458" t="str" cm="1">
        <f t="array" aca="1" ref="E458" ca="1">_xlfn.IFS($B458="etf", _xll.YCI($A458, "ycharts_benchmark_index_symbol",TODAY()),$B458&lt;&gt;"etf",_xll.YCI("M:" &amp; $A458, "ycharts_benchmark_index_symbol",TODAY()))</f>
        <v>ERR: INVALID ASSET</v>
      </c>
      <c r="F458" t="str" cm="1">
        <f t="array" aca="1" ref="F458" ca="1">_xlfn.IFS($B458="etf", _xll.YCI($E458, "security_name",TODAY()),$B458&lt;&gt;"etf",_xll.YCI( $E458, "security_name",TODAY()))</f>
        <v>ERR: INVALID ASSET</v>
      </c>
      <c r="G458" t="str" cm="1">
        <f t="array" aca="1" ref="G458" ca="1">_xlfn.IFS($B458="etf", _xll.YCI($A458, "prospectus_benchmark_index",TODAY()),$B458&lt;&gt;"etf",_xll.YCI("M:" &amp; $A458, "prospectus_benchmark_index",TODAY()))</f>
        <v>ERR: INVALID ASSET</v>
      </c>
      <c r="H458" s="2" t="str" cm="1">
        <f t="array" aca="1" ref="H458" ca="1">_xlfn.IFS($B458="etf", _xll.YCP($A458,"quarterly_total_return",'Database Query'!$E$14),$B458&lt;&gt;"etf",_xll.YCP("M:"&amp; $A458,"quarterly_total_return",'Database Query'!$E$14))</f>
        <v>ERR: INVALID ASSET</v>
      </c>
      <c r="I458" s="2" t="e" cm="1">
        <f t="array" aca="1" ref="I458" ca="1">-_xll.YCP($E458,"quarterly_return",'Database Query'!$E$14)+H458</f>
        <v>#VALUE!</v>
      </c>
      <c r="J458" s="2" t="str" cm="1">
        <f t="array" aca="1" ref="J458" ca="1">_xlfn.IFS($B458="etf", _xll.YCP($A458,"ytd_total_return",'Database Query'!$E$14),$B458&lt;&gt;"etf",_xll.YCP("M:"&amp; $A458,"ytd_total_return",'Database Query'!$E$14))</f>
        <v>ERR: INVALID ASSET</v>
      </c>
      <c r="K458" s="2" t="e" cm="1">
        <f t="array" aca="1" ref="K458" ca="1">-_xll.YCP($E458,"ytd_return",'Database Query'!$E$14)+J458</f>
        <v>#VALUE!</v>
      </c>
      <c r="L458" s="2" t="str" cm="1">
        <f t="array" aca="1" ref="L458" ca="1">_xlfn.IFS($B458="etf", _xll.YCP($A458,"one_year_total_return",'Database Query'!$E$14),$B458&lt;&gt;"etf",_xll.YCP("M:"&amp; $A458,"one_year_total_return",'Database Query'!$E$14))</f>
        <v>ERR: INVALID ASSET</v>
      </c>
      <c r="M458" s="2" t="e" cm="1">
        <f t="array" aca="1" ref="M458" ca="1">-_xll.YCP($E458,"one_year_return",'Database Query'!$E$14)+L458</f>
        <v>#VALUE!</v>
      </c>
      <c r="N458" s="2" t="str" cm="1">
        <f t="array" aca="1" ref="N458" ca="1">_xlfn.IFS($B458="etf", _xll.YCP($A458,"three_year_total_return",'Database Query'!$E$14),$B458&lt;&gt;"etf",_xll.YCP("M:"&amp; $A458,"three_year_total_return",'Database Query'!$E$14))</f>
        <v>ERR: INVALID ASSET</v>
      </c>
      <c r="O458" s="2" t="e" cm="1">
        <f t="array" aca="1" ref="O458" ca="1">-_xll.YCP($E458,"three_year_return",'Database Query'!$E$14)+N458</f>
        <v>#VALUE!</v>
      </c>
      <c r="P458" s="2" t="str" cm="1">
        <f t="array" aca="1" ref="P458" ca="1">_xlfn.IFS($B458="etf", _xll.YCP($A458,"five_year_total_return",'Database Query'!$E$14),$B458&lt;&gt;"etf",_xll.YCP("M:"&amp; $A458,"five_year_total_return",'Database Query'!$E$14))</f>
        <v>ERR: INVALID ASSET</v>
      </c>
      <c r="Q458" s="2" t="e" cm="1">
        <f t="array" aca="1" ref="Q458" ca="1">-_xll.YCP($E458,"five_year_return",'Database Query'!$E$14)+P458</f>
        <v>#VALUE!</v>
      </c>
    </row>
    <row r="459" spans="2:17" x14ac:dyDescent="0.25">
      <c r="B459" t="str" cm="1">
        <f t="array" aca="1" ref="B459" ca="1">_xll.YCI(A459,"detailed_security_type",TODAY())</f>
        <v/>
      </c>
      <c r="C459" t="str" cm="1">
        <f t="array" aca="1" ref="C459" ca="1">_xlfn.IFS(B459="etf", _xll.YCI(A459, "security_name",TODAY()),B459&lt;&gt;"etf",_xll.YCI("M:" &amp; A459, "security_name",TODAY()))</f>
        <v>ERR: INVALID ASSET</v>
      </c>
      <c r="D459" t="str" cm="1">
        <f t="array" aca="1" ref="D459" ca="1">_xlfn.IFS($B459="etf", _xll.YCI($A459, "ycharts_benchmark_category",TODAY()),$B459&lt;&gt;"etf",_xll.YCI("M:" &amp; $A459, "ycharts_benchmark_category",TODAY()))</f>
        <v>ERR: INVALID ASSET</v>
      </c>
      <c r="E459" t="str" cm="1">
        <f t="array" aca="1" ref="E459" ca="1">_xlfn.IFS($B459="etf", _xll.YCI($A459, "ycharts_benchmark_index_symbol",TODAY()),$B459&lt;&gt;"etf",_xll.YCI("M:" &amp; $A459, "ycharts_benchmark_index_symbol",TODAY()))</f>
        <v>ERR: INVALID ASSET</v>
      </c>
      <c r="F459" t="str" cm="1">
        <f t="array" aca="1" ref="F459" ca="1">_xlfn.IFS($B459="etf", _xll.YCI($E459, "security_name",TODAY()),$B459&lt;&gt;"etf",_xll.YCI( $E459, "security_name",TODAY()))</f>
        <v>ERR: INVALID ASSET</v>
      </c>
      <c r="G459" t="str" cm="1">
        <f t="array" aca="1" ref="G459" ca="1">_xlfn.IFS($B459="etf", _xll.YCI($A459, "prospectus_benchmark_index",TODAY()),$B459&lt;&gt;"etf",_xll.YCI("M:" &amp; $A459, "prospectus_benchmark_index",TODAY()))</f>
        <v>ERR: INVALID ASSET</v>
      </c>
      <c r="H459" s="2" t="str" cm="1">
        <f t="array" aca="1" ref="H459" ca="1">_xlfn.IFS($B459="etf", _xll.YCP($A459,"quarterly_total_return",'Database Query'!$E$14),$B459&lt;&gt;"etf",_xll.YCP("M:"&amp; $A459,"quarterly_total_return",'Database Query'!$E$14))</f>
        <v>ERR: INVALID ASSET</v>
      </c>
      <c r="I459" s="2" t="e" cm="1">
        <f t="array" aca="1" ref="I459" ca="1">-_xll.YCP($E459,"quarterly_return",'Database Query'!$E$14)+H459</f>
        <v>#VALUE!</v>
      </c>
      <c r="J459" s="2" t="str" cm="1">
        <f t="array" aca="1" ref="J459" ca="1">_xlfn.IFS($B459="etf", _xll.YCP($A459,"ytd_total_return",'Database Query'!$E$14),$B459&lt;&gt;"etf",_xll.YCP("M:"&amp; $A459,"ytd_total_return",'Database Query'!$E$14))</f>
        <v>ERR: INVALID ASSET</v>
      </c>
      <c r="K459" s="2" t="e" cm="1">
        <f t="array" aca="1" ref="K459" ca="1">-_xll.YCP($E459,"ytd_return",'Database Query'!$E$14)+J459</f>
        <v>#VALUE!</v>
      </c>
      <c r="L459" s="2" t="str" cm="1">
        <f t="array" aca="1" ref="L459" ca="1">_xlfn.IFS($B459="etf", _xll.YCP($A459,"one_year_total_return",'Database Query'!$E$14),$B459&lt;&gt;"etf",_xll.YCP("M:"&amp; $A459,"one_year_total_return",'Database Query'!$E$14))</f>
        <v>ERR: INVALID ASSET</v>
      </c>
      <c r="M459" s="2" t="e" cm="1">
        <f t="array" aca="1" ref="M459" ca="1">-_xll.YCP($E459,"one_year_return",'Database Query'!$E$14)+L459</f>
        <v>#VALUE!</v>
      </c>
      <c r="N459" s="2" t="str" cm="1">
        <f t="array" aca="1" ref="N459" ca="1">_xlfn.IFS($B459="etf", _xll.YCP($A459,"three_year_total_return",'Database Query'!$E$14),$B459&lt;&gt;"etf",_xll.YCP("M:"&amp; $A459,"three_year_total_return",'Database Query'!$E$14))</f>
        <v>ERR: INVALID ASSET</v>
      </c>
      <c r="O459" s="2" t="e" cm="1">
        <f t="array" aca="1" ref="O459" ca="1">-_xll.YCP($E459,"three_year_return",'Database Query'!$E$14)+N459</f>
        <v>#VALUE!</v>
      </c>
      <c r="P459" s="2" t="str" cm="1">
        <f t="array" aca="1" ref="P459" ca="1">_xlfn.IFS($B459="etf", _xll.YCP($A459,"five_year_total_return",'Database Query'!$E$14),$B459&lt;&gt;"etf",_xll.YCP("M:"&amp; $A459,"five_year_total_return",'Database Query'!$E$14))</f>
        <v>ERR: INVALID ASSET</v>
      </c>
      <c r="Q459" s="2" t="e" cm="1">
        <f t="array" aca="1" ref="Q459" ca="1">-_xll.YCP($E459,"five_year_return",'Database Query'!$E$14)+P459</f>
        <v>#VALUE!</v>
      </c>
    </row>
    <row r="460" spans="2:17" x14ac:dyDescent="0.25">
      <c r="B460" t="str" cm="1">
        <f t="array" aca="1" ref="B460" ca="1">_xll.YCI(A460,"detailed_security_type",TODAY())</f>
        <v/>
      </c>
      <c r="C460" t="str" cm="1">
        <f t="array" aca="1" ref="C460" ca="1">_xlfn.IFS(B460="etf", _xll.YCI(A460, "security_name",TODAY()),B460&lt;&gt;"etf",_xll.YCI("M:" &amp; A460, "security_name",TODAY()))</f>
        <v>ERR: INVALID ASSET</v>
      </c>
      <c r="D460" t="str" cm="1">
        <f t="array" aca="1" ref="D460" ca="1">_xlfn.IFS($B460="etf", _xll.YCI($A460, "ycharts_benchmark_category",TODAY()),$B460&lt;&gt;"etf",_xll.YCI("M:" &amp; $A460, "ycharts_benchmark_category",TODAY()))</f>
        <v>ERR: INVALID ASSET</v>
      </c>
      <c r="E460" t="str" cm="1">
        <f t="array" aca="1" ref="E460" ca="1">_xlfn.IFS($B460="etf", _xll.YCI($A460, "ycharts_benchmark_index_symbol",TODAY()),$B460&lt;&gt;"etf",_xll.YCI("M:" &amp; $A460, "ycharts_benchmark_index_symbol",TODAY()))</f>
        <v>ERR: INVALID ASSET</v>
      </c>
      <c r="F460" t="str" cm="1">
        <f t="array" aca="1" ref="F460" ca="1">_xlfn.IFS($B460="etf", _xll.YCI($E460, "security_name",TODAY()),$B460&lt;&gt;"etf",_xll.YCI( $E460, "security_name",TODAY()))</f>
        <v>ERR: INVALID ASSET</v>
      </c>
      <c r="G460" t="str" cm="1">
        <f t="array" aca="1" ref="G460" ca="1">_xlfn.IFS($B460="etf", _xll.YCI($A460, "prospectus_benchmark_index",TODAY()),$B460&lt;&gt;"etf",_xll.YCI("M:" &amp; $A460, "prospectus_benchmark_index",TODAY()))</f>
        <v>ERR: INVALID ASSET</v>
      </c>
      <c r="H460" s="2" t="str" cm="1">
        <f t="array" aca="1" ref="H460" ca="1">_xlfn.IFS($B460="etf", _xll.YCP($A460,"quarterly_total_return",'Database Query'!$E$14),$B460&lt;&gt;"etf",_xll.YCP("M:"&amp; $A460,"quarterly_total_return",'Database Query'!$E$14))</f>
        <v>ERR: INVALID ASSET</v>
      </c>
      <c r="I460" s="2" t="e" cm="1">
        <f t="array" aca="1" ref="I460" ca="1">-_xll.YCP($E460,"quarterly_return",'Database Query'!$E$14)+H460</f>
        <v>#VALUE!</v>
      </c>
      <c r="J460" s="2" t="str" cm="1">
        <f t="array" aca="1" ref="J460" ca="1">_xlfn.IFS($B460="etf", _xll.YCP($A460,"ytd_total_return",'Database Query'!$E$14),$B460&lt;&gt;"etf",_xll.YCP("M:"&amp; $A460,"ytd_total_return",'Database Query'!$E$14))</f>
        <v>ERR: INVALID ASSET</v>
      </c>
      <c r="K460" s="2" t="e" cm="1">
        <f t="array" aca="1" ref="K460" ca="1">-_xll.YCP($E460,"ytd_return",'Database Query'!$E$14)+J460</f>
        <v>#VALUE!</v>
      </c>
      <c r="L460" s="2" t="str" cm="1">
        <f t="array" aca="1" ref="L460" ca="1">_xlfn.IFS($B460="etf", _xll.YCP($A460,"one_year_total_return",'Database Query'!$E$14),$B460&lt;&gt;"etf",_xll.YCP("M:"&amp; $A460,"one_year_total_return",'Database Query'!$E$14))</f>
        <v>ERR: INVALID ASSET</v>
      </c>
      <c r="M460" s="2" t="e" cm="1">
        <f t="array" aca="1" ref="M460" ca="1">-_xll.YCP($E460,"one_year_return",'Database Query'!$E$14)+L460</f>
        <v>#VALUE!</v>
      </c>
      <c r="N460" s="2" t="str" cm="1">
        <f t="array" aca="1" ref="N460" ca="1">_xlfn.IFS($B460="etf", _xll.YCP($A460,"three_year_total_return",'Database Query'!$E$14),$B460&lt;&gt;"etf",_xll.YCP("M:"&amp; $A460,"three_year_total_return",'Database Query'!$E$14))</f>
        <v>ERR: INVALID ASSET</v>
      </c>
      <c r="O460" s="2" t="e" cm="1">
        <f t="array" aca="1" ref="O460" ca="1">-_xll.YCP($E460,"three_year_return",'Database Query'!$E$14)+N460</f>
        <v>#VALUE!</v>
      </c>
      <c r="P460" s="2" t="str" cm="1">
        <f t="array" aca="1" ref="P460" ca="1">_xlfn.IFS($B460="etf", _xll.YCP($A460,"five_year_total_return",'Database Query'!$E$14),$B460&lt;&gt;"etf",_xll.YCP("M:"&amp; $A460,"five_year_total_return",'Database Query'!$E$14))</f>
        <v>ERR: INVALID ASSET</v>
      </c>
      <c r="Q460" s="2" t="e" cm="1">
        <f t="array" aca="1" ref="Q460" ca="1">-_xll.YCP($E460,"five_year_return",'Database Query'!$E$14)+P460</f>
        <v>#VALUE!</v>
      </c>
    </row>
    <row r="461" spans="2:17" x14ac:dyDescent="0.25">
      <c r="B461" t="str" cm="1">
        <f t="array" aca="1" ref="B461" ca="1">_xll.YCI(A461,"detailed_security_type",TODAY())</f>
        <v/>
      </c>
      <c r="C461" t="str" cm="1">
        <f t="array" aca="1" ref="C461" ca="1">_xlfn.IFS(B461="etf", _xll.YCI(A461, "security_name",TODAY()),B461&lt;&gt;"etf",_xll.YCI("M:" &amp; A461, "security_name",TODAY()))</f>
        <v>ERR: INVALID ASSET</v>
      </c>
      <c r="D461" t="str" cm="1">
        <f t="array" aca="1" ref="D461" ca="1">_xlfn.IFS($B461="etf", _xll.YCI($A461, "ycharts_benchmark_category",TODAY()),$B461&lt;&gt;"etf",_xll.YCI("M:" &amp; $A461, "ycharts_benchmark_category",TODAY()))</f>
        <v>ERR: INVALID ASSET</v>
      </c>
      <c r="E461" t="str" cm="1">
        <f t="array" aca="1" ref="E461" ca="1">_xlfn.IFS($B461="etf", _xll.YCI($A461, "ycharts_benchmark_index_symbol",TODAY()),$B461&lt;&gt;"etf",_xll.YCI("M:" &amp; $A461, "ycharts_benchmark_index_symbol",TODAY()))</f>
        <v>ERR: INVALID ASSET</v>
      </c>
      <c r="F461" t="str" cm="1">
        <f t="array" aca="1" ref="F461" ca="1">_xlfn.IFS($B461="etf", _xll.YCI($E461, "security_name",TODAY()),$B461&lt;&gt;"etf",_xll.YCI( $E461, "security_name",TODAY()))</f>
        <v>ERR: INVALID ASSET</v>
      </c>
      <c r="G461" t="str" cm="1">
        <f t="array" aca="1" ref="G461" ca="1">_xlfn.IFS($B461="etf", _xll.YCI($A461, "prospectus_benchmark_index",TODAY()),$B461&lt;&gt;"etf",_xll.YCI("M:" &amp; $A461, "prospectus_benchmark_index",TODAY()))</f>
        <v>ERR: INVALID ASSET</v>
      </c>
      <c r="H461" s="2" t="str" cm="1">
        <f t="array" aca="1" ref="H461" ca="1">_xlfn.IFS($B461="etf", _xll.YCP($A461,"quarterly_total_return",'Database Query'!$E$14),$B461&lt;&gt;"etf",_xll.YCP("M:"&amp; $A461,"quarterly_total_return",'Database Query'!$E$14))</f>
        <v>ERR: INVALID ASSET</v>
      </c>
      <c r="I461" s="2" t="e" cm="1">
        <f t="array" aca="1" ref="I461" ca="1">-_xll.YCP($E461,"quarterly_return",'Database Query'!$E$14)+H461</f>
        <v>#VALUE!</v>
      </c>
      <c r="J461" s="2" t="str" cm="1">
        <f t="array" aca="1" ref="J461" ca="1">_xlfn.IFS($B461="etf", _xll.YCP($A461,"ytd_total_return",'Database Query'!$E$14),$B461&lt;&gt;"etf",_xll.YCP("M:"&amp; $A461,"ytd_total_return",'Database Query'!$E$14))</f>
        <v>ERR: INVALID ASSET</v>
      </c>
      <c r="K461" s="2" t="e" cm="1">
        <f t="array" aca="1" ref="K461" ca="1">-_xll.YCP($E461,"ytd_return",'Database Query'!$E$14)+J461</f>
        <v>#VALUE!</v>
      </c>
      <c r="L461" s="2" t="str" cm="1">
        <f t="array" aca="1" ref="L461" ca="1">_xlfn.IFS($B461="etf", _xll.YCP($A461,"one_year_total_return",'Database Query'!$E$14),$B461&lt;&gt;"etf",_xll.YCP("M:"&amp; $A461,"one_year_total_return",'Database Query'!$E$14))</f>
        <v>ERR: INVALID ASSET</v>
      </c>
      <c r="M461" s="2" t="e" cm="1">
        <f t="array" aca="1" ref="M461" ca="1">-_xll.YCP($E461,"one_year_return",'Database Query'!$E$14)+L461</f>
        <v>#VALUE!</v>
      </c>
      <c r="N461" s="2" t="str" cm="1">
        <f t="array" aca="1" ref="N461" ca="1">_xlfn.IFS($B461="etf", _xll.YCP($A461,"three_year_total_return",'Database Query'!$E$14),$B461&lt;&gt;"etf",_xll.YCP("M:"&amp; $A461,"three_year_total_return",'Database Query'!$E$14))</f>
        <v>ERR: INVALID ASSET</v>
      </c>
      <c r="O461" s="2" t="e" cm="1">
        <f t="array" aca="1" ref="O461" ca="1">-_xll.YCP($E461,"three_year_return",'Database Query'!$E$14)+N461</f>
        <v>#VALUE!</v>
      </c>
      <c r="P461" s="2" t="str" cm="1">
        <f t="array" aca="1" ref="P461" ca="1">_xlfn.IFS($B461="etf", _xll.YCP($A461,"five_year_total_return",'Database Query'!$E$14),$B461&lt;&gt;"etf",_xll.YCP("M:"&amp; $A461,"five_year_total_return",'Database Query'!$E$14))</f>
        <v>ERR: INVALID ASSET</v>
      </c>
      <c r="Q461" s="2" t="e" cm="1">
        <f t="array" aca="1" ref="Q461" ca="1">-_xll.YCP($E461,"five_year_return",'Database Query'!$E$14)+P461</f>
        <v>#VALUE!</v>
      </c>
    </row>
    <row r="462" spans="2:17" x14ac:dyDescent="0.25">
      <c r="B462" t="str" cm="1">
        <f t="array" aca="1" ref="B462" ca="1">_xll.YCI(A462,"detailed_security_type",TODAY())</f>
        <v/>
      </c>
      <c r="C462" t="str" cm="1">
        <f t="array" aca="1" ref="C462" ca="1">_xlfn.IFS(B462="etf", _xll.YCI(A462, "security_name",TODAY()),B462&lt;&gt;"etf",_xll.YCI("M:" &amp; A462, "security_name",TODAY()))</f>
        <v>ERR: INVALID ASSET</v>
      </c>
      <c r="D462" t="str" cm="1">
        <f t="array" aca="1" ref="D462" ca="1">_xlfn.IFS($B462="etf", _xll.YCI($A462, "ycharts_benchmark_category",TODAY()),$B462&lt;&gt;"etf",_xll.YCI("M:" &amp; $A462, "ycharts_benchmark_category",TODAY()))</f>
        <v>ERR: INVALID ASSET</v>
      </c>
      <c r="E462" t="str" cm="1">
        <f t="array" aca="1" ref="E462" ca="1">_xlfn.IFS($B462="etf", _xll.YCI($A462, "ycharts_benchmark_index_symbol",TODAY()),$B462&lt;&gt;"etf",_xll.YCI("M:" &amp; $A462, "ycharts_benchmark_index_symbol",TODAY()))</f>
        <v>ERR: INVALID ASSET</v>
      </c>
      <c r="F462" t="str" cm="1">
        <f t="array" aca="1" ref="F462" ca="1">_xlfn.IFS($B462="etf", _xll.YCI($E462, "security_name",TODAY()),$B462&lt;&gt;"etf",_xll.YCI( $E462, "security_name",TODAY()))</f>
        <v>ERR: INVALID ASSET</v>
      </c>
      <c r="G462" t="str" cm="1">
        <f t="array" aca="1" ref="G462" ca="1">_xlfn.IFS($B462="etf", _xll.YCI($A462, "prospectus_benchmark_index",TODAY()),$B462&lt;&gt;"etf",_xll.YCI("M:" &amp; $A462, "prospectus_benchmark_index",TODAY()))</f>
        <v>ERR: INVALID ASSET</v>
      </c>
      <c r="H462" s="2" t="str" cm="1">
        <f t="array" aca="1" ref="H462" ca="1">_xlfn.IFS($B462="etf", _xll.YCP($A462,"quarterly_total_return",'Database Query'!$E$14),$B462&lt;&gt;"etf",_xll.YCP("M:"&amp; $A462,"quarterly_total_return",'Database Query'!$E$14))</f>
        <v>ERR: INVALID ASSET</v>
      </c>
      <c r="I462" s="2" t="e" cm="1">
        <f t="array" aca="1" ref="I462" ca="1">-_xll.YCP($E462,"quarterly_return",'Database Query'!$E$14)+H462</f>
        <v>#VALUE!</v>
      </c>
      <c r="J462" s="2" t="str" cm="1">
        <f t="array" aca="1" ref="J462" ca="1">_xlfn.IFS($B462="etf", _xll.YCP($A462,"ytd_total_return",'Database Query'!$E$14),$B462&lt;&gt;"etf",_xll.YCP("M:"&amp; $A462,"ytd_total_return",'Database Query'!$E$14))</f>
        <v>ERR: INVALID ASSET</v>
      </c>
      <c r="K462" s="2" t="e" cm="1">
        <f t="array" aca="1" ref="K462" ca="1">-_xll.YCP($E462,"ytd_return",'Database Query'!$E$14)+J462</f>
        <v>#VALUE!</v>
      </c>
      <c r="L462" s="2" t="str" cm="1">
        <f t="array" aca="1" ref="L462" ca="1">_xlfn.IFS($B462="etf", _xll.YCP($A462,"one_year_total_return",'Database Query'!$E$14),$B462&lt;&gt;"etf",_xll.YCP("M:"&amp; $A462,"one_year_total_return",'Database Query'!$E$14))</f>
        <v>ERR: INVALID ASSET</v>
      </c>
      <c r="M462" s="2" t="e" cm="1">
        <f t="array" aca="1" ref="M462" ca="1">-_xll.YCP($E462,"one_year_return",'Database Query'!$E$14)+L462</f>
        <v>#VALUE!</v>
      </c>
      <c r="N462" s="2" t="str" cm="1">
        <f t="array" aca="1" ref="N462" ca="1">_xlfn.IFS($B462="etf", _xll.YCP($A462,"three_year_total_return",'Database Query'!$E$14),$B462&lt;&gt;"etf",_xll.YCP("M:"&amp; $A462,"three_year_total_return",'Database Query'!$E$14))</f>
        <v>ERR: INVALID ASSET</v>
      </c>
      <c r="O462" s="2" t="e" cm="1">
        <f t="array" aca="1" ref="O462" ca="1">-_xll.YCP($E462,"three_year_return",'Database Query'!$E$14)+N462</f>
        <v>#VALUE!</v>
      </c>
      <c r="P462" s="2" t="str" cm="1">
        <f t="array" aca="1" ref="P462" ca="1">_xlfn.IFS($B462="etf", _xll.YCP($A462,"five_year_total_return",'Database Query'!$E$14),$B462&lt;&gt;"etf",_xll.YCP("M:"&amp; $A462,"five_year_total_return",'Database Query'!$E$14))</f>
        <v>ERR: INVALID ASSET</v>
      </c>
      <c r="Q462" s="2" t="e" cm="1">
        <f t="array" aca="1" ref="Q462" ca="1">-_xll.YCP($E462,"five_year_return",'Database Query'!$E$14)+P462</f>
        <v>#VALUE!</v>
      </c>
    </row>
    <row r="463" spans="2:17" x14ac:dyDescent="0.25">
      <c r="B463" t="str" cm="1">
        <f t="array" aca="1" ref="B463" ca="1">_xll.YCI(A463,"detailed_security_type",TODAY())</f>
        <v/>
      </c>
      <c r="C463" t="str" cm="1">
        <f t="array" aca="1" ref="C463" ca="1">_xlfn.IFS(B463="etf", _xll.YCI(A463, "security_name",TODAY()),B463&lt;&gt;"etf",_xll.YCI("M:" &amp; A463, "security_name",TODAY()))</f>
        <v>ERR: INVALID ASSET</v>
      </c>
      <c r="D463" t="str" cm="1">
        <f t="array" aca="1" ref="D463" ca="1">_xlfn.IFS($B463="etf", _xll.YCI($A463, "ycharts_benchmark_category",TODAY()),$B463&lt;&gt;"etf",_xll.YCI("M:" &amp; $A463, "ycharts_benchmark_category",TODAY()))</f>
        <v>ERR: INVALID ASSET</v>
      </c>
      <c r="E463" t="str" cm="1">
        <f t="array" aca="1" ref="E463" ca="1">_xlfn.IFS($B463="etf", _xll.YCI($A463, "ycharts_benchmark_index_symbol",TODAY()),$B463&lt;&gt;"etf",_xll.YCI("M:" &amp; $A463, "ycharts_benchmark_index_symbol",TODAY()))</f>
        <v>ERR: INVALID ASSET</v>
      </c>
      <c r="F463" t="str" cm="1">
        <f t="array" aca="1" ref="F463" ca="1">_xlfn.IFS($B463="etf", _xll.YCI($E463, "security_name",TODAY()),$B463&lt;&gt;"etf",_xll.YCI( $E463, "security_name",TODAY()))</f>
        <v>ERR: INVALID ASSET</v>
      </c>
      <c r="G463" t="str" cm="1">
        <f t="array" aca="1" ref="G463" ca="1">_xlfn.IFS($B463="etf", _xll.YCI($A463, "prospectus_benchmark_index",TODAY()),$B463&lt;&gt;"etf",_xll.YCI("M:" &amp; $A463, "prospectus_benchmark_index",TODAY()))</f>
        <v>ERR: INVALID ASSET</v>
      </c>
      <c r="H463" s="2" t="str" cm="1">
        <f t="array" aca="1" ref="H463" ca="1">_xlfn.IFS($B463="etf", _xll.YCP($A463,"quarterly_total_return",'Database Query'!$E$14),$B463&lt;&gt;"etf",_xll.YCP("M:"&amp; $A463,"quarterly_total_return",'Database Query'!$E$14))</f>
        <v>ERR: INVALID ASSET</v>
      </c>
      <c r="I463" s="2" t="e" cm="1">
        <f t="array" aca="1" ref="I463" ca="1">-_xll.YCP($E463,"quarterly_return",'Database Query'!$E$14)+H463</f>
        <v>#VALUE!</v>
      </c>
      <c r="J463" s="2" t="str" cm="1">
        <f t="array" aca="1" ref="J463" ca="1">_xlfn.IFS($B463="etf", _xll.YCP($A463,"ytd_total_return",'Database Query'!$E$14),$B463&lt;&gt;"etf",_xll.YCP("M:"&amp; $A463,"ytd_total_return",'Database Query'!$E$14))</f>
        <v>ERR: INVALID ASSET</v>
      </c>
      <c r="K463" s="2" t="e" cm="1">
        <f t="array" aca="1" ref="K463" ca="1">-_xll.YCP($E463,"ytd_return",'Database Query'!$E$14)+J463</f>
        <v>#VALUE!</v>
      </c>
      <c r="L463" s="2" t="str" cm="1">
        <f t="array" aca="1" ref="L463" ca="1">_xlfn.IFS($B463="etf", _xll.YCP($A463,"one_year_total_return",'Database Query'!$E$14),$B463&lt;&gt;"etf",_xll.YCP("M:"&amp; $A463,"one_year_total_return",'Database Query'!$E$14))</f>
        <v>ERR: INVALID ASSET</v>
      </c>
      <c r="M463" s="2" t="e" cm="1">
        <f t="array" aca="1" ref="M463" ca="1">-_xll.YCP($E463,"one_year_return",'Database Query'!$E$14)+L463</f>
        <v>#VALUE!</v>
      </c>
      <c r="N463" s="2" t="str" cm="1">
        <f t="array" aca="1" ref="N463" ca="1">_xlfn.IFS($B463="etf", _xll.YCP($A463,"three_year_total_return",'Database Query'!$E$14),$B463&lt;&gt;"etf",_xll.YCP("M:"&amp; $A463,"three_year_total_return",'Database Query'!$E$14))</f>
        <v>ERR: INVALID ASSET</v>
      </c>
      <c r="O463" s="2" t="e" cm="1">
        <f t="array" aca="1" ref="O463" ca="1">-_xll.YCP($E463,"three_year_return",'Database Query'!$E$14)+N463</f>
        <v>#VALUE!</v>
      </c>
      <c r="P463" s="2" t="str" cm="1">
        <f t="array" aca="1" ref="P463" ca="1">_xlfn.IFS($B463="etf", _xll.YCP($A463,"five_year_total_return",'Database Query'!$E$14),$B463&lt;&gt;"etf",_xll.YCP("M:"&amp; $A463,"five_year_total_return",'Database Query'!$E$14))</f>
        <v>ERR: INVALID ASSET</v>
      </c>
      <c r="Q463" s="2" t="e" cm="1">
        <f t="array" aca="1" ref="Q463" ca="1">-_xll.YCP($E463,"five_year_return",'Database Query'!$E$14)+P463</f>
        <v>#VALUE!</v>
      </c>
    </row>
    <row r="464" spans="2:17" x14ac:dyDescent="0.25">
      <c r="B464" t="str" cm="1">
        <f t="array" aca="1" ref="B464" ca="1">_xll.YCI(A464,"detailed_security_type",TODAY())</f>
        <v/>
      </c>
      <c r="C464" t="str" cm="1">
        <f t="array" aca="1" ref="C464" ca="1">_xlfn.IFS(B464="etf", _xll.YCI(A464, "security_name",TODAY()),B464&lt;&gt;"etf",_xll.YCI("M:" &amp; A464, "security_name",TODAY()))</f>
        <v>ERR: INVALID ASSET</v>
      </c>
      <c r="D464" t="str" cm="1">
        <f t="array" aca="1" ref="D464" ca="1">_xlfn.IFS($B464="etf", _xll.YCI($A464, "ycharts_benchmark_category",TODAY()),$B464&lt;&gt;"etf",_xll.YCI("M:" &amp; $A464, "ycharts_benchmark_category",TODAY()))</f>
        <v>ERR: INVALID ASSET</v>
      </c>
      <c r="E464" t="str" cm="1">
        <f t="array" aca="1" ref="E464" ca="1">_xlfn.IFS($B464="etf", _xll.YCI($A464, "ycharts_benchmark_index_symbol",TODAY()),$B464&lt;&gt;"etf",_xll.YCI("M:" &amp; $A464, "ycharts_benchmark_index_symbol",TODAY()))</f>
        <v>ERR: INVALID ASSET</v>
      </c>
      <c r="F464" t="str" cm="1">
        <f t="array" aca="1" ref="F464" ca="1">_xlfn.IFS($B464="etf", _xll.YCI($E464, "security_name",TODAY()),$B464&lt;&gt;"etf",_xll.YCI( $E464, "security_name",TODAY()))</f>
        <v>ERR: INVALID ASSET</v>
      </c>
      <c r="G464" t="str" cm="1">
        <f t="array" aca="1" ref="G464" ca="1">_xlfn.IFS($B464="etf", _xll.YCI($A464, "prospectus_benchmark_index",TODAY()),$B464&lt;&gt;"etf",_xll.YCI("M:" &amp; $A464, "prospectus_benchmark_index",TODAY()))</f>
        <v>ERR: INVALID ASSET</v>
      </c>
      <c r="H464" s="2" t="str" cm="1">
        <f t="array" aca="1" ref="H464" ca="1">_xlfn.IFS($B464="etf", _xll.YCP($A464,"quarterly_total_return",'Database Query'!$E$14),$B464&lt;&gt;"etf",_xll.YCP("M:"&amp; $A464,"quarterly_total_return",'Database Query'!$E$14))</f>
        <v>ERR: INVALID ASSET</v>
      </c>
      <c r="I464" s="2" t="e" cm="1">
        <f t="array" aca="1" ref="I464" ca="1">-_xll.YCP($E464,"quarterly_return",'Database Query'!$E$14)+H464</f>
        <v>#VALUE!</v>
      </c>
      <c r="J464" s="2" t="str" cm="1">
        <f t="array" aca="1" ref="J464" ca="1">_xlfn.IFS($B464="etf", _xll.YCP($A464,"ytd_total_return",'Database Query'!$E$14),$B464&lt;&gt;"etf",_xll.YCP("M:"&amp; $A464,"ytd_total_return",'Database Query'!$E$14))</f>
        <v>ERR: INVALID ASSET</v>
      </c>
      <c r="K464" s="2" t="e" cm="1">
        <f t="array" aca="1" ref="K464" ca="1">-_xll.YCP($E464,"ytd_return",'Database Query'!$E$14)+J464</f>
        <v>#VALUE!</v>
      </c>
      <c r="L464" s="2" t="str" cm="1">
        <f t="array" aca="1" ref="L464" ca="1">_xlfn.IFS($B464="etf", _xll.YCP($A464,"one_year_total_return",'Database Query'!$E$14),$B464&lt;&gt;"etf",_xll.YCP("M:"&amp; $A464,"one_year_total_return",'Database Query'!$E$14))</f>
        <v>ERR: INVALID ASSET</v>
      </c>
      <c r="M464" s="2" t="e" cm="1">
        <f t="array" aca="1" ref="M464" ca="1">-_xll.YCP($E464,"one_year_return",'Database Query'!$E$14)+L464</f>
        <v>#VALUE!</v>
      </c>
      <c r="N464" s="2" t="str" cm="1">
        <f t="array" aca="1" ref="N464" ca="1">_xlfn.IFS($B464="etf", _xll.YCP($A464,"three_year_total_return",'Database Query'!$E$14),$B464&lt;&gt;"etf",_xll.YCP("M:"&amp; $A464,"three_year_total_return",'Database Query'!$E$14))</f>
        <v>ERR: INVALID ASSET</v>
      </c>
      <c r="O464" s="2" t="e" cm="1">
        <f t="array" aca="1" ref="O464" ca="1">-_xll.YCP($E464,"three_year_return",'Database Query'!$E$14)+N464</f>
        <v>#VALUE!</v>
      </c>
      <c r="P464" s="2" t="str" cm="1">
        <f t="array" aca="1" ref="P464" ca="1">_xlfn.IFS($B464="etf", _xll.YCP($A464,"five_year_total_return",'Database Query'!$E$14),$B464&lt;&gt;"etf",_xll.YCP("M:"&amp; $A464,"five_year_total_return",'Database Query'!$E$14))</f>
        <v>ERR: INVALID ASSET</v>
      </c>
      <c r="Q464" s="2" t="e" cm="1">
        <f t="array" aca="1" ref="Q464" ca="1">-_xll.YCP($E464,"five_year_return",'Database Query'!$E$14)+P464</f>
        <v>#VALUE!</v>
      </c>
    </row>
    <row r="465" spans="2:17" x14ac:dyDescent="0.25">
      <c r="B465" t="str" cm="1">
        <f t="array" aca="1" ref="B465" ca="1">_xll.YCI(A465,"detailed_security_type",TODAY())</f>
        <v/>
      </c>
      <c r="C465" t="str" cm="1">
        <f t="array" aca="1" ref="C465" ca="1">_xlfn.IFS(B465="etf", _xll.YCI(A465, "security_name",TODAY()),B465&lt;&gt;"etf",_xll.YCI("M:" &amp; A465, "security_name",TODAY()))</f>
        <v>ERR: INVALID ASSET</v>
      </c>
      <c r="D465" t="str" cm="1">
        <f t="array" aca="1" ref="D465" ca="1">_xlfn.IFS($B465="etf", _xll.YCI($A465, "ycharts_benchmark_category",TODAY()),$B465&lt;&gt;"etf",_xll.YCI("M:" &amp; $A465, "ycharts_benchmark_category",TODAY()))</f>
        <v>ERR: INVALID ASSET</v>
      </c>
      <c r="E465" t="str" cm="1">
        <f t="array" aca="1" ref="E465" ca="1">_xlfn.IFS($B465="etf", _xll.YCI($A465, "ycharts_benchmark_index_symbol",TODAY()),$B465&lt;&gt;"etf",_xll.YCI("M:" &amp; $A465, "ycharts_benchmark_index_symbol",TODAY()))</f>
        <v>ERR: INVALID ASSET</v>
      </c>
      <c r="F465" t="str" cm="1">
        <f t="array" aca="1" ref="F465" ca="1">_xlfn.IFS($B465="etf", _xll.YCI($E465, "security_name",TODAY()),$B465&lt;&gt;"etf",_xll.YCI( $E465, "security_name",TODAY()))</f>
        <v>ERR: INVALID ASSET</v>
      </c>
      <c r="G465" t="str" cm="1">
        <f t="array" aca="1" ref="G465" ca="1">_xlfn.IFS($B465="etf", _xll.YCI($A465, "prospectus_benchmark_index",TODAY()),$B465&lt;&gt;"etf",_xll.YCI("M:" &amp; $A465, "prospectus_benchmark_index",TODAY()))</f>
        <v>ERR: INVALID ASSET</v>
      </c>
      <c r="H465" s="2" t="str" cm="1">
        <f t="array" aca="1" ref="H465" ca="1">_xlfn.IFS($B465="etf", _xll.YCP($A465,"quarterly_total_return",'Database Query'!$E$14),$B465&lt;&gt;"etf",_xll.YCP("M:"&amp; $A465,"quarterly_total_return",'Database Query'!$E$14))</f>
        <v>ERR: INVALID ASSET</v>
      </c>
      <c r="I465" s="2" t="e" cm="1">
        <f t="array" aca="1" ref="I465" ca="1">-_xll.YCP($E465,"quarterly_return",'Database Query'!$E$14)+H465</f>
        <v>#VALUE!</v>
      </c>
      <c r="J465" s="2" t="str" cm="1">
        <f t="array" aca="1" ref="J465" ca="1">_xlfn.IFS($B465="etf", _xll.YCP($A465,"ytd_total_return",'Database Query'!$E$14),$B465&lt;&gt;"etf",_xll.YCP("M:"&amp; $A465,"ytd_total_return",'Database Query'!$E$14))</f>
        <v>ERR: INVALID ASSET</v>
      </c>
      <c r="K465" s="2" t="e" cm="1">
        <f t="array" aca="1" ref="K465" ca="1">-_xll.YCP($E465,"ytd_return",'Database Query'!$E$14)+J465</f>
        <v>#VALUE!</v>
      </c>
      <c r="L465" s="2" t="str" cm="1">
        <f t="array" aca="1" ref="L465" ca="1">_xlfn.IFS($B465="etf", _xll.YCP($A465,"one_year_total_return",'Database Query'!$E$14),$B465&lt;&gt;"etf",_xll.YCP("M:"&amp; $A465,"one_year_total_return",'Database Query'!$E$14))</f>
        <v>ERR: INVALID ASSET</v>
      </c>
      <c r="M465" s="2" t="e" cm="1">
        <f t="array" aca="1" ref="M465" ca="1">-_xll.YCP($E465,"one_year_return",'Database Query'!$E$14)+L465</f>
        <v>#VALUE!</v>
      </c>
      <c r="N465" s="2" t="str" cm="1">
        <f t="array" aca="1" ref="N465" ca="1">_xlfn.IFS($B465="etf", _xll.YCP($A465,"three_year_total_return",'Database Query'!$E$14),$B465&lt;&gt;"etf",_xll.YCP("M:"&amp; $A465,"three_year_total_return",'Database Query'!$E$14))</f>
        <v>ERR: INVALID ASSET</v>
      </c>
      <c r="O465" s="2" t="e" cm="1">
        <f t="array" aca="1" ref="O465" ca="1">-_xll.YCP($E465,"three_year_return",'Database Query'!$E$14)+N465</f>
        <v>#VALUE!</v>
      </c>
      <c r="P465" s="2" t="str" cm="1">
        <f t="array" aca="1" ref="P465" ca="1">_xlfn.IFS($B465="etf", _xll.YCP($A465,"five_year_total_return",'Database Query'!$E$14),$B465&lt;&gt;"etf",_xll.YCP("M:"&amp; $A465,"five_year_total_return",'Database Query'!$E$14))</f>
        <v>ERR: INVALID ASSET</v>
      </c>
      <c r="Q465" s="2" t="e" cm="1">
        <f t="array" aca="1" ref="Q465" ca="1">-_xll.YCP($E465,"five_year_return",'Database Query'!$E$14)+P465</f>
        <v>#VALUE!</v>
      </c>
    </row>
    <row r="466" spans="2:17" x14ac:dyDescent="0.25">
      <c r="B466" t="str" cm="1">
        <f t="array" aca="1" ref="B466" ca="1">_xll.YCI(A466,"detailed_security_type",TODAY())</f>
        <v/>
      </c>
      <c r="C466" t="str" cm="1">
        <f t="array" aca="1" ref="C466" ca="1">_xlfn.IFS(B466="etf", _xll.YCI(A466, "security_name",TODAY()),B466&lt;&gt;"etf",_xll.YCI("M:" &amp; A466, "security_name",TODAY()))</f>
        <v>ERR: INVALID ASSET</v>
      </c>
      <c r="D466" t="str" cm="1">
        <f t="array" aca="1" ref="D466" ca="1">_xlfn.IFS($B466="etf", _xll.YCI($A466, "ycharts_benchmark_category",TODAY()),$B466&lt;&gt;"etf",_xll.YCI("M:" &amp; $A466, "ycharts_benchmark_category",TODAY()))</f>
        <v>ERR: INVALID ASSET</v>
      </c>
      <c r="E466" t="str" cm="1">
        <f t="array" aca="1" ref="E466" ca="1">_xlfn.IFS($B466="etf", _xll.YCI($A466, "ycharts_benchmark_index_symbol",TODAY()),$B466&lt;&gt;"etf",_xll.YCI("M:" &amp; $A466, "ycharts_benchmark_index_symbol",TODAY()))</f>
        <v>ERR: INVALID ASSET</v>
      </c>
      <c r="F466" t="str" cm="1">
        <f t="array" aca="1" ref="F466" ca="1">_xlfn.IFS($B466="etf", _xll.YCI($E466, "security_name",TODAY()),$B466&lt;&gt;"etf",_xll.YCI( $E466, "security_name",TODAY()))</f>
        <v>ERR: INVALID ASSET</v>
      </c>
      <c r="G466" t="str" cm="1">
        <f t="array" aca="1" ref="G466" ca="1">_xlfn.IFS($B466="etf", _xll.YCI($A466, "prospectus_benchmark_index",TODAY()),$B466&lt;&gt;"etf",_xll.YCI("M:" &amp; $A466, "prospectus_benchmark_index",TODAY()))</f>
        <v>ERR: INVALID ASSET</v>
      </c>
      <c r="H466" s="2" t="str" cm="1">
        <f t="array" aca="1" ref="H466" ca="1">_xlfn.IFS($B466="etf", _xll.YCP($A466,"quarterly_total_return",'Database Query'!$E$14),$B466&lt;&gt;"etf",_xll.YCP("M:"&amp; $A466,"quarterly_total_return",'Database Query'!$E$14))</f>
        <v>ERR: INVALID ASSET</v>
      </c>
      <c r="I466" s="2" t="e" cm="1">
        <f t="array" aca="1" ref="I466" ca="1">-_xll.YCP($E466,"quarterly_return",'Database Query'!$E$14)+H466</f>
        <v>#VALUE!</v>
      </c>
      <c r="J466" s="2" t="str" cm="1">
        <f t="array" aca="1" ref="J466" ca="1">_xlfn.IFS($B466="etf", _xll.YCP($A466,"ytd_total_return",'Database Query'!$E$14),$B466&lt;&gt;"etf",_xll.YCP("M:"&amp; $A466,"ytd_total_return",'Database Query'!$E$14))</f>
        <v>ERR: INVALID ASSET</v>
      </c>
      <c r="K466" s="2" t="e" cm="1">
        <f t="array" aca="1" ref="K466" ca="1">-_xll.YCP($E466,"ytd_return",'Database Query'!$E$14)+J466</f>
        <v>#VALUE!</v>
      </c>
      <c r="L466" s="2" t="str" cm="1">
        <f t="array" aca="1" ref="L466" ca="1">_xlfn.IFS($B466="etf", _xll.YCP($A466,"one_year_total_return",'Database Query'!$E$14),$B466&lt;&gt;"etf",_xll.YCP("M:"&amp; $A466,"one_year_total_return",'Database Query'!$E$14))</f>
        <v>ERR: INVALID ASSET</v>
      </c>
      <c r="M466" s="2" t="e" cm="1">
        <f t="array" aca="1" ref="M466" ca="1">-_xll.YCP($E466,"one_year_return",'Database Query'!$E$14)+L466</f>
        <v>#VALUE!</v>
      </c>
      <c r="N466" s="2" t="str" cm="1">
        <f t="array" aca="1" ref="N466" ca="1">_xlfn.IFS($B466="etf", _xll.YCP($A466,"three_year_total_return",'Database Query'!$E$14),$B466&lt;&gt;"etf",_xll.YCP("M:"&amp; $A466,"three_year_total_return",'Database Query'!$E$14))</f>
        <v>ERR: INVALID ASSET</v>
      </c>
      <c r="O466" s="2" t="e" cm="1">
        <f t="array" aca="1" ref="O466" ca="1">-_xll.YCP($E466,"three_year_return",'Database Query'!$E$14)+N466</f>
        <v>#VALUE!</v>
      </c>
      <c r="P466" s="2" t="str" cm="1">
        <f t="array" aca="1" ref="P466" ca="1">_xlfn.IFS($B466="etf", _xll.YCP($A466,"five_year_total_return",'Database Query'!$E$14),$B466&lt;&gt;"etf",_xll.YCP("M:"&amp; $A466,"five_year_total_return",'Database Query'!$E$14))</f>
        <v>ERR: INVALID ASSET</v>
      </c>
      <c r="Q466" s="2" t="e" cm="1">
        <f t="array" aca="1" ref="Q466" ca="1">-_xll.YCP($E466,"five_year_return",'Database Query'!$E$14)+P466</f>
        <v>#VALUE!</v>
      </c>
    </row>
    <row r="467" spans="2:17" x14ac:dyDescent="0.25">
      <c r="B467" t="str" cm="1">
        <f t="array" aca="1" ref="B467" ca="1">_xll.YCI(A467,"detailed_security_type",TODAY())</f>
        <v/>
      </c>
      <c r="C467" t="str" cm="1">
        <f t="array" aca="1" ref="C467" ca="1">_xlfn.IFS(B467="etf", _xll.YCI(A467, "security_name",TODAY()),B467&lt;&gt;"etf",_xll.YCI("M:" &amp; A467, "security_name",TODAY()))</f>
        <v>ERR: INVALID ASSET</v>
      </c>
      <c r="D467" t="str" cm="1">
        <f t="array" aca="1" ref="D467" ca="1">_xlfn.IFS($B467="etf", _xll.YCI($A467, "ycharts_benchmark_category",TODAY()),$B467&lt;&gt;"etf",_xll.YCI("M:" &amp; $A467, "ycharts_benchmark_category",TODAY()))</f>
        <v>ERR: INVALID ASSET</v>
      </c>
      <c r="E467" t="str" cm="1">
        <f t="array" aca="1" ref="E467" ca="1">_xlfn.IFS($B467="etf", _xll.YCI($A467, "ycharts_benchmark_index_symbol",TODAY()),$B467&lt;&gt;"etf",_xll.YCI("M:" &amp; $A467, "ycharts_benchmark_index_symbol",TODAY()))</f>
        <v>ERR: INVALID ASSET</v>
      </c>
      <c r="F467" t="str" cm="1">
        <f t="array" aca="1" ref="F467" ca="1">_xlfn.IFS($B467="etf", _xll.YCI($E467, "security_name",TODAY()),$B467&lt;&gt;"etf",_xll.YCI( $E467, "security_name",TODAY()))</f>
        <v>ERR: INVALID ASSET</v>
      </c>
      <c r="G467" t="str" cm="1">
        <f t="array" aca="1" ref="G467" ca="1">_xlfn.IFS($B467="etf", _xll.YCI($A467, "prospectus_benchmark_index",TODAY()),$B467&lt;&gt;"etf",_xll.YCI("M:" &amp; $A467, "prospectus_benchmark_index",TODAY()))</f>
        <v>ERR: INVALID ASSET</v>
      </c>
      <c r="H467" s="2" t="str" cm="1">
        <f t="array" aca="1" ref="H467" ca="1">_xlfn.IFS($B467="etf", _xll.YCP($A467,"quarterly_total_return",'Database Query'!$E$14),$B467&lt;&gt;"etf",_xll.YCP("M:"&amp; $A467,"quarterly_total_return",'Database Query'!$E$14))</f>
        <v>ERR: INVALID ASSET</v>
      </c>
      <c r="I467" s="2" t="e" cm="1">
        <f t="array" aca="1" ref="I467" ca="1">-_xll.YCP($E467,"quarterly_return",'Database Query'!$E$14)+H467</f>
        <v>#VALUE!</v>
      </c>
      <c r="J467" s="2" t="str" cm="1">
        <f t="array" aca="1" ref="J467" ca="1">_xlfn.IFS($B467="etf", _xll.YCP($A467,"ytd_total_return",'Database Query'!$E$14),$B467&lt;&gt;"etf",_xll.YCP("M:"&amp; $A467,"ytd_total_return",'Database Query'!$E$14))</f>
        <v>ERR: INVALID ASSET</v>
      </c>
      <c r="K467" s="2" t="e" cm="1">
        <f t="array" aca="1" ref="K467" ca="1">-_xll.YCP($E467,"ytd_return",'Database Query'!$E$14)+J467</f>
        <v>#VALUE!</v>
      </c>
      <c r="L467" s="2" t="str" cm="1">
        <f t="array" aca="1" ref="L467" ca="1">_xlfn.IFS($B467="etf", _xll.YCP($A467,"one_year_total_return",'Database Query'!$E$14),$B467&lt;&gt;"etf",_xll.YCP("M:"&amp; $A467,"one_year_total_return",'Database Query'!$E$14))</f>
        <v>ERR: INVALID ASSET</v>
      </c>
      <c r="M467" s="2" t="e" cm="1">
        <f t="array" aca="1" ref="M467" ca="1">-_xll.YCP($E467,"one_year_return",'Database Query'!$E$14)+L467</f>
        <v>#VALUE!</v>
      </c>
      <c r="N467" s="2" t="str" cm="1">
        <f t="array" aca="1" ref="N467" ca="1">_xlfn.IFS($B467="etf", _xll.YCP($A467,"three_year_total_return",'Database Query'!$E$14),$B467&lt;&gt;"etf",_xll.YCP("M:"&amp; $A467,"three_year_total_return",'Database Query'!$E$14))</f>
        <v>ERR: INVALID ASSET</v>
      </c>
      <c r="O467" s="2" t="e" cm="1">
        <f t="array" aca="1" ref="O467" ca="1">-_xll.YCP($E467,"three_year_return",'Database Query'!$E$14)+N467</f>
        <v>#VALUE!</v>
      </c>
      <c r="P467" s="2" t="str" cm="1">
        <f t="array" aca="1" ref="P467" ca="1">_xlfn.IFS($B467="etf", _xll.YCP($A467,"five_year_total_return",'Database Query'!$E$14),$B467&lt;&gt;"etf",_xll.YCP("M:"&amp; $A467,"five_year_total_return",'Database Query'!$E$14))</f>
        <v>ERR: INVALID ASSET</v>
      </c>
      <c r="Q467" s="2" t="e" cm="1">
        <f t="array" aca="1" ref="Q467" ca="1">-_xll.YCP($E467,"five_year_return",'Database Query'!$E$14)+P467</f>
        <v>#VALUE!</v>
      </c>
    </row>
    <row r="468" spans="2:17" x14ac:dyDescent="0.25">
      <c r="B468" t="str" cm="1">
        <f t="array" aca="1" ref="B468" ca="1">_xll.YCI(A468,"detailed_security_type",TODAY())</f>
        <v/>
      </c>
      <c r="C468" t="str" cm="1">
        <f t="array" aca="1" ref="C468" ca="1">_xlfn.IFS(B468="etf", _xll.YCI(A468, "security_name",TODAY()),B468&lt;&gt;"etf",_xll.YCI("M:" &amp; A468, "security_name",TODAY()))</f>
        <v>ERR: INVALID ASSET</v>
      </c>
      <c r="D468" t="str" cm="1">
        <f t="array" aca="1" ref="D468" ca="1">_xlfn.IFS($B468="etf", _xll.YCI($A468, "ycharts_benchmark_category",TODAY()),$B468&lt;&gt;"etf",_xll.YCI("M:" &amp; $A468, "ycharts_benchmark_category",TODAY()))</f>
        <v>ERR: INVALID ASSET</v>
      </c>
      <c r="E468" t="str" cm="1">
        <f t="array" aca="1" ref="E468" ca="1">_xlfn.IFS($B468="etf", _xll.YCI($A468, "ycharts_benchmark_index_symbol",TODAY()),$B468&lt;&gt;"etf",_xll.YCI("M:" &amp; $A468, "ycharts_benchmark_index_symbol",TODAY()))</f>
        <v>ERR: INVALID ASSET</v>
      </c>
      <c r="F468" t="str" cm="1">
        <f t="array" aca="1" ref="F468" ca="1">_xlfn.IFS($B468="etf", _xll.YCI($E468, "security_name",TODAY()),$B468&lt;&gt;"etf",_xll.YCI( $E468, "security_name",TODAY()))</f>
        <v>ERR: INVALID ASSET</v>
      </c>
      <c r="G468" t="str" cm="1">
        <f t="array" aca="1" ref="G468" ca="1">_xlfn.IFS($B468="etf", _xll.YCI($A468, "prospectus_benchmark_index",TODAY()),$B468&lt;&gt;"etf",_xll.YCI("M:" &amp; $A468, "prospectus_benchmark_index",TODAY()))</f>
        <v>ERR: INVALID ASSET</v>
      </c>
      <c r="H468" s="2" t="str" cm="1">
        <f t="array" aca="1" ref="H468" ca="1">_xlfn.IFS($B468="etf", _xll.YCP($A468,"quarterly_total_return",'Database Query'!$E$14),$B468&lt;&gt;"etf",_xll.YCP("M:"&amp; $A468,"quarterly_total_return",'Database Query'!$E$14))</f>
        <v>ERR: INVALID ASSET</v>
      </c>
      <c r="I468" s="2" t="e" cm="1">
        <f t="array" aca="1" ref="I468" ca="1">-_xll.YCP($E468,"quarterly_return",'Database Query'!$E$14)+H468</f>
        <v>#VALUE!</v>
      </c>
      <c r="J468" s="2" t="str" cm="1">
        <f t="array" aca="1" ref="J468" ca="1">_xlfn.IFS($B468="etf", _xll.YCP($A468,"ytd_total_return",'Database Query'!$E$14),$B468&lt;&gt;"etf",_xll.YCP("M:"&amp; $A468,"ytd_total_return",'Database Query'!$E$14))</f>
        <v>ERR: INVALID ASSET</v>
      </c>
      <c r="K468" s="2" t="e" cm="1">
        <f t="array" aca="1" ref="K468" ca="1">-_xll.YCP($E468,"ytd_return",'Database Query'!$E$14)+J468</f>
        <v>#VALUE!</v>
      </c>
      <c r="L468" s="2" t="str" cm="1">
        <f t="array" aca="1" ref="L468" ca="1">_xlfn.IFS($B468="etf", _xll.YCP($A468,"one_year_total_return",'Database Query'!$E$14),$B468&lt;&gt;"etf",_xll.YCP("M:"&amp; $A468,"one_year_total_return",'Database Query'!$E$14))</f>
        <v>ERR: INVALID ASSET</v>
      </c>
      <c r="M468" s="2" t="e" cm="1">
        <f t="array" aca="1" ref="M468" ca="1">-_xll.YCP($E468,"one_year_return",'Database Query'!$E$14)+L468</f>
        <v>#VALUE!</v>
      </c>
      <c r="N468" s="2" t="str" cm="1">
        <f t="array" aca="1" ref="N468" ca="1">_xlfn.IFS($B468="etf", _xll.YCP($A468,"three_year_total_return",'Database Query'!$E$14),$B468&lt;&gt;"etf",_xll.YCP("M:"&amp; $A468,"three_year_total_return",'Database Query'!$E$14))</f>
        <v>ERR: INVALID ASSET</v>
      </c>
      <c r="O468" s="2" t="e" cm="1">
        <f t="array" aca="1" ref="O468" ca="1">-_xll.YCP($E468,"three_year_return",'Database Query'!$E$14)+N468</f>
        <v>#VALUE!</v>
      </c>
      <c r="P468" s="2" t="str" cm="1">
        <f t="array" aca="1" ref="P468" ca="1">_xlfn.IFS($B468="etf", _xll.YCP($A468,"five_year_total_return",'Database Query'!$E$14),$B468&lt;&gt;"etf",_xll.YCP("M:"&amp; $A468,"five_year_total_return",'Database Query'!$E$14))</f>
        <v>ERR: INVALID ASSET</v>
      </c>
      <c r="Q468" s="2" t="e" cm="1">
        <f t="array" aca="1" ref="Q468" ca="1">-_xll.YCP($E468,"five_year_return",'Database Query'!$E$14)+P468</f>
        <v>#VALUE!</v>
      </c>
    </row>
    <row r="469" spans="2:17" x14ac:dyDescent="0.25">
      <c r="B469" t="str" cm="1">
        <f t="array" aca="1" ref="B469" ca="1">_xll.YCI(A469,"detailed_security_type",TODAY())</f>
        <v/>
      </c>
      <c r="C469" t="str" cm="1">
        <f t="array" aca="1" ref="C469" ca="1">_xlfn.IFS(B469="etf", _xll.YCI(A469, "security_name",TODAY()),B469&lt;&gt;"etf",_xll.YCI("M:" &amp; A469, "security_name",TODAY()))</f>
        <v>ERR: INVALID ASSET</v>
      </c>
      <c r="D469" t="str" cm="1">
        <f t="array" aca="1" ref="D469" ca="1">_xlfn.IFS($B469="etf", _xll.YCI($A469, "ycharts_benchmark_category",TODAY()),$B469&lt;&gt;"etf",_xll.YCI("M:" &amp; $A469, "ycharts_benchmark_category",TODAY()))</f>
        <v>ERR: INVALID ASSET</v>
      </c>
      <c r="E469" t="str" cm="1">
        <f t="array" aca="1" ref="E469" ca="1">_xlfn.IFS($B469="etf", _xll.YCI($A469, "ycharts_benchmark_index_symbol",TODAY()),$B469&lt;&gt;"etf",_xll.YCI("M:" &amp; $A469, "ycharts_benchmark_index_symbol",TODAY()))</f>
        <v>ERR: INVALID ASSET</v>
      </c>
      <c r="F469" t="str" cm="1">
        <f t="array" aca="1" ref="F469" ca="1">_xlfn.IFS($B469="etf", _xll.YCI($E469, "security_name",TODAY()),$B469&lt;&gt;"etf",_xll.YCI( $E469, "security_name",TODAY()))</f>
        <v>ERR: INVALID ASSET</v>
      </c>
      <c r="G469" t="str" cm="1">
        <f t="array" aca="1" ref="G469" ca="1">_xlfn.IFS($B469="etf", _xll.YCI($A469, "prospectus_benchmark_index",TODAY()),$B469&lt;&gt;"etf",_xll.YCI("M:" &amp; $A469, "prospectus_benchmark_index",TODAY()))</f>
        <v>ERR: INVALID ASSET</v>
      </c>
      <c r="H469" s="2" t="str" cm="1">
        <f t="array" aca="1" ref="H469" ca="1">_xlfn.IFS($B469="etf", _xll.YCP($A469,"quarterly_total_return",'Database Query'!$E$14),$B469&lt;&gt;"etf",_xll.YCP("M:"&amp; $A469,"quarterly_total_return",'Database Query'!$E$14))</f>
        <v>ERR: INVALID ASSET</v>
      </c>
      <c r="I469" s="2" t="e" cm="1">
        <f t="array" aca="1" ref="I469" ca="1">-_xll.YCP($E469,"quarterly_return",'Database Query'!$E$14)+H469</f>
        <v>#VALUE!</v>
      </c>
      <c r="J469" s="2" t="str" cm="1">
        <f t="array" aca="1" ref="J469" ca="1">_xlfn.IFS($B469="etf", _xll.YCP($A469,"ytd_total_return",'Database Query'!$E$14),$B469&lt;&gt;"etf",_xll.YCP("M:"&amp; $A469,"ytd_total_return",'Database Query'!$E$14))</f>
        <v>ERR: INVALID ASSET</v>
      </c>
      <c r="K469" s="2" t="e" cm="1">
        <f t="array" aca="1" ref="K469" ca="1">-_xll.YCP($E469,"ytd_return",'Database Query'!$E$14)+J469</f>
        <v>#VALUE!</v>
      </c>
      <c r="L469" s="2" t="str" cm="1">
        <f t="array" aca="1" ref="L469" ca="1">_xlfn.IFS($B469="etf", _xll.YCP($A469,"one_year_total_return",'Database Query'!$E$14),$B469&lt;&gt;"etf",_xll.YCP("M:"&amp; $A469,"one_year_total_return",'Database Query'!$E$14))</f>
        <v>ERR: INVALID ASSET</v>
      </c>
      <c r="M469" s="2" t="e" cm="1">
        <f t="array" aca="1" ref="M469" ca="1">-_xll.YCP($E469,"one_year_return",'Database Query'!$E$14)+L469</f>
        <v>#VALUE!</v>
      </c>
      <c r="N469" s="2" t="str" cm="1">
        <f t="array" aca="1" ref="N469" ca="1">_xlfn.IFS($B469="etf", _xll.YCP($A469,"three_year_total_return",'Database Query'!$E$14),$B469&lt;&gt;"etf",_xll.YCP("M:"&amp; $A469,"three_year_total_return",'Database Query'!$E$14))</f>
        <v>ERR: INVALID ASSET</v>
      </c>
      <c r="O469" s="2" t="e" cm="1">
        <f t="array" aca="1" ref="O469" ca="1">-_xll.YCP($E469,"three_year_return",'Database Query'!$E$14)+N469</f>
        <v>#VALUE!</v>
      </c>
      <c r="P469" s="2" t="str" cm="1">
        <f t="array" aca="1" ref="P469" ca="1">_xlfn.IFS($B469="etf", _xll.YCP($A469,"five_year_total_return",'Database Query'!$E$14),$B469&lt;&gt;"etf",_xll.YCP("M:"&amp; $A469,"five_year_total_return",'Database Query'!$E$14))</f>
        <v>ERR: INVALID ASSET</v>
      </c>
      <c r="Q469" s="2" t="e" cm="1">
        <f t="array" aca="1" ref="Q469" ca="1">-_xll.YCP($E469,"five_year_return",'Database Query'!$E$14)+P469</f>
        <v>#VALUE!</v>
      </c>
    </row>
    <row r="470" spans="2:17" x14ac:dyDescent="0.25">
      <c r="B470" t="str" cm="1">
        <f t="array" aca="1" ref="B470" ca="1">_xll.YCI(A470,"detailed_security_type",TODAY())</f>
        <v/>
      </c>
      <c r="C470" t="str" cm="1">
        <f t="array" aca="1" ref="C470" ca="1">_xlfn.IFS(B470="etf", _xll.YCI(A470, "security_name",TODAY()),B470&lt;&gt;"etf",_xll.YCI("M:" &amp; A470, "security_name",TODAY()))</f>
        <v>ERR: INVALID ASSET</v>
      </c>
      <c r="D470" t="str" cm="1">
        <f t="array" aca="1" ref="D470" ca="1">_xlfn.IFS($B470="etf", _xll.YCI($A470, "ycharts_benchmark_category",TODAY()),$B470&lt;&gt;"etf",_xll.YCI("M:" &amp; $A470, "ycharts_benchmark_category",TODAY()))</f>
        <v>ERR: INVALID ASSET</v>
      </c>
      <c r="E470" t="str" cm="1">
        <f t="array" aca="1" ref="E470" ca="1">_xlfn.IFS($B470="etf", _xll.YCI($A470, "ycharts_benchmark_index_symbol",TODAY()),$B470&lt;&gt;"etf",_xll.YCI("M:" &amp; $A470, "ycharts_benchmark_index_symbol",TODAY()))</f>
        <v>ERR: INVALID ASSET</v>
      </c>
      <c r="F470" t="str" cm="1">
        <f t="array" aca="1" ref="F470" ca="1">_xlfn.IFS($B470="etf", _xll.YCI($E470, "security_name",TODAY()),$B470&lt;&gt;"etf",_xll.YCI( $E470, "security_name",TODAY()))</f>
        <v>ERR: INVALID ASSET</v>
      </c>
      <c r="G470" t="str" cm="1">
        <f t="array" aca="1" ref="G470" ca="1">_xlfn.IFS($B470="etf", _xll.YCI($A470, "prospectus_benchmark_index",TODAY()),$B470&lt;&gt;"etf",_xll.YCI("M:" &amp; $A470, "prospectus_benchmark_index",TODAY()))</f>
        <v>ERR: INVALID ASSET</v>
      </c>
      <c r="H470" s="2" t="str" cm="1">
        <f t="array" aca="1" ref="H470" ca="1">_xlfn.IFS($B470="etf", _xll.YCP($A470,"quarterly_total_return",'Database Query'!$E$14),$B470&lt;&gt;"etf",_xll.YCP("M:"&amp; $A470,"quarterly_total_return",'Database Query'!$E$14))</f>
        <v>ERR: INVALID ASSET</v>
      </c>
      <c r="I470" s="2" t="e" cm="1">
        <f t="array" aca="1" ref="I470" ca="1">-_xll.YCP($E470,"quarterly_return",'Database Query'!$E$14)+H470</f>
        <v>#VALUE!</v>
      </c>
      <c r="J470" s="2" t="str" cm="1">
        <f t="array" aca="1" ref="J470" ca="1">_xlfn.IFS($B470="etf", _xll.YCP($A470,"ytd_total_return",'Database Query'!$E$14),$B470&lt;&gt;"etf",_xll.YCP("M:"&amp; $A470,"ytd_total_return",'Database Query'!$E$14))</f>
        <v>ERR: INVALID ASSET</v>
      </c>
      <c r="K470" s="2" t="e" cm="1">
        <f t="array" aca="1" ref="K470" ca="1">-_xll.YCP($E470,"ytd_return",'Database Query'!$E$14)+J470</f>
        <v>#VALUE!</v>
      </c>
      <c r="L470" s="2" t="str" cm="1">
        <f t="array" aca="1" ref="L470" ca="1">_xlfn.IFS($B470="etf", _xll.YCP($A470,"one_year_total_return",'Database Query'!$E$14),$B470&lt;&gt;"etf",_xll.YCP("M:"&amp; $A470,"one_year_total_return",'Database Query'!$E$14))</f>
        <v>ERR: INVALID ASSET</v>
      </c>
      <c r="M470" s="2" t="e" cm="1">
        <f t="array" aca="1" ref="M470" ca="1">-_xll.YCP($E470,"one_year_return",'Database Query'!$E$14)+L470</f>
        <v>#VALUE!</v>
      </c>
      <c r="N470" s="2" t="str" cm="1">
        <f t="array" aca="1" ref="N470" ca="1">_xlfn.IFS($B470="etf", _xll.YCP($A470,"three_year_total_return",'Database Query'!$E$14),$B470&lt;&gt;"etf",_xll.YCP("M:"&amp; $A470,"three_year_total_return",'Database Query'!$E$14))</f>
        <v>ERR: INVALID ASSET</v>
      </c>
      <c r="O470" s="2" t="e" cm="1">
        <f t="array" aca="1" ref="O470" ca="1">-_xll.YCP($E470,"three_year_return",'Database Query'!$E$14)+N470</f>
        <v>#VALUE!</v>
      </c>
      <c r="P470" s="2" t="str" cm="1">
        <f t="array" aca="1" ref="P470" ca="1">_xlfn.IFS($B470="etf", _xll.YCP($A470,"five_year_total_return",'Database Query'!$E$14),$B470&lt;&gt;"etf",_xll.YCP("M:"&amp; $A470,"five_year_total_return",'Database Query'!$E$14))</f>
        <v>ERR: INVALID ASSET</v>
      </c>
      <c r="Q470" s="2" t="e" cm="1">
        <f t="array" aca="1" ref="Q470" ca="1">-_xll.YCP($E470,"five_year_return",'Database Query'!$E$14)+P470</f>
        <v>#VALUE!</v>
      </c>
    </row>
    <row r="471" spans="2:17" x14ac:dyDescent="0.25">
      <c r="B471" t="str" cm="1">
        <f t="array" aca="1" ref="B471" ca="1">_xll.YCI(A471,"detailed_security_type",TODAY())</f>
        <v/>
      </c>
      <c r="C471" t="str" cm="1">
        <f t="array" aca="1" ref="C471" ca="1">_xlfn.IFS(B471="etf", _xll.YCI(A471, "security_name",TODAY()),B471&lt;&gt;"etf",_xll.YCI("M:" &amp; A471, "security_name",TODAY()))</f>
        <v>ERR: INVALID ASSET</v>
      </c>
      <c r="D471" t="str" cm="1">
        <f t="array" aca="1" ref="D471" ca="1">_xlfn.IFS($B471="etf", _xll.YCI($A471, "ycharts_benchmark_category",TODAY()),$B471&lt;&gt;"etf",_xll.YCI("M:" &amp; $A471, "ycharts_benchmark_category",TODAY()))</f>
        <v>ERR: INVALID ASSET</v>
      </c>
      <c r="E471" t="str" cm="1">
        <f t="array" aca="1" ref="E471" ca="1">_xlfn.IFS($B471="etf", _xll.YCI($A471, "ycharts_benchmark_index_symbol",TODAY()),$B471&lt;&gt;"etf",_xll.YCI("M:" &amp; $A471, "ycharts_benchmark_index_symbol",TODAY()))</f>
        <v>ERR: INVALID ASSET</v>
      </c>
      <c r="F471" t="str" cm="1">
        <f t="array" aca="1" ref="F471" ca="1">_xlfn.IFS($B471="etf", _xll.YCI($E471, "security_name",TODAY()),$B471&lt;&gt;"etf",_xll.YCI( $E471, "security_name",TODAY()))</f>
        <v>ERR: INVALID ASSET</v>
      </c>
      <c r="G471" t="str" cm="1">
        <f t="array" aca="1" ref="G471" ca="1">_xlfn.IFS($B471="etf", _xll.YCI($A471, "prospectus_benchmark_index",TODAY()),$B471&lt;&gt;"etf",_xll.YCI("M:" &amp; $A471, "prospectus_benchmark_index",TODAY()))</f>
        <v>ERR: INVALID ASSET</v>
      </c>
      <c r="H471" s="2" t="str" cm="1">
        <f t="array" aca="1" ref="H471" ca="1">_xlfn.IFS($B471="etf", _xll.YCP($A471,"quarterly_total_return",'Database Query'!$E$14),$B471&lt;&gt;"etf",_xll.YCP("M:"&amp; $A471,"quarterly_total_return",'Database Query'!$E$14))</f>
        <v>ERR: INVALID ASSET</v>
      </c>
      <c r="I471" s="2" t="e" cm="1">
        <f t="array" aca="1" ref="I471" ca="1">-_xll.YCP($E471,"quarterly_return",'Database Query'!$E$14)+H471</f>
        <v>#VALUE!</v>
      </c>
      <c r="J471" s="2" t="str" cm="1">
        <f t="array" aca="1" ref="J471" ca="1">_xlfn.IFS($B471="etf", _xll.YCP($A471,"ytd_total_return",'Database Query'!$E$14),$B471&lt;&gt;"etf",_xll.YCP("M:"&amp; $A471,"ytd_total_return",'Database Query'!$E$14))</f>
        <v>ERR: INVALID ASSET</v>
      </c>
      <c r="K471" s="2" t="e" cm="1">
        <f t="array" aca="1" ref="K471" ca="1">-_xll.YCP($E471,"ytd_return",'Database Query'!$E$14)+J471</f>
        <v>#VALUE!</v>
      </c>
      <c r="L471" s="2" t="str" cm="1">
        <f t="array" aca="1" ref="L471" ca="1">_xlfn.IFS($B471="etf", _xll.YCP($A471,"one_year_total_return",'Database Query'!$E$14),$B471&lt;&gt;"etf",_xll.YCP("M:"&amp; $A471,"one_year_total_return",'Database Query'!$E$14))</f>
        <v>ERR: INVALID ASSET</v>
      </c>
      <c r="M471" s="2" t="e" cm="1">
        <f t="array" aca="1" ref="M471" ca="1">-_xll.YCP($E471,"one_year_return",'Database Query'!$E$14)+L471</f>
        <v>#VALUE!</v>
      </c>
      <c r="N471" s="2" t="str" cm="1">
        <f t="array" aca="1" ref="N471" ca="1">_xlfn.IFS($B471="etf", _xll.YCP($A471,"three_year_total_return",'Database Query'!$E$14),$B471&lt;&gt;"etf",_xll.YCP("M:"&amp; $A471,"three_year_total_return",'Database Query'!$E$14))</f>
        <v>ERR: INVALID ASSET</v>
      </c>
      <c r="O471" s="2" t="e" cm="1">
        <f t="array" aca="1" ref="O471" ca="1">-_xll.YCP($E471,"three_year_return",'Database Query'!$E$14)+N471</f>
        <v>#VALUE!</v>
      </c>
      <c r="P471" s="2" t="str" cm="1">
        <f t="array" aca="1" ref="P471" ca="1">_xlfn.IFS($B471="etf", _xll.YCP($A471,"five_year_total_return",'Database Query'!$E$14),$B471&lt;&gt;"etf",_xll.YCP("M:"&amp; $A471,"five_year_total_return",'Database Query'!$E$14))</f>
        <v>ERR: INVALID ASSET</v>
      </c>
      <c r="Q471" s="2" t="e" cm="1">
        <f t="array" aca="1" ref="Q471" ca="1">-_xll.YCP($E471,"five_year_return",'Database Query'!$E$14)+P471</f>
        <v>#VALUE!</v>
      </c>
    </row>
    <row r="472" spans="2:17" x14ac:dyDescent="0.25">
      <c r="B472" t="str" cm="1">
        <f t="array" aca="1" ref="B472" ca="1">_xll.YCI(A472,"detailed_security_type",TODAY())</f>
        <v/>
      </c>
      <c r="C472" t="str" cm="1">
        <f t="array" aca="1" ref="C472" ca="1">_xlfn.IFS(B472="etf", _xll.YCI(A472, "security_name",TODAY()),B472&lt;&gt;"etf",_xll.YCI("M:" &amp; A472, "security_name",TODAY()))</f>
        <v>ERR: INVALID ASSET</v>
      </c>
      <c r="D472" t="str" cm="1">
        <f t="array" aca="1" ref="D472" ca="1">_xlfn.IFS($B472="etf", _xll.YCI($A472, "ycharts_benchmark_category",TODAY()),$B472&lt;&gt;"etf",_xll.YCI("M:" &amp; $A472, "ycharts_benchmark_category",TODAY()))</f>
        <v>ERR: INVALID ASSET</v>
      </c>
      <c r="E472" t="str" cm="1">
        <f t="array" aca="1" ref="E472" ca="1">_xlfn.IFS($B472="etf", _xll.YCI($A472, "ycharts_benchmark_index_symbol",TODAY()),$B472&lt;&gt;"etf",_xll.YCI("M:" &amp; $A472, "ycharts_benchmark_index_symbol",TODAY()))</f>
        <v>ERR: INVALID ASSET</v>
      </c>
      <c r="F472" t="str" cm="1">
        <f t="array" aca="1" ref="F472" ca="1">_xlfn.IFS($B472="etf", _xll.YCI($E472, "security_name",TODAY()),$B472&lt;&gt;"etf",_xll.YCI( $E472, "security_name",TODAY()))</f>
        <v>ERR: INVALID ASSET</v>
      </c>
      <c r="G472" t="str" cm="1">
        <f t="array" aca="1" ref="G472" ca="1">_xlfn.IFS($B472="etf", _xll.YCI($A472, "prospectus_benchmark_index",TODAY()),$B472&lt;&gt;"etf",_xll.YCI("M:" &amp; $A472, "prospectus_benchmark_index",TODAY()))</f>
        <v>ERR: INVALID ASSET</v>
      </c>
      <c r="H472" s="2" t="str" cm="1">
        <f t="array" aca="1" ref="H472" ca="1">_xlfn.IFS($B472="etf", _xll.YCP($A472,"quarterly_total_return",'Database Query'!$E$14),$B472&lt;&gt;"etf",_xll.YCP("M:"&amp; $A472,"quarterly_total_return",'Database Query'!$E$14))</f>
        <v>ERR: INVALID ASSET</v>
      </c>
      <c r="I472" s="2" t="e" cm="1">
        <f t="array" aca="1" ref="I472" ca="1">-_xll.YCP($E472,"quarterly_return",'Database Query'!$E$14)+H472</f>
        <v>#VALUE!</v>
      </c>
      <c r="J472" s="2" t="str" cm="1">
        <f t="array" aca="1" ref="J472" ca="1">_xlfn.IFS($B472="etf", _xll.YCP($A472,"ytd_total_return",'Database Query'!$E$14),$B472&lt;&gt;"etf",_xll.YCP("M:"&amp; $A472,"ytd_total_return",'Database Query'!$E$14))</f>
        <v>ERR: INVALID ASSET</v>
      </c>
      <c r="K472" s="2" t="e" cm="1">
        <f t="array" aca="1" ref="K472" ca="1">-_xll.YCP($E472,"ytd_return",'Database Query'!$E$14)+J472</f>
        <v>#VALUE!</v>
      </c>
      <c r="L472" s="2" t="str" cm="1">
        <f t="array" aca="1" ref="L472" ca="1">_xlfn.IFS($B472="etf", _xll.YCP($A472,"one_year_total_return",'Database Query'!$E$14),$B472&lt;&gt;"etf",_xll.YCP("M:"&amp; $A472,"one_year_total_return",'Database Query'!$E$14))</f>
        <v>ERR: INVALID ASSET</v>
      </c>
      <c r="M472" s="2" t="e" cm="1">
        <f t="array" aca="1" ref="M472" ca="1">-_xll.YCP($E472,"one_year_return",'Database Query'!$E$14)+L472</f>
        <v>#VALUE!</v>
      </c>
      <c r="N472" s="2" t="str" cm="1">
        <f t="array" aca="1" ref="N472" ca="1">_xlfn.IFS($B472="etf", _xll.YCP($A472,"three_year_total_return",'Database Query'!$E$14),$B472&lt;&gt;"etf",_xll.YCP("M:"&amp; $A472,"three_year_total_return",'Database Query'!$E$14))</f>
        <v>ERR: INVALID ASSET</v>
      </c>
      <c r="O472" s="2" t="e" cm="1">
        <f t="array" aca="1" ref="O472" ca="1">-_xll.YCP($E472,"three_year_return",'Database Query'!$E$14)+N472</f>
        <v>#VALUE!</v>
      </c>
      <c r="P472" s="2" t="str" cm="1">
        <f t="array" aca="1" ref="P472" ca="1">_xlfn.IFS($B472="etf", _xll.YCP($A472,"five_year_total_return",'Database Query'!$E$14),$B472&lt;&gt;"etf",_xll.YCP("M:"&amp; $A472,"five_year_total_return",'Database Query'!$E$14))</f>
        <v>ERR: INVALID ASSET</v>
      </c>
      <c r="Q472" s="2" t="e" cm="1">
        <f t="array" aca="1" ref="Q472" ca="1">-_xll.YCP($E472,"five_year_return",'Database Query'!$E$14)+P472</f>
        <v>#VALUE!</v>
      </c>
    </row>
    <row r="473" spans="2:17" x14ac:dyDescent="0.25">
      <c r="B473" t="str" cm="1">
        <f t="array" aca="1" ref="B473" ca="1">_xll.YCI(A473,"detailed_security_type",TODAY())</f>
        <v/>
      </c>
      <c r="C473" t="str" cm="1">
        <f t="array" aca="1" ref="C473" ca="1">_xlfn.IFS(B473="etf", _xll.YCI(A473, "security_name",TODAY()),B473&lt;&gt;"etf",_xll.YCI("M:" &amp; A473, "security_name",TODAY()))</f>
        <v>ERR: INVALID ASSET</v>
      </c>
      <c r="D473" t="str" cm="1">
        <f t="array" aca="1" ref="D473" ca="1">_xlfn.IFS($B473="etf", _xll.YCI($A473, "ycharts_benchmark_category",TODAY()),$B473&lt;&gt;"etf",_xll.YCI("M:" &amp; $A473, "ycharts_benchmark_category",TODAY()))</f>
        <v>ERR: INVALID ASSET</v>
      </c>
      <c r="E473" t="str" cm="1">
        <f t="array" aca="1" ref="E473" ca="1">_xlfn.IFS($B473="etf", _xll.YCI($A473, "ycharts_benchmark_index_symbol",TODAY()),$B473&lt;&gt;"etf",_xll.YCI("M:" &amp; $A473, "ycharts_benchmark_index_symbol",TODAY()))</f>
        <v>ERR: INVALID ASSET</v>
      </c>
      <c r="F473" t="str" cm="1">
        <f t="array" aca="1" ref="F473" ca="1">_xlfn.IFS($B473="etf", _xll.YCI($E473, "security_name",TODAY()),$B473&lt;&gt;"etf",_xll.YCI( $E473, "security_name",TODAY()))</f>
        <v>ERR: INVALID ASSET</v>
      </c>
      <c r="G473" t="str" cm="1">
        <f t="array" aca="1" ref="G473" ca="1">_xlfn.IFS($B473="etf", _xll.YCI($A473, "prospectus_benchmark_index",TODAY()),$B473&lt;&gt;"etf",_xll.YCI("M:" &amp; $A473, "prospectus_benchmark_index",TODAY()))</f>
        <v>ERR: INVALID ASSET</v>
      </c>
      <c r="H473" s="2" t="str" cm="1">
        <f t="array" aca="1" ref="H473" ca="1">_xlfn.IFS($B473="etf", _xll.YCP($A473,"quarterly_total_return",'Database Query'!$E$14),$B473&lt;&gt;"etf",_xll.YCP("M:"&amp; $A473,"quarterly_total_return",'Database Query'!$E$14))</f>
        <v>ERR: INVALID ASSET</v>
      </c>
      <c r="I473" s="2" t="e" cm="1">
        <f t="array" aca="1" ref="I473" ca="1">-_xll.YCP($E473,"quarterly_return",'Database Query'!$E$14)+H473</f>
        <v>#VALUE!</v>
      </c>
      <c r="J473" s="2" t="str" cm="1">
        <f t="array" aca="1" ref="J473" ca="1">_xlfn.IFS($B473="etf", _xll.YCP($A473,"ytd_total_return",'Database Query'!$E$14),$B473&lt;&gt;"etf",_xll.YCP("M:"&amp; $A473,"ytd_total_return",'Database Query'!$E$14))</f>
        <v>ERR: INVALID ASSET</v>
      </c>
      <c r="K473" s="2" t="e" cm="1">
        <f t="array" aca="1" ref="K473" ca="1">-_xll.YCP($E473,"ytd_return",'Database Query'!$E$14)+J473</f>
        <v>#VALUE!</v>
      </c>
      <c r="L473" s="2" t="str" cm="1">
        <f t="array" aca="1" ref="L473" ca="1">_xlfn.IFS($B473="etf", _xll.YCP($A473,"one_year_total_return",'Database Query'!$E$14),$B473&lt;&gt;"etf",_xll.YCP("M:"&amp; $A473,"one_year_total_return",'Database Query'!$E$14))</f>
        <v>ERR: INVALID ASSET</v>
      </c>
      <c r="M473" s="2" t="e" cm="1">
        <f t="array" aca="1" ref="M473" ca="1">-_xll.YCP($E473,"one_year_return",'Database Query'!$E$14)+L473</f>
        <v>#VALUE!</v>
      </c>
      <c r="N473" s="2" t="str" cm="1">
        <f t="array" aca="1" ref="N473" ca="1">_xlfn.IFS($B473="etf", _xll.YCP($A473,"three_year_total_return",'Database Query'!$E$14),$B473&lt;&gt;"etf",_xll.YCP("M:"&amp; $A473,"three_year_total_return",'Database Query'!$E$14))</f>
        <v>ERR: INVALID ASSET</v>
      </c>
      <c r="O473" s="2" t="e" cm="1">
        <f t="array" aca="1" ref="O473" ca="1">-_xll.YCP($E473,"three_year_return",'Database Query'!$E$14)+N473</f>
        <v>#VALUE!</v>
      </c>
      <c r="P473" s="2" t="str" cm="1">
        <f t="array" aca="1" ref="P473" ca="1">_xlfn.IFS($B473="etf", _xll.YCP($A473,"five_year_total_return",'Database Query'!$E$14),$B473&lt;&gt;"etf",_xll.YCP("M:"&amp; $A473,"five_year_total_return",'Database Query'!$E$14))</f>
        <v>ERR: INVALID ASSET</v>
      </c>
      <c r="Q473" s="2" t="e" cm="1">
        <f t="array" aca="1" ref="Q473" ca="1">-_xll.YCP($E473,"five_year_return",'Database Query'!$E$14)+P473</f>
        <v>#VALUE!</v>
      </c>
    </row>
    <row r="474" spans="2:17" x14ac:dyDescent="0.25">
      <c r="B474" t="str" cm="1">
        <f t="array" aca="1" ref="B474" ca="1">_xll.YCI(A474,"detailed_security_type",TODAY())</f>
        <v/>
      </c>
      <c r="C474" t="str" cm="1">
        <f t="array" aca="1" ref="C474" ca="1">_xlfn.IFS(B474="etf", _xll.YCI(A474, "security_name",TODAY()),B474&lt;&gt;"etf",_xll.YCI("M:" &amp; A474, "security_name",TODAY()))</f>
        <v>ERR: INVALID ASSET</v>
      </c>
      <c r="D474" t="str" cm="1">
        <f t="array" aca="1" ref="D474" ca="1">_xlfn.IFS($B474="etf", _xll.YCI($A474, "ycharts_benchmark_category",TODAY()),$B474&lt;&gt;"etf",_xll.YCI("M:" &amp; $A474, "ycharts_benchmark_category",TODAY()))</f>
        <v>ERR: INVALID ASSET</v>
      </c>
      <c r="E474" t="str" cm="1">
        <f t="array" aca="1" ref="E474" ca="1">_xlfn.IFS($B474="etf", _xll.YCI($A474, "ycharts_benchmark_index_symbol",TODAY()),$B474&lt;&gt;"etf",_xll.YCI("M:" &amp; $A474, "ycharts_benchmark_index_symbol",TODAY()))</f>
        <v>ERR: INVALID ASSET</v>
      </c>
      <c r="F474" t="str" cm="1">
        <f t="array" aca="1" ref="F474" ca="1">_xlfn.IFS($B474="etf", _xll.YCI($E474, "security_name",TODAY()),$B474&lt;&gt;"etf",_xll.YCI( $E474, "security_name",TODAY()))</f>
        <v>ERR: INVALID ASSET</v>
      </c>
      <c r="G474" t="str" cm="1">
        <f t="array" aca="1" ref="G474" ca="1">_xlfn.IFS($B474="etf", _xll.YCI($A474, "prospectus_benchmark_index",TODAY()),$B474&lt;&gt;"etf",_xll.YCI("M:" &amp; $A474, "prospectus_benchmark_index",TODAY()))</f>
        <v>ERR: INVALID ASSET</v>
      </c>
      <c r="H474" s="2" t="str" cm="1">
        <f t="array" aca="1" ref="H474" ca="1">_xlfn.IFS($B474="etf", _xll.YCP($A474,"quarterly_total_return",'Database Query'!$E$14),$B474&lt;&gt;"etf",_xll.YCP("M:"&amp; $A474,"quarterly_total_return",'Database Query'!$E$14))</f>
        <v>ERR: INVALID ASSET</v>
      </c>
      <c r="I474" s="2" t="e" cm="1">
        <f t="array" aca="1" ref="I474" ca="1">-_xll.YCP($E474,"quarterly_return",'Database Query'!$E$14)+H474</f>
        <v>#VALUE!</v>
      </c>
      <c r="J474" s="2" t="str" cm="1">
        <f t="array" aca="1" ref="J474" ca="1">_xlfn.IFS($B474="etf", _xll.YCP($A474,"ytd_total_return",'Database Query'!$E$14),$B474&lt;&gt;"etf",_xll.YCP("M:"&amp; $A474,"ytd_total_return",'Database Query'!$E$14))</f>
        <v>ERR: INVALID ASSET</v>
      </c>
      <c r="K474" s="2" t="e" cm="1">
        <f t="array" aca="1" ref="K474" ca="1">-_xll.YCP($E474,"ytd_return",'Database Query'!$E$14)+J474</f>
        <v>#VALUE!</v>
      </c>
      <c r="L474" s="2" t="str" cm="1">
        <f t="array" aca="1" ref="L474" ca="1">_xlfn.IFS($B474="etf", _xll.YCP($A474,"one_year_total_return",'Database Query'!$E$14),$B474&lt;&gt;"etf",_xll.YCP("M:"&amp; $A474,"one_year_total_return",'Database Query'!$E$14))</f>
        <v>ERR: INVALID ASSET</v>
      </c>
      <c r="M474" s="2" t="e" cm="1">
        <f t="array" aca="1" ref="M474" ca="1">-_xll.YCP($E474,"one_year_return",'Database Query'!$E$14)+L474</f>
        <v>#VALUE!</v>
      </c>
      <c r="N474" s="2" t="str" cm="1">
        <f t="array" aca="1" ref="N474" ca="1">_xlfn.IFS($B474="etf", _xll.YCP($A474,"three_year_total_return",'Database Query'!$E$14),$B474&lt;&gt;"etf",_xll.YCP("M:"&amp; $A474,"three_year_total_return",'Database Query'!$E$14))</f>
        <v>ERR: INVALID ASSET</v>
      </c>
      <c r="O474" s="2" t="e" cm="1">
        <f t="array" aca="1" ref="O474" ca="1">-_xll.YCP($E474,"three_year_return",'Database Query'!$E$14)+N474</f>
        <v>#VALUE!</v>
      </c>
      <c r="P474" s="2" t="str" cm="1">
        <f t="array" aca="1" ref="P474" ca="1">_xlfn.IFS($B474="etf", _xll.YCP($A474,"five_year_total_return",'Database Query'!$E$14),$B474&lt;&gt;"etf",_xll.YCP("M:"&amp; $A474,"five_year_total_return",'Database Query'!$E$14))</f>
        <v>ERR: INVALID ASSET</v>
      </c>
      <c r="Q474" s="2" t="e" cm="1">
        <f t="array" aca="1" ref="Q474" ca="1">-_xll.YCP($E474,"five_year_return",'Database Query'!$E$14)+P474</f>
        <v>#VALUE!</v>
      </c>
    </row>
    <row r="475" spans="2:17" x14ac:dyDescent="0.25">
      <c r="B475" t="str" cm="1">
        <f t="array" aca="1" ref="B475" ca="1">_xll.YCI(A475,"detailed_security_type",TODAY())</f>
        <v/>
      </c>
      <c r="C475" t="str" cm="1">
        <f t="array" aca="1" ref="C475" ca="1">_xlfn.IFS(B475="etf", _xll.YCI(A475, "security_name",TODAY()),B475&lt;&gt;"etf",_xll.YCI("M:" &amp; A475, "security_name",TODAY()))</f>
        <v>ERR: INVALID ASSET</v>
      </c>
      <c r="D475" t="str" cm="1">
        <f t="array" aca="1" ref="D475" ca="1">_xlfn.IFS($B475="etf", _xll.YCI($A475, "ycharts_benchmark_category",TODAY()),$B475&lt;&gt;"etf",_xll.YCI("M:" &amp; $A475, "ycharts_benchmark_category",TODAY()))</f>
        <v>ERR: INVALID ASSET</v>
      </c>
      <c r="E475" t="str" cm="1">
        <f t="array" aca="1" ref="E475" ca="1">_xlfn.IFS($B475="etf", _xll.YCI($A475, "ycharts_benchmark_index_symbol",TODAY()),$B475&lt;&gt;"etf",_xll.YCI("M:" &amp; $A475, "ycharts_benchmark_index_symbol",TODAY()))</f>
        <v>ERR: INVALID ASSET</v>
      </c>
      <c r="F475" t="str" cm="1">
        <f t="array" aca="1" ref="F475" ca="1">_xlfn.IFS($B475="etf", _xll.YCI($E475, "security_name",TODAY()),$B475&lt;&gt;"etf",_xll.YCI( $E475, "security_name",TODAY()))</f>
        <v>ERR: INVALID ASSET</v>
      </c>
      <c r="G475" t="str" cm="1">
        <f t="array" aca="1" ref="G475" ca="1">_xlfn.IFS($B475="etf", _xll.YCI($A475, "prospectus_benchmark_index",TODAY()),$B475&lt;&gt;"etf",_xll.YCI("M:" &amp; $A475, "prospectus_benchmark_index",TODAY()))</f>
        <v>ERR: INVALID ASSET</v>
      </c>
      <c r="H475" s="2" t="str" cm="1">
        <f t="array" aca="1" ref="H475" ca="1">_xlfn.IFS($B475="etf", _xll.YCP($A475,"quarterly_total_return",'Database Query'!$E$14),$B475&lt;&gt;"etf",_xll.YCP("M:"&amp; $A475,"quarterly_total_return",'Database Query'!$E$14))</f>
        <v>ERR: INVALID ASSET</v>
      </c>
      <c r="I475" s="2" t="e" cm="1">
        <f t="array" aca="1" ref="I475" ca="1">-_xll.YCP($E475,"quarterly_return",'Database Query'!$E$14)+H475</f>
        <v>#VALUE!</v>
      </c>
      <c r="J475" s="2" t="str" cm="1">
        <f t="array" aca="1" ref="J475" ca="1">_xlfn.IFS($B475="etf", _xll.YCP($A475,"ytd_total_return",'Database Query'!$E$14),$B475&lt;&gt;"etf",_xll.YCP("M:"&amp; $A475,"ytd_total_return",'Database Query'!$E$14))</f>
        <v>ERR: INVALID ASSET</v>
      </c>
      <c r="K475" s="2" t="e" cm="1">
        <f t="array" aca="1" ref="K475" ca="1">-_xll.YCP($E475,"ytd_return",'Database Query'!$E$14)+J475</f>
        <v>#VALUE!</v>
      </c>
      <c r="L475" s="2" t="str" cm="1">
        <f t="array" aca="1" ref="L475" ca="1">_xlfn.IFS($B475="etf", _xll.YCP($A475,"one_year_total_return",'Database Query'!$E$14),$B475&lt;&gt;"etf",_xll.YCP("M:"&amp; $A475,"one_year_total_return",'Database Query'!$E$14))</f>
        <v>ERR: INVALID ASSET</v>
      </c>
      <c r="M475" s="2" t="e" cm="1">
        <f t="array" aca="1" ref="M475" ca="1">-_xll.YCP($E475,"one_year_return",'Database Query'!$E$14)+L475</f>
        <v>#VALUE!</v>
      </c>
      <c r="N475" s="2" t="str" cm="1">
        <f t="array" aca="1" ref="N475" ca="1">_xlfn.IFS($B475="etf", _xll.YCP($A475,"three_year_total_return",'Database Query'!$E$14),$B475&lt;&gt;"etf",_xll.YCP("M:"&amp; $A475,"three_year_total_return",'Database Query'!$E$14))</f>
        <v>ERR: INVALID ASSET</v>
      </c>
      <c r="O475" s="2" t="e" cm="1">
        <f t="array" aca="1" ref="O475" ca="1">-_xll.YCP($E475,"three_year_return",'Database Query'!$E$14)+N475</f>
        <v>#VALUE!</v>
      </c>
      <c r="P475" s="2" t="str" cm="1">
        <f t="array" aca="1" ref="P475" ca="1">_xlfn.IFS($B475="etf", _xll.YCP($A475,"five_year_total_return",'Database Query'!$E$14),$B475&lt;&gt;"etf",_xll.YCP("M:"&amp; $A475,"five_year_total_return",'Database Query'!$E$14))</f>
        <v>ERR: INVALID ASSET</v>
      </c>
      <c r="Q475" s="2" t="e" cm="1">
        <f t="array" aca="1" ref="Q475" ca="1">-_xll.YCP($E475,"five_year_return",'Database Query'!$E$14)+P475</f>
        <v>#VALUE!</v>
      </c>
    </row>
    <row r="476" spans="2:17" x14ac:dyDescent="0.25">
      <c r="B476" t="str" cm="1">
        <f t="array" aca="1" ref="B476" ca="1">_xll.YCI(A476,"detailed_security_type",TODAY())</f>
        <v/>
      </c>
      <c r="C476" t="str" cm="1">
        <f t="array" aca="1" ref="C476" ca="1">_xlfn.IFS(B476="etf", _xll.YCI(A476, "security_name",TODAY()),B476&lt;&gt;"etf",_xll.YCI("M:" &amp; A476, "security_name",TODAY()))</f>
        <v>ERR: INVALID ASSET</v>
      </c>
      <c r="D476" t="str" cm="1">
        <f t="array" aca="1" ref="D476" ca="1">_xlfn.IFS($B476="etf", _xll.YCI($A476, "ycharts_benchmark_category",TODAY()),$B476&lt;&gt;"etf",_xll.YCI("M:" &amp; $A476, "ycharts_benchmark_category",TODAY()))</f>
        <v>ERR: INVALID ASSET</v>
      </c>
      <c r="E476" t="str" cm="1">
        <f t="array" aca="1" ref="E476" ca="1">_xlfn.IFS($B476="etf", _xll.YCI($A476, "ycharts_benchmark_index_symbol",TODAY()),$B476&lt;&gt;"etf",_xll.YCI("M:" &amp; $A476, "ycharts_benchmark_index_symbol",TODAY()))</f>
        <v>ERR: INVALID ASSET</v>
      </c>
      <c r="F476" t="str" cm="1">
        <f t="array" aca="1" ref="F476" ca="1">_xlfn.IFS($B476="etf", _xll.YCI($E476, "security_name",TODAY()),$B476&lt;&gt;"etf",_xll.YCI( $E476, "security_name",TODAY()))</f>
        <v>ERR: INVALID ASSET</v>
      </c>
      <c r="G476" t="str" cm="1">
        <f t="array" aca="1" ref="G476" ca="1">_xlfn.IFS($B476="etf", _xll.YCI($A476, "prospectus_benchmark_index",TODAY()),$B476&lt;&gt;"etf",_xll.YCI("M:" &amp; $A476, "prospectus_benchmark_index",TODAY()))</f>
        <v>ERR: INVALID ASSET</v>
      </c>
      <c r="H476" s="2" t="str" cm="1">
        <f t="array" aca="1" ref="H476" ca="1">_xlfn.IFS($B476="etf", _xll.YCP($A476,"quarterly_total_return",'Database Query'!$E$14),$B476&lt;&gt;"etf",_xll.YCP("M:"&amp; $A476,"quarterly_total_return",'Database Query'!$E$14))</f>
        <v>ERR: INVALID ASSET</v>
      </c>
      <c r="I476" s="2" t="e" cm="1">
        <f t="array" aca="1" ref="I476" ca="1">-_xll.YCP($E476,"quarterly_return",'Database Query'!$E$14)+H476</f>
        <v>#VALUE!</v>
      </c>
      <c r="J476" s="2" t="str" cm="1">
        <f t="array" aca="1" ref="J476" ca="1">_xlfn.IFS($B476="etf", _xll.YCP($A476,"ytd_total_return",'Database Query'!$E$14),$B476&lt;&gt;"etf",_xll.YCP("M:"&amp; $A476,"ytd_total_return",'Database Query'!$E$14))</f>
        <v>ERR: INVALID ASSET</v>
      </c>
      <c r="K476" s="2" t="e" cm="1">
        <f t="array" aca="1" ref="K476" ca="1">-_xll.YCP($E476,"ytd_return",'Database Query'!$E$14)+J476</f>
        <v>#VALUE!</v>
      </c>
      <c r="L476" s="2" t="str" cm="1">
        <f t="array" aca="1" ref="L476" ca="1">_xlfn.IFS($B476="etf", _xll.YCP($A476,"one_year_total_return",'Database Query'!$E$14),$B476&lt;&gt;"etf",_xll.YCP("M:"&amp; $A476,"one_year_total_return",'Database Query'!$E$14))</f>
        <v>ERR: INVALID ASSET</v>
      </c>
      <c r="M476" s="2" t="e" cm="1">
        <f t="array" aca="1" ref="M476" ca="1">-_xll.YCP($E476,"one_year_return",'Database Query'!$E$14)+L476</f>
        <v>#VALUE!</v>
      </c>
      <c r="N476" s="2" t="str" cm="1">
        <f t="array" aca="1" ref="N476" ca="1">_xlfn.IFS($B476="etf", _xll.YCP($A476,"three_year_total_return",'Database Query'!$E$14),$B476&lt;&gt;"etf",_xll.YCP("M:"&amp; $A476,"three_year_total_return",'Database Query'!$E$14))</f>
        <v>ERR: INVALID ASSET</v>
      </c>
      <c r="O476" s="2" t="e" cm="1">
        <f t="array" aca="1" ref="O476" ca="1">-_xll.YCP($E476,"three_year_return",'Database Query'!$E$14)+N476</f>
        <v>#VALUE!</v>
      </c>
      <c r="P476" s="2" t="str" cm="1">
        <f t="array" aca="1" ref="P476" ca="1">_xlfn.IFS($B476="etf", _xll.YCP($A476,"five_year_total_return",'Database Query'!$E$14),$B476&lt;&gt;"etf",_xll.YCP("M:"&amp; $A476,"five_year_total_return",'Database Query'!$E$14))</f>
        <v>ERR: INVALID ASSET</v>
      </c>
      <c r="Q476" s="2" t="e" cm="1">
        <f t="array" aca="1" ref="Q476" ca="1">-_xll.YCP($E476,"five_year_return",'Database Query'!$E$14)+P476</f>
        <v>#VALUE!</v>
      </c>
    </row>
    <row r="477" spans="2:17" x14ac:dyDescent="0.25">
      <c r="B477" t="str" cm="1">
        <f t="array" aca="1" ref="B477" ca="1">_xll.YCI(A477,"detailed_security_type",TODAY())</f>
        <v/>
      </c>
      <c r="C477" t="str" cm="1">
        <f t="array" aca="1" ref="C477" ca="1">_xlfn.IFS(B477="etf", _xll.YCI(A477, "security_name",TODAY()),B477&lt;&gt;"etf",_xll.YCI("M:" &amp; A477, "security_name",TODAY()))</f>
        <v>ERR: INVALID ASSET</v>
      </c>
      <c r="D477" t="str" cm="1">
        <f t="array" aca="1" ref="D477" ca="1">_xlfn.IFS($B477="etf", _xll.YCI($A477, "ycharts_benchmark_category",TODAY()),$B477&lt;&gt;"etf",_xll.YCI("M:" &amp; $A477, "ycharts_benchmark_category",TODAY()))</f>
        <v>ERR: INVALID ASSET</v>
      </c>
      <c r="E477" t="str" cm="1">
        <f t="array" aca="1" ref="E477" ca="1">_xlfn.IFS($B477="etf", _xll.YCI($A477, "ycharts_benchmark_index_symbol",TODAY()),$B477&lt;&gt;"etf",_xll.YCI("M:" &amp; $A477, "ycharts_benchmark_index_symbol",TODAY()))</f>
        <v>ERR: INVALID ASSET</v>
      </c>
      <c r="F477" t="str" cm="1">
        <f t="array" aca="1" ref="F477" ca="1">_xlfn.IFS($B477="etf", _xll.YCI($E477, "security_name",TODAY()),$B477&lt;&gt;"etf",_xll.YCI( $E477, "security_name",TODAY()))</f>
        <v>ERR: INVALID ASSET</v>
      </c>
      <c r="G477" t="str" cm="1">
        <f t="array" aca="1" ref="G477" ca="1">_xlfn.IFS($B477="etf", _xll.YCI($A477, "prospectus_benchmark_index",TODAY()),$B477&lt;&gt;"etf",_xll.YCI("M:" &amp; $A477, "prospectus_benchmark_index",TODAY()))</f>
        <v>ERR: INVALID ASSET</v>
      </c>
      <c r="H477" s="2" t="str" cm="1">
        <f t="array" aca="1" ref="H477" ca="1">_xlfn.IFS($B477="etf", _xll.YCP($A477,"quarterly_total_return",'Database Query'!$E$14),$B477&lt;&gt;"etf",_xll.YCP("M:"&amp; $A477,"quarterly_total_return",'Database Query'!$E$14))</f>
        <v>ERR: INVALID ASSET</v>
      </c>
      <c r="I477" s="2" t="e" cm="1">
        <f t="array" aca="1" ref="I477" ca="1">-_xll.YCP($E477,"quarterly_return",'Database Query'!$E$14)+H477</f>
        <v>#VALUE!</v>
      </c>
      <c r="J477" s="2" t="str" cm="1">
        <f t="array" aca="1" ref="J477" ca="1">_xlfn.IFS($B477="etf", _xll.YCP($A477,"ytd_total_return",'Database Query'!$E$14),$B477&lt;&gt;"etf",_xll.YCP("M:"&amp; $A477,"ytd_total_return",'Database Query'!$E$14))</f>
        <v>ERR: INVALID ASSET</v>
      </c>
      <c r="K477" s="2" t="e" cm="1">
        <f t="array" aca="1" ref="K477" ca="1">-_xll.YCP($E477,"ytd_return",'Database Query'!$E$14)+J477</f>
        <v>#VALUE!</v>
      </c>
      <c r="L477" s="2" t="str" cm="1">
        <f t="array" aca="1" ref="L477" ca="1">_xlfn.IFS($B477="etf", _xll.YCP($A477,"one_year_total_return",'Database Query'!$E$14),$B477&lt;&gt;"etf",_xll.YCP("M:"&amp; $A477,"one_year_total_return",'Database Query'!$E$14))</f>
        <v>ERR: INVALID ASSET</v>
      </c>
      <c r="M477" s="2" t="e" cm="1">
        <f t="array" aca="1" ref="M477" ca="1">-_xll.YCP($E477,"one_year_return",'Database Query'!$E$14)+L477</f>
        <v>#VALUE!</v>
      </c>
      <c r="N477" s="2" t="str" cm="1">
        <f t="array" aca="1" ref="N477" ca="1">_xlfn.IFS($B477="etf", _xll.YCP($A477,"three_year_total_return",'Database Query'!$E$14),$B477&lt;&gt;"etf",_xll.YCP("M:"&amp; $A477,"three_year_total_return",'Database Query'!$E$14))</f>
        <v>ERR: INVALID ASSET</v>
      </c>
      <c r="O477" s="2" t="e" cm="1">
        <f t="array" aca="1" ref="O477" ca="1">-_xll.YCP($E477,"three_year_return",'Database Query'!$E$14)+N477</f>
        <v>#VALUE!</v>
      </c>
      <c r="P477" s="2" t="str" cm="1">
        <f t="array" aca="1" ref="P477" ca="1">_xlfn.IFS($B477="etf", _xll.YCP($A477,"five_year_total_return",'Database Query'!$E$14),$B477&lt;&gt;"etf",_xll.YCP("M:"&amp; $A477,"five_year_total_return",'Database Query'!$E$14))</f>
        <v>ERR: INVALID ASSET</v>
      </c>
      <c r="Q477" s="2" t="e" cm="1">
        <f t="array" aca="1" ref="Q477" ca="1">-_xll.YCP($E477,"five_year_return",'Database Query'!$E$14)+P477</f>
        <v>#VALUE!</v>
      </c>
    </row>
    <row r="478" spans="2:17" x14ac:dyDescent="0.25">
      <c r="B478" t="str" cm="1">
        <f t="array" aca="1" ref="B478" ca="1">_xll.YCI(A478,"detailed_security_type",TODAY())</f>
        <v/>
      </c>
      <c r="C478" t="str" cm="1">
        <f t="array" aca="1" ref="C478" ca="1">_xlfn.IFS(B478="etf", _xll.YCI(A478, "security_name",TODAY()),B478&lt;&gt;"etf",_xll.YCI("M:" &amp; A478, "security_name",TODAY()))</f>
        <v>ERR: INVALID ASSET</v>
      </c>
      <c r="D478" t="str" cm="1">
        <f t="array" aca="1" ref="D478" ca="1">_xlfn.IFS($B478="etf", _xll.YCI($A478, "ycharts_benchmark_category",TODAY()),$B478&lt;&gt;"etf",_xll.YCI("M:" &amp; $A478, "ycharts_benchmark_category",TODAY()))</f>
        <v>ERR: INVALID ASSET</v>
      </c>
      <c r="E478" t="str" cm="1">
        <f t="array" aca="1" ref="E478" ca="1">_xlfn.IFS($B478="etf", _xll.YCI($A478, "ycharts_benchmark_index_symbol",TODAY()),$B478&lt;&gt;"etf",_xll.YCI("M:" &amp; $A478, "ycharts_benchmark_index_symbol",TODAY()))</f>
        <v>ERR: INVALID ASSET</v>
      </c>
      <c r="F478" t="str" cm="1">
        <f t="array" aca="1" ref="F478" ca="1">_xlfn.IFS($B478="etf", _xll.YCI($E478, "security_name",TODAY()),$B478&lt;&gt;"etf",_xll.YCI( $E478, "security_name",TODAY()))</f>
        <v>ERR: INVALID ASSET</v>
      </c>
      <c r="G478" t="str" cm="1">
        <f t="array" aca="1" ref="G478" ca="1">_xlfn.IFS($B478="etf", _xll.YCI($A478, "prospectus_benchmark_index",TODAY()),$B478&lt;&gt;"etf",_xll.YCI("M:" &amp; $A478, "prospectus_benchmark_index",TODAY()))</f>
        <v>ERR: INVALID ASSET</v>
      </c>
      <c r="H478" s="2" t="str" cm="1">
        <f t="array" aca="1" ref="H478" ca="1">_xlfn.IFS($B478="etf", _xll.YCP($A478,"quarterly_total_return",'Database Query'!$E$14),$B478&lt;&gt;"etf",_xll.YCP("M:"&amp; $A478,"quarterly_total_return",'Database Query'!$E$14))</f>
        <v>ERR: INVALID ASSET</v>
      </c>
      <c r="I478" s="2" t="e" cm="1">
        <f t="array" aca="1" ref="I478" ca="1">-_xll.YCP($E478,"quarterly_return",'Database Query'!$E$14)+H478</f>
        <v>#VALUE!</v>
      </c>
      <c r="J478" s="2" t="str" cm="1">
        <f t="array" aca="1" ref="J478" ca="1">_xlfn.IFS($B478="etf", _xll.YCP($A478,"ytd_total_return",'Database Query'!$E$14),$B478&lt;&gt;"etf",_xll.YCP("M:"&amp; $A478,"ytd_total_return",'Database Query'!$E$14))</f>
        <v>ERR: INVALID ASSET</v>
      </c>
      <c r="K478" s="2" t="e" cm="1">
        <f t="array" aca="1" ref="K478" ca="1">-_xll.YCP($E478,"ytd_return",'Database Query'!$E$14)+J478</f>
        <v>#VALUE!</v>
      </c>
      <c r="L478" s="2" t="str" cm="1">
        <f t="array" aca="1" ref="L478" ca="1">_xlfn.IFS($B478="etf", _xll.YCP($A478,"one_year_total_return",'Database Query'!$E$14),$B478&lt;&gt;"etf",_xll.YCP("M:"&amp; $A478,"one_year_total_return",'Database Query'!$E$14))</f>
        <v>ERR: INVALID ASSET</v>
      </c>
      <c r="M478" s="2" t="e" cm="1">
        <f t="array" aca="1" ref="M478" ca="1">-_xll.YCP($E478,"one_year_return",'Database Query'!$E$14)+L478</f>
        <v>#VALUE!</v>
      </c>
      <c r="N478" s="2" t="str" cm="1">
        <f t="array" aca="1" ref="N478" ca="1">_xlfn.IFS($B478="etf", _xll.YCP($A478,"three_year_total_return",'Database Query'!$E$14),$B478&lt;&gt;"etf",_xll.YCP("M:"&amp; $A478,"three_year_total_return",'Database Query'!$E$14))</f>
        <v>ERR: INVALID ASSET</v>
      </c>
      <c r="O478" s="2" t="e" cm="1">
        <f t="array" aca="1" ref="O478" ca="1">-_xll.YCP($E478,"three_year_return",'Database Query'!$E$14)+N478</f>
        <v>#VALUE!</v>
      </c>
      <c r="P478" s="2" t="str" cm="1">
        <f t="array" aca="1" ref="P478" ca="1">_xlfn.IFS($B478="etf", _xll.YCP($A478,"five_year_total_return",'Database Query'!$E$14),$B478&lt;&gt;"etf",_xll.YCP("M:"&amp; $A478,"five_year_total_return",'Database Query'!$E$14))</f>
        <v>ERR: INVALID ASSET</v>
      </c>
      <c r="Q478" s="2" t="e" cm="1">
        <f t="array" aca="1" ref="Q478" ca="1">-_xll.YCP($E478,"five_year_return",'Database Query'!$E$14)+P478</f>
        <v>#VALUE!</v>
      </c>
    </row>
    <row r="479" spans="2:17" x14ac:dyDescent="0.25">
      <c r="B479" t="str" cm="1">
        <f t="array" aca="1" ref="B479" ca="1">_xll.YCI(A479,"detailed_security_type",TODAY())</f>
        <v/>
      </c>
      <c r="C479" t="str" cm="1">
        <f t="array" aca="1" ref="C479" ca="1">_xlfn.IFS(B479="etf", _xll.YCI(A479, "security_name",TODAY()),B479&lt;&gt;"etf",_xll.YCI("M:" &amp; A479, "security_name",TODAY()))</f>
        <v>ERR: INVALID ASSET</v>
      </c>
      <c r="D479" t="str" cm="1">
        <f t="array" aca="1" ref="D479" ca="1">_xlfn.IFS($B479="etf", _xll.YCI($A479, "ycharts_benchmark_category",TODAY()),$B479&lt;&gt;"etf",_xll.YCI("M:" &amp; $A479, "ycharts_benchmark_category",TODAY()))</f>
        <v>ERR: INVALID ASSET</v>
      </c>
      <c r="E479" t="str" cm="1">
        <f t="array" aca="1" ref="E479" ca="1">_xlfn.IFS($B479="etf", _xll.YCI($A479, "ycharts_benchmark_index_symbol",TODAY()),$B479&lt;&gt;"etf",_xll.YCI("M:" &amp; $A479, "ycharts_benchmark_index_symbol",TODAY()))</f>
        <v>ERR: INVALID ASSET</v>
      </c>
      <c r="F479" t="str" cm="1">
        <f t="array" aca="1" ref="F479" ca="1">_xlfn.IFS($B479="etf", _xll.YCI($E479, "security_name",TODAY()),$B479&lt;&gt;"etf",_xll.YCI( $E479, "security_name",TODAY()))</f>
        <v>ERR: INVALID ASSET</v>
      </c>
      <c r="G479" t="str" cm="1">
        <f t="array" aca="1" ref="G479" ca="1">_xlfn.IFS($B479="etf", _xll.YCI($A479, "prospectus_benchmark_index",TODAY()),$B479&lt;&gt;"etf",_xll.YCI("M:" &amp; $A479, "prospectus_benchmark_index",TODAY()))</f>
        <v>ERR: INVALID ASSET</v>
      </c>
      <c r="H479" s="2" t="str" cm="1">
        <f t="array" aca="1" ref="H479" ca="1">_xlfn.IFS($B479="etf", _xll.YCP($A479,"quarterly_total_return",'Database Query'!$E$14),$B479&lt;&gt;"etf",_xll.YCP("M:"&amp; $A479,"quarterly_total_return",'Database Query'!$E$14))</f>
        <v>ERR: INVALID ASSET</v>
      </c>
      <c r="I479" s="2" t="e" cm="1">
        <f t="array" aca="1" ref="I479" ca="1">-_xll.YCP($E479,"quarterly_return",'Database Query'!$E$14)+H479</f>
        <v>#VALUE!</v>
      </c>
      <c r="J479" s="2" t="str" cm="1">
        <f t="array" aca="1" ref="J479" ca="1">_xlfn.IFS($B479="etf", _xll.YCP($A479,"ytd_total_return",'Database Query'!$E$14),$B479&lt;&gt;"etf",_xll.YCP("M:"&amp; $A479,"ytd_total_return",'Database Query'!$E$14))</f>
        <v>ERR: INVALID ASSET</v>
      </c>
      <c r="K479" s="2" t="e" cm="1">
        <f t="array" aca="1" ref="K479" ca="1">-_xll.YCP($E479,"ytd_return",'Database Query'!$E$14)+J479</f>
        <v>#VALUE!</v>
      </c>
      <c r="L479" s="2" t="str" cm="1">
        <f t="array" aca="1" ref="L479" ca="1">_xlfn.IFS($B479="etf", _xll.YCP($A479,"one_year_total_return",'Database Query'!$E$14),$B479&lt;&gt;"etf",_xll.YCP("M:"&amp; $A479,"one_year_total_return",'Database Query'!$E$14))</f>
        <v>ERR: INVALID ASSET</v>
      </c>
      <c r="M479" s="2" t="e" cm="1">
        <f t="array" aca="1" ref="M479" ca="1">-_xll.YCP($E479,"one_year_return",'Database Query'!$E$14)+L479</f>
        <v>#VALUE!</v>
      </c>
      <c r="N479" s="2" t="str" cm="1">
        <f t="array" aca="1" ref="N479" ca="1">_xlfn.IFS($B479="etf", _xll.YCP($A479,"three_year_total_return",'Database Query'!$E$14),$B479&lt;&gt;"etf",_xll.YCP("M:"&amp; $A479,"three_year_total_return",'Database Query'!$E$14))</f>
        <v>ERR: INVALID ASSET</v>
      </c>
      <c r="O479" s="2" t="e" cm="1">
        <f t="array" aca="1" ref="O479" ca="1">-_xll.YCP($E479,"three_year_return",'Database Query'!$E$14)+N479</f>
        <v>#VALUE!</v>
      </c>
      <c r="P479" s="2" t="str" cm="1">
        <f t="array" aca="1" ref="P479" ca="1">_xlfn.IFS($B479="etf", _xll.YCP($A479,"five_year_total_return",'Database Query'!$E$14),$B479&lt;&gt;"etf",_xll.YCP("M:"&amp; $A479,"five_year_total_return",'Database Query'!$E$14))</f>
        <v>ERR: INVALID ASSET</v>
      </c>
      <c r="Q479" s="2" t="e" cm="1">
        <f t="array" aca="1" ref="Q479" ca="1">-_xll.YCP($E479,"five_year_return",'Database Query'!$E$14)+P479</f>
        <v>#VALUE!</v>
      </c>
    </row>
    <row r="480" spans="2:17" x14ac:dyDescent="0.25">
      <c r="B480" t="str" cm="1">
        <f t="array" aca="1" ref="B480" ca="1">_xll.YCI(A480,"detailed_security_type",TODAY())</f>
        <v/>
      </c>
      <c r="C480" t="str" cm="1">
        <f t="array" aca="1" ref="C480" ca="1">_xlfn.IFS(B480="etf", _xll.YCI(A480, "security_name",TODAY()),B480&lt;&gt;"etf",_xll.YCI("M:" &amp; A480, "security_name",TODAY()))</f>
        <v>ERR: INVALID ASSET</v>
      </c>
      <c r="D480" t="str" cm="1">
        <f t="array" aca="1" ref="D480" ca="1">_xlfn.IFS($B480="etf", _xll.YCI($A480, "ycharts_benchmark_category",TODAY()),$B480&lt;&gt;"etf",_xll.YCI("M:" &amp; $A480, "ycharts_benchmark_category",TODAY()))</f>
        <v>ERR: INVALID ASSET</v>
      </c>
      <c r="E480" t="str" cm="1">
        <f t="array" aca="1" ref="E480" ca="1">_xlfn.IFS($B480="etf", _xll.YCI($A480, "ycharts_benchmark_index_symbol",TODAY()),$B480&lt;&gt;"etf",_xll.YCI("M:" &amp; $A480, "ycharts_benchmark_index_symbol",TODAY()))</f>
        <v>ERR: INVALID ASSET</v>
      </c>
      <c r="F480" t="str" cm="1">
        <f t="array" aca="1" ref="F480" ca="1">_xlfn.IFS($B480="etf", _xll.YCI($E480, "security_name",TODAY()),$B480&lt;&gt;"etf",_xll.YCI( $E480, "security_name",TODAY()))</f>
        <v>ERR: INVALID ASSET</v>
      </c>
      <c r="G480" t="str" cm="1">
        <f t="array" aca="1" ref="G480" ca="1">_xlfn.IFS($B480="etf", _xll.YCI($A480, "prospectus_benchmark_index",TODAY()),$B480&lt;&gt;"etf",_xll.YCI("M:" &amp; $A480, "prospectus_benchmark_index",TODAY()))</f>
        <v>ERR: INVALID ASSET</v>
      </c>
      <c r="H480" s="2" t="str" cm="1">
        <f t="array" aca="1" ref="H480" ca="1">_xlfn.IFS($B480="etf", _xll.YCP($A480,"quarterly_total_return",'Database Query'!$E$14),$B480&lt;&gt;"etf",_xll.YCP("M:"&amp; $A480,"quarterly_total_return",'Database Query'!$E$14))</f>
        <v>ERR: INVALID ASSET</v>
      </c>
      <c r="I480" s="2" t="e" cm="1">
        <f t="array" aca="1" ref="I480" ca="1">-_xll.YCP($E480,"quarterly_return",'Database Query'!$E$14)+H480</f>
        <v>#VALUE!</v>
      </c>
      <c r="J480" s="2" t="str" cm="1">
        <f t="array" aca="1" ref="J480" ca="1">_xlfn.IFS($B480="etf", _xll.YCP($A480,"ytd_total_return",'Database Query'!$E$14),$B480&lt;&gt;"etf",_xll.YCP("M:"&amp; $A480,"ytd_total_return",'Database Query'!$E$14))</f>
        <v>ERR: INVALID ASSET</v>
      </c>
      <c r="K480" s="2" t="e" cm="1">
        <f t="array" aca="1" ref="K480" ca="1">-_xll.YCP($E480,"ytd_return",'Database Query'!$E$14)+J480</f>
        <v>#VALUE!</v>
      </c>
      <c r="L480" s="2" t="str" cm="1">
        <f t="array" aca="1" ref="L480" ca="1">_xlfn.IFS($B480="etf", _xll.YCP($A480,"one_year_total_return",'Database Query'!$E$14),$B480&lt;&gt;"etf",_xll.YCP("M:"&amp; $A480,"one_year_total_return",'Database Query'!$E$14))</f>
        <v>ERR: INVALID ASSET</v>
      </c>
      <c r="M480" s="2" t="e" cm="1">
        <f t="array" aca="1" ref="M480" ca="1">-_xll.YCP($E480,"one_year_return",'Database Query'!$E$14)+L480</f>
        <v>#VALUE!</v>
      </c>
      <c r="N480" s="2" t="str" cm="1">
        <f t="array" aca="1" ref="N480" ca="1">_xlfn.IFS($B480="etf", _xll.YCP($A480,"three_year_total_return",'Database Query'!$E$14),$B480&lt;&gt;"etf",_xll.YCP("M:"&amp; $A480,"three_year_total_return",'Database Query'!$E$14))</f>
        <v>ERR: INVALID ASSET</v>
      </c>
      <c r="O480" s="2" t="e" cm="1">
        <f t="array" aca="1" ref="O480" ca="1">-_xll.YCP($E480,"three_year_return",'Database Query'!$E$14)+N480</f>
        <v>#VALUE!</v>
      </c>
      <c r="P480" s="2" t="str" cm="1">
        <f t="array" aca="1" ref="P480" ca="1">_xlfn.IFS($B480="etf", _xll.YCP($A480,"five_year_total_return",'Database Query'!$E$14),$B480&lt;&gt;"etf",_xll.YCP("M:"&amp; $A480,"five_year_total_return",'Database Query'!$E$14))</f>
        <v>ERR: INVALID ASSET</v>
      </c>
      <c r="Q480" s="2" t="e" cm="1">
        <f t="array" aca="1" ref="Q480" ca="1">-_xll.YCP($E480,"five_year_return",'Database Query'!$E$14)+P480</f>
        <v>#VALUE!</v>
      </c>
    </row>
    <row r="481" spans="2:17" x14ac:dyDescent="0.25">
      <c r="B481" t="str" cm="1">
        <f t="array" aca="1" ref="B481" ca="1">_xll.YCI(A481,"detailed_security_type",TODAY())</f>
        <v/>
      </c>
      <c r="C481" t="str" cm="1">
        <f t="array" aca="1" ref="C481" ca="1">_xlfn.IFS(B481="etf", _xll.YCI(A481, "security_name",TODAY()),B481&lt;&gt;"etf",_xll.YCI("M:" &amp; A481, "security_name",TODAY()))</f>
        <v>ERR: INVALID ASSET</v>
      </c>
      <c r="D481" t="str" cm="1">
        <f t="array" aca="1" ref="D481" ca="1">_xlfn.IFS($B481="etf", _xll.YCI($A481, "ycharts_benchmark_category",TODAY()),$B481&lt;&gt;"etf",_xll.YCI("M:" &amp; $A481, "ycharts_benchmark_category",TODAY()))</f>
        <v>ERR: INVALID ASSET</v>
      </c>
      <c r="E481" t="str" cm="1">
        <f t="array" aca="1" ref="E481" ca="1">_xlfn.IFS($B481="etf", _xll.YCI($A481, "ycharts_benchmark_index_symbol",TODAY()),$B481&lt;&gt;"etf",_xll.YCI("M:" &amp; $A481, "ycharts_benchmark_index_symbol",TODAY()))</f>
        <v>ERR: INVALID ASSET</v>
      </c>
      <c r="F481" t="str" cm="1">
        <f t="array" aca="1" ref="F481" ca="1">_xlfn.IFS($B481="etf", _xll.YCI($E481, "security_name",TODAY()),$B481&lt;&gt;"etf",_xll.YCI( $E481, "security_name",TODAY()))</f>
        <v>ERR: INVALID ASSET</v>
      </c>
      <c r="G481" t="str" cm="1">
        <f t="array" aca="1" ref="G481" ca="1">_xlfn.IFS($B481="etf", _xll.YCI($A481, "prospectus_benchmark_index",TODAY()),$B481&lt;&gt;"etf",_xll.YCI("M:" &amp; $A481, "prospectus_benchmark_index",TODAY()))</f>
        <v>ERR: INVALID ASSET</v>
      </c>
      <c r="H481" s="2" t="str" cm="1">
        <f t="array" aca="1" ref="H481" ca="1">_xlfn.IFS($B481="etf", _xll.YCP($A481,"quarterly_total_return",'Database Query'!$E$14),$B481&lt;&gt;"etf",_xll.YCP("M:"&amp; $A481,"quarterly_total_return",'Database Query'!$E$14))</f>
        <v>ERR: INVALID ASSET</v>
      </c>
      <c r="I481" s="2" t="e" cm="1">
        <f t="array" aca="1" ref="I481" ca="1">-_xll.YCP($E481,"quarterly_return",'Database Query'!$E$14)+H481</f>
        <v>#VALUE!</v>
      </c>
      <c r="J481" s="2" t="str" cm="1">
        <f t="array" aca="1" ref="J481" ca="1">_xlfn.IFS($B481="etf", _xll.YCP($A481,"ytd_total_return",'Database Query'!$E$14),$B481&lt;&gt;"etf",_xll.YCP("M:"&amp; $A481,"ytd_total_return",'Database Query'!$E$14))</f>
        <v>ERR: INVALID ASSET</v>
      </c>
      <c r="K481" s="2" t="e" cm="1">
        <f t="array" aca="1" ref="K481" ca="1">-_xll.YCP($E481,"ytd_return",'Database Query'!$E$14)+J481</f>
        <v>#VALUE!</v>
      </c>
      <c r="L481" s="2" t="str" cm="1">
        <f t="array" aca="1" ref="L481" ca="1">_xlfn.IFS($B481="etf", _xll.YCP($A481,"one_year_total_return",'Database Query'!$E$14),$B481&lt;&gt;"etf",_xll.YCP("M:"&amp; $A481,"one_year_total_return",'Database Query'!$E$14))</f>
        <v>ERR: INVALID ASSET</v>
      </c>
      <c r="M481" s="2" t="e" cm="1">
        <f t="array" aca="1" ref="M481" ca="1">-_xll.YCP($E481,"one_year_return",'Database Query'!$E$14)+L481</f>
        <v>#VALUE!</v>
      </c>
      <c r="N481" s="2" t="str" cm="1">
        <f t="array" aca="1" ref="N481" ca="1">_xlfn.IFS($B481="etf", _xll.YCP($A481,"three_year_total_return",'Database Query'!$E$14),$B481&lt;&gt;"etf",_xll.YCP("M:"&amp; $A481,"three_year_total_return",'Database Query'!$E$14))</f>
        <v>ERR: INVALID ASSET</v>
      </c>
      <c r="O481" s="2" t="e" cm="1">
        <f t="array" aca="1" ref="O481" ca="1">-_xll.YCP($E481,"three_year_return",'Database Query'!$E$14)+N481</f>
        <v>#VALUE!</v>
      </c>
      <c r="P481" s="2" t="str" cm="1">
        <f t="array" aca="1" ref="P481" ca="1">_xlfn.IFS($B481="etf", _xll.YCP($A481,"five_year_total_return",'Database Query'!$E$14),$B481&lt;&gt;"etf",_xll.YCP("M:"&amp; $A481,"five_year_total_return",'Database Query'!$E$14))</f>
        <v>ERR: INVALID ASSET</v>
      </c>
      <c r="Q481" s="2" t="e" cm="1">
        <f t="array" aca="1" ref="Q481" ca="1">-_xll.YCP($E481,"five_year_return",'Database Query'!$E$14)+P481</f>
        <v>#VALUE!</v>
      </c>
    </row>
    <row r="482" spans="2:17" x14ac:dyDescent="0.25">
      <c r="B482" t="str" cm="1">
        <f t="array" aca="1" ref="B482" ca="1">_xll.YCI(A482,"detailed_security_type",TODAY())</f>
        <v/>
      </c>
      <c r="C482" t="str" cm="1">
        <f t="array" aca="1" ref="C482" ca="1">_xlfn.IFS(B482="etf", _xll.YCI(A482, "security_name",TODAY()),B482&lt;&gt;"etf",_xll.YCI("M:" &amp; A482, "security_name",TODAY()))</f>
        <v>ERR: INVALID ASSET</v>
      </c>
      <c r="D482" t="str" cm="1">
        <f t="array" aca="1" ref="D482" ca="1">_xlfn.IFS($B482="etf", _xll.YCI($A482, "ycharts_benchmark_category",TODAY()),$B482&lt;&gt;"etf",_xll.YCI("M:" &amp; $A482, "ycharts_benchmark_category",TODAY()))</f>
        <v>ERR: INVALID ASSET</v>
      </c>
      <c r="E482" t="str" cm="1">
        <f t="array" aca="1" ref="E482" ca="1">_xlfn.IFS($B482="etf", _xll.YCI($A482, "ycharts_benchmark_index_symbol",TODAY()),$B482&lt;&gt;"etf",_xll.YCI("M:" &amp; $A482, "ycharts_benchmark_index_symbol",TODAY()))</f>
        <v>ERR: INVALID ASSET</v>
      </c>
      <c r="F482" t="str" cm="1">
        <f t="array" aca="1" ref="F482" ca="1">_xlfn.IFS($B482="etf", _xll.YCI($E482, "security_name",TODAY()),$B482&lt;&gt;"etf",_xll.YCI( $E482, "security_name",TODAY()))</f>
        <v>ERR: INVALID ASSET</v>
      </c>
      <c r="G482" t="str" cm="1">
        <f t="array" aca="1" ref="G482" ca="1">_xlfn.IFS($B482="etf", _xll.YCI($A482, "prospectus_benchmark_index",TODAY()),$B482&lt;&gt;"etf",_xll.YCI("M:" &amp; $A482, "prospectus_benchmark_index",TODAY()))</f>
        <v>ERR: INVALID ASSET</v>
      </c>
      <c r="H482" s="2" t="str" cm="1">
        <f t="array" aca="1" ref="H482" ca="1">_xlfn.IFS($B482="etf", _xll.YCP($A482,"quarterly_total_return",'Database Query'!$E$14),$B482&lt;&gt;"etf",_xll.YCP("M:"&amp; $A482,"quarterly_total_return",'Database Query'!$E$14))</f>
        <v>ERR: INVALID ASSET</v>
      </c>
      <c r="I482" s="2" t="e" cm="1">
        <f t="array" aca="1" ref="I482" ca="1">-_xll.YCP($E482,"quarterly_return",'Database Query'!$E$14)+H482</f>
        <v>#VALUE!</v>
      </c>
      <c r="J482" s="2" t="str" cm="1">
        <f t="array" aca="1" ref="J482" ca="1">_xlfn.IFS($B482="etf", _xll.YCP($A482,"ytd_total_return",'Database Query'!$E$14),$B482&lt;&gt;"etf",_xll.YCP("M:"&amp; $A482,"ytd_total_return",'Database Query'!$E$14))</f>
        <v>ERR: INVALID ASSET</v>
      </c>
      <c r="K482" s="2" t="e" cm="1">
        <f t="array" aca="1" ref="K482" ca="1">-_xll.YCP($E482,"ytd_return",'Database Query'!$E$14)+J482</f>
        <v>#VALUE!</v>
      </c>
      <c r="L482" s="2" t="str" cm="1">
        <f t="array" aca="1" ref="L482" ca="1">_xlfn.IFS($B482="etf", _xll.YCP($A482,"one_year_total_return",'Database Query'!$E$14),$B482&lt;&gt;"etf",_xll.YCP("M:"&amp; $A482,"one_year_total_return",'Database Query'!$E$14))</f>
        <v>ERR: INVALID ASSET</v>
      </c>
      <c r="M482" s="2" t="e" cm="1">
        <f t="array" aca="1" ref="M482" ca="1">-_xll.YCP($E482,"one_year_return",'Database Query'!$E$14)+L482</f>
        <v>#VALUE!</v>
      </c>
      <c r="N482" s="2" t="str" cm="1">
        <f t="array" aca="1" ref="N482" ca="1">_xlfn.IFS($B482="etf", _xll.YCP($A482,"three_year_total_return",'Database Query'!$E$14),$B482&lt;&gt;"etf",_xll.YCP("M:"&amp; $A482,"three_year_total_return",'Database Query'!$E$14))</f>
        <v>ERR: INVALID ASSET</v>
      </c>
      <c r="O482" s="2" t="e" cm="1">
        <f t="array" aca="1" ref="O482" ca="1">-_xll.YCP($E482,"three_year_return",'Database Query'!$E$14)+N482</f>
        <v>#VALUE!</v>
      </c>
      <c r="P482" s="2" t="str" cm="1">
        <f t="array" aca="1" ref="P482" ca="1">_xlfn.IFS($B482="etf", _xll.YCP($A482,"five_year_total_return",'Database Query'!$E$14),$B482&lt;&gt;"etf",_xll.YCP("M:"&amp; $A482,"five_year_total_return",'Database Query'!$E$14))</f>
        <v>ERR: INVALID ASSET</v>
      </c>
      <c r="Q482" s="2" t="e" cm="1">
        <f t="array" aca="1" ref="Q482" ca="1">-_xll.YCP($E482,"five_year_return",'Database Query'!$E$14)+P482</f>
        <v>#VALUE!</v>
      </c>
    </row>
    <row r="483" spans="2:17" x14ac:dyDescent="0.25">
      <c r="B483" t="str" cm="1">
        <f t="array" aca="1" ref="B483" ca="1">_xll.YCI(A483,"detailed_security_type",TODAY())</f>
        <v/>
      </c>
      <c r="C483" t="str" cm="1">
        <f t="array" aca="1" ref="C483" ca="1">_xlfn.IFS(B483="etf", _xll.YCI(A483, "security_name",TODAY()),B483&lt;&gt;"etf",_xll.YCI("M:" &amp; A483, "security_name",TODAY()))</f>
        <v>ERR: INVALID ASSET</v>
      </c>
      <c r="D483" t="str" cm="1">
        <f t="array" aca="1" ref="D483" ca="1">_xlfn.IFS($B483="etf", _xll.YCI($A483, "ycharts_benchmark_category",TODAY()),$B483&lt;&gt;"etf",_xll.YCI("M:" &amp; $A483, "ycharts_benchmark_category",TODAY()))</f>
        <v>ERR: INVALID ASSET</v>
      </c>
      <c r="E483" t="str" cm="1">
        <f t="array" aca="1" ref="E483" ca="1">_xlfn.IFS($B483="etf", _xll.YCI($A483, "ycharts_benchmark_index_symbol",TODAY()),$B483&lt;&gt;"etf",_xll.YCI("M:" &amp; $A483, "ycharts_benchmark_index_symbol",TODAY()))</f>
        <v>ERR: INVALID ASSET</v>
      </c>
      <c r="F483" t="str" cm="1">
        <f t="array" aca="1" ref="F483" ca="1">_xlfn.IFS($B483="etf", _xll.YCI($E483, "security_name",TODAY()),$B483&lt;&gt;"etf",_xll.YCI( $E483, "security_name",TODAY()))</f>
        <v>ERR: INVALID ASSET</v>
      </c>
      <c r="G483" t="str" cm="1">
        <f t="array" aca="1" ref="G483" ca="1">_xlfn.IFS($B483="etf", _xll.YCI($A483, "prospectus_benchmark_index",TODAY()),$B483&lt;&gt;"etf",_xll.YCI("M:" &amp; $A483, "prospectus_benchmark_index",TODAY()))</f>
        <v>ERR: INVALID ASSET</v>
      </c>
      <c r="H483" s="2" t="str" cm="1">
        <f t="array" aca="1" ref="H483" ca="1">_xlfn.IFS($B483="etf", _xll.YCP($A483,"quarterly_total_return",'Database Query'!$E$14),$B483&lt;&gt;"etf",_xll.YCP("M:"&amp; $A483,"quarterly_total_return",'Database Query'!$E$14))</f>
        <v>ERR: INVALID ASSET</v>
      </c>
      <c r="I483" s="2" t="e" cm="1">
        <f t="array" aca="1" ref="I483" ca="1">-_xll.YCP($E483,"quarterly_return",'Database Query'!$E$14)+H483</f>
        <v>#VALUE!</v>
      </c>
      <c r="J483" s="2" t="str" cm="1">
        <f t="array" aca="1" ref="J483" ca="1">_xlfn.IFS($B483="etf", _xll.YCP($A483,"ytd_total_return",'Database Query'!$E$14),$B483&lt;&gt;"etf",_xll.YCP("M:"&amp; $A483,"ytd_total_return",'Database Query'!$E$14))</f>
        <v>ERR: INVALID ASSET</v>
      </c>
      <c r="K483" s="2" t="e" cm="1">
        <f t="array" aca="1" ref="K483" ca="1">-_xll.YCP($E483,"ytd_return",'Database Query'!$E$14)+J483</f>
        <v>#VALUE!</v>
      </c>
      <c r="L483" s="2" t="str" cm="1">
        <f t="array" aca="1" ref="L483" ca="1">_xlfn.IFS($B483="etf", _xll.YCP($A483,"one_year_total_return",'Database Query'!$E$14),$B483&lt;&gt;"etf",_xll.YCP("M:"&amp; $A483,"one_year_total_return",'Database Query'!$E$14))</f>
        <v>ERR: INVALID ASSET</v>
      </c>
      <c r="M483" s="2" t="e" cm="1">
        <f t="array" aca="1" ref="M483" ca="1">-_xll.YCP($E483,"one_year_return",'Database Query'!$E$14)+L483</f>
        <v>#VALUE!</v>
      </c>
      <c r="N483" s="2" t="str" cm="1">
        <f t="array" aca="1" ref="N483" ca="1">_xlfn.IFS($B483="etf", _xll.YCP($A483,"three_year_total_return",'Database Query'!$E$14),$B483&lt;&gt;"etf",_xll.YCP("M:"&amp; $A483,"three_year_total_return",'Database Query'!$E$14))</f>
        <v>ERR: INVALID ASSET</v>
      </c>
      <c r="O483" s="2" t="e" cm="1">
        <f t="array" aca="1" ref="O483" ca="1">-_xll.YCP($E483,"three_year_return",'Database Query'!$E$14)+N483</f>
        <v>#VALUE!</v>
      </c>
      <c r="P483" s="2" t="str" cm="1">
        <f t="array" aca="1" ref="P483" ca="1">_xlfn.IFS($B483="etf", _xll.YCP($A483,"five_year_total_return",'Database Query'!$E$14),$B483&lt;&gt;"etf",_xll.YCP("M:"&amp; $A483,"five_year_total_return",'Database Query'!$E$14))</f>
        <v>ERR: INVALID ASSET</v>
      </c>
      <c r="Q483" s="2" t="e" cm="1">
        <f t="array" aca="1" ref="Q483" ca="1">-_xll.YCP($E483,"five_year_return",'Database Query'!$E$14)+P483</f>
        <v>#VALUE!</v>
      </c>
    </row>
    <row r="484" spans="2:17" x14ac:dyDescent="0.25">
      <c r="B484" t="str" cm="1">
        <f t="array" aca="1" ref="B484" ca="1">_xll.YCI(A484,"detailed_security_type",TODAY())</f>
        <v/>
      </c>
      <c r="C484" t="str" cm="1">
        <f t="array" aca="1" ref="C484" ca="1">_xlfn.IFS(B484="etf", _xll.YCI(A484, "security_name",TODAY()),B484&lt;&gt;"etf",_xll.YCI("M:" &amp; A484, "security_name",TODAY()))</f>
        <v>ERR: INVALID ASSET</v>
      </c>
      <c r="D484" t="str" cm="1">
        <f t="array" aca="1" ref="D484" ca="1">_xlfn.IFS($B484="etf", _xll.YCI($A484, "ycharts_benchmark_category",TODAY()),$B484&lt;&gt;"etf",_xll.YCI("M:" &amp; $A484, "ycharts_benchmark_category",TODAY()))</f>
        <v>ERR: INVALID ASSET</v>
      </c>
      <c r="E484" t="str" cm="1">
        <f t="array" aca="1" ref="E484" ca="1">_xlfn.IFS($B484="etf", _xll.YCI($A484, "ycharts_benchmark_index_symbol",TODAY()),$B484&lt;&gt;"etf",_xll.YCI("M:" &amp; $A484, "ycharts_benchmark_index_symbol",TODAY()))</f>
        <v>ERR: INVALID ASSET</v>
      </c>
      <c r="F484" t="str" cm="1">
        <f t="array" aca="1" ref="F484" ca="1">_xlfn.IFS($B484="etf", _xll.YCI($E484, "security_name",TODAY()),$B484&lt;&gt;"etf",_xll.YCI( $E484, "security_name",TODAY()))</f>
        <v>ERR: INVALID ASSET</v>
      </c>
      <c r="G484" t="str" cm="1">
        <f t="array" aca="1" ref="G484" ca="1">_xlfn.IFS($B484="etf", _xll.YCI($A484, "prospectus_benchmark_index",TODAY()),$B484&lt;&gt;"etf",_xll.YCI("M:" &amp; $A484, "prospectus_benchmark_index",TODAY()))</f>
        <v>ERR: INVALID ASSET</v>
      </c>
      <c r="H484" s="2" t="str" cm="1">
        <f t="array" aca="1" ref="H484" ca="1">_xlfn.IFS($B484="etf", _xll.YCP($A484,"quarterly_total_return",'Database Query'!$E$14),$B484&lt;&gt;"etf",_xll.YCP("M:"&amp; $A484,"quarterly_total_return",'Database Query'!$E$14))</f>
        <v>ERR: INVALID ASSET</v>
      </c>
      <c r="I484" s="2" t="e" cm="1">
        <f t="array" aca="1" ref="I484" ca="1">-_xll.YCP($E484,"quarterly_return",'Database Query'!$E$14)+H484</f>
        <v>#VALUE!</v>
      </c>
      <c r="J484" s="2" t="str" cm="1">
        <f t="array" aca="1" ref="J484" ca="1">_xlfn.IFS($B484="etf", _xll.YCP($A484,"ytd_total_return",'Database Query'!$E$14),$B484&lt;&gt;"etf",_xll.YCP("M:"&amp; $A484,"ytd_total_return",'Database Query'!$E$14))</f>
        <v>ERR: INVALID ASSET</v>
      </c>
      <c r="K484" s="2" t="e" cm="1">
        <f t="array" aca="1" ref="K484" ca="1">-_xll.YCP($E484,"ytd_return",'Database Query'!$E$14)+J484</f>
        <v>#VALUE!</v>
      </c>
      <c r="L484" s="2" t="str" cm="1">
        <f t="array" aca="1" ref="L484" ca="1">_xlfn.IFS($B484="etf", _xll.YCP($A484,"one_year_total_return",'Database Query'!$E$14),$B484&lt;&gt;"etf",_xll.YCP("M:"&amp; $A484,"one_year_total_return",'Database Query'!$E$14))</f>
        <v>ERR: INVALID ASSET</v>
      </c>
      <c r="M484" s="2" t="e" cm="1">
        <f t="array" aca="1" ref="M484" ca="1">-_xll.YCP($E484,"one_year_return",'Database Query'!$E$14)+L484</f>
        <v>#VALUE!</v>
      </c>
      <c r="N484" s="2" t="str" cm="1">
        <f t="array" aca="1" ref="N484" ca="1">_xlfn.IFS($B484="etf", _xll.YCP($A484,"three_year_total_return",'Database Query'!$E$14),$B484&lt;&gt;"etf",_xll.YCP("M:"&amp; $A484,"three_year_total_return",'Database Query'!$E$14))</f>
        <v>ERR: INVALID ASSET</v>
      </c>
      <c r="O484" s="2" t="e" cm="1">
        <f t="array" aca="1" ref="O484" ca="1">-_xll.YCP($E484,"three_year_return",'Database Query'!$E$14)+N484</f>
        <v>#VALUE!</v>
      </c>
      <c r="P484" s="2" t="str" cm="1">
        <f t="array" aca="1" ref="P484" ca="1">_xlfn.IFS($B484="etf", _xll.YCP($A484,"five_year_total_return",'Database Query'!$E$14),$B484&lt;&gt;"etf",_xll.YCP("M:"&amp; $A484,"five_year_total_return",'Database Query'!$E$14))</f>
        <v>ERR: INVALID ASSET</v>
      </c>
      <c r="Q484" s="2" t="e" cm="1">
        <f t="array" aca="1" ref="Q484" ca="1">-_xll.YCP($E484,"five_year_return",'Database Query'!$E$14)+P484</f>
        <v>#VALUE!</v>
      </c>
    </row>
    <row r="485" spans="2:17" x14ac:dyDescent="0.25">
      <c r="B485" t="str" cm="1">
        <f t="array" aca="1" ref="B485" ca="1">_xll.YCI(A485,"detailed_security_type",TODAY())</f>
        <v/>
      </c>
      <c r="C485" t="str" cm="1">
        <f t="array" aca="1" ref="C485" ca="1">_xlfn.IFS(B485="etf", _xll.YCI(A485, "security_name",TODAY()),B485&lt;&gt;"etf",_xll.YCI("M:" &amp; A485, "security_name",TODAY()))</f>
        <v>ERR: INVALID ASSET</v>
      </c>
      <c r="D485" t="str" cm="1">
        <f t="array" aca="1" ref="D485" ca="1">_xlfn.IFS($B485="etf", _xll.YCI($A485, "ycharts_benchmark_category",TODAY()),$B485&lt;&gt;"etf",_xll.YCI("M:" &amp; $A485, "ycharts_benchmark_category",TODAY()))</f>
        <v>ERR: INVALID ASSET</v>
      </c>
      <c r="E485" t="str" cm="1">
        <f t="array" aca="1" ref="E485" ca="1">_xlfn.IFS($B485="etf", _xll.YCI($A485, "ycharts_benchmark_index_symbol",TODAY()),$B485&lt;&gt;"etf",_xll.YCI("M:" &amp; $A485, "ycharts_benchmark_index_symbol",TODAY()))</f>
        <v>ERR: INVALID ASSET</v>
      </c>
      <c r="F485" t="str" cm="1">
        <f t="array" aca="1" ref="F485" ca="1">_xlfn.IFS($B485="etf", _xll.YCI($E485, "security_name",TODAY()),$B485&lt;&gt;"etf",_xll.YCI( $E485, "security_name",TODAY()))</f>
        <v>ERR: INVALID ASSET</v>
      </c>
      <c r="G485" t="str" cm="1">
        <f t="array" aca="1" ref="G485" ca="1">_xlfn.IFS($B485="etf", _xll.YCI($A485, "prospectus_benchmark_index",TODAY()),$B485&lt;&gt;"etf",_xll.YCI("M:" &amp; $A485, "prospectus_benchmark_index",TODAY()))</f>
        <v>ERR: INVALID ASSET</v>
      </c>
      <c r="H485" s="2" t="str" cm="1">
        <f t="array" aca="1" ref="H485" ca="1">_xlfn.IFS($B485="etf", _xll.YCP($A485,"quarterly_total_return",'Database Query'!$E$14),$B485&lt;&gt;"etf",_xll.YCP("M:"&amp; $A485,"quarterly_total_return",'Database Query'!$E$14))</f>
        <v>ERR: INVALID ASSET</v>
      </c>
      <c r="I485" s="2" t="e" cm="1">
        <f t="array" aca="1" ref="I485" ca="1">-_xll.YCP($E485,"quarterly_return",'Database Query'!$E$14)+H485</f>
        <v>#VALUE!</v>
      </c>
      <c r="J485" s="2" t="str" cm="1">
        <f t="array" aca="1" ref="J485" ca="1">_xlfn.IFS($B485="etf", _xll.YCP($A485,"ytd_total_return",'Database Query'!$E$14),$B485&lt;&gt;"etf",_xll.YCP("M:"&amp; $A485,"ytd_total_return",'Database Query'!$E$14))</f>
        <v>ERR: INVALID ASSET</v>
      </c>
      <c r="K485" s="2" t="e" cm="1">
        <f t="array" aca="1" ref="K485" ca="1">-_xll.YCP($E485,"ytd_return",'Database Query'!$E$14)+J485</f>
        <v>#VALUE!</v>
      </c>
      <c r="L485" s="2" t="str" cm="1">
        <f t="array" aca="1" ref="L485" ca="1">_xlfn.IFS($B485="etf", _xll.YCP($A485,"one_year_total_return",'Database Query'!$E$14),$B485&lt;&gt;"etf",_xll.YCP("M:"&amp; $A485,"one_year_total_return",'Database Query'!$E$14))</f>
        <v>ERR: INVALID ASSET</v>
      </c>
      <c r="M485" s="2" t="e" cm="1">
        <f t="array" aca="1" ref="M485" ca="1">-_xll.YCP($E485,"one_year_return",'Database Query'!$E$14)+L485</f>
        <v>#VALUE!</v>
      </c>
      <c r="N485" s="2" t="str" cm="1">
        <f t="array" aca="1" ref="N485" ca="1">_xlfn.IFS($B485="etf", _xll.YCP($A485,"three_year_total_return",'Database Query'!$E$14),$B485&lt;&gt;"etf",_xll.YCP("M:"&amp; $A485,"three_year_total_return",'Database Query'!$E$14))</f>
        <v>ERR: INVALID ASSET</v>
      </c>
      <c r="O485" s="2" t="e" cm="1">
        <f t="array" aca="1" ref="O485" ca="1">-_xll.YCP($E485,"three_year_return",'Database Query'!$E$14)+N485</f>
        <v>#VALUE!</v>
      </c>
      <c r="P485" s="2" t="str" cm="1">
        <f t="array" aca="1" ref="P485" ca="1">_xlfn.IFS($B485="etf", _xll.YCP($A485,"five_year_total_return",'Database Query'!$E$14),$B485&lt;&gt;"etf",_xll.YCP("M:"&amp; $A485,"five_year_total_return",'Database Query'!$E$14))</f>
        <v>ERR: INVALID ASSET</v>
      </c>
      <c r="Q485" s="2" t="e" cm="1">
        <f t="array" aca="1" ref="Q485" ca="1">-_xll.YCP($E485,"five_year_return",'Database Query'!$E$14)+P485</f>
        <v>#VALUE!</v>
      </c>
    </row>
    <row r="486" spans="2:17" x14ac:dyDescent="0.25">
      <c r="B486" t="str" cm="1">
        <f t="array" aca="1" ref="B486" ca="1">_xll.YCI(A486,"detailed_security_type",TODAY())</f>
        <v/>
      </c>
      <c r="C486" t="str" cm="1">
        <f t="array" aca="1" ref="C486" ca="1">_xlfn.IFS(B486="etf", _xll.YCI(A486, "security_name",TODAY()),B486&lt;&gt;"etf",_xll.YCI("M:" &amp; A486, "security_name",TODAY()))</f>
        <v>ERR: INVALID ASSET</v>
      </c>
      <c r="D486" t="str" cm="1">
        <f t="array" aca="1" ref="D486" ca="1">_xlfn.IFS($B486="etf", _xll.YCI($A486, "ycharts_benchmark_category",TODAY()),$B486&lt;&gt;"etf",_xll.YCI("M:" &amp; $A486, "ycharts_benchmark_category",TODAY()))</f>
        <v>ERR: INVALID ASSET</v>
      </c>
      <c r="E486" t="str" cm="1">
        <f t="array" aca="1" ref="E486" ca="1">_xlfn.IFS($B486="etf", _xll.YCI($A486, "ycharts_benchmark_index_symbol",TODAY()),$B486&lt;&gt;"etf",_xll.YCI("M:" &amp; $A486, "ycharts_benchmark_index_symbol",TODAY()))</f>
        <v>ERR: INVALID ASSET</v>
      </c>
      <c r="F486" t="str" cm="1">
        <f t="array" aca="1" ref="F486" ca="1">_xlfn.IFS($B486="etf", _xll.YCI($E486, "security_name",TODAY()),$B486&lt;&gt;"etf",_xll.YCI( $E486, "security_name",TODAY()))</f>
        <v>ERR: INVALID ASSET</v>
      </c>
      <c r="G486" t="str" cm="1">
        <f t="array" aca="1" ref="G486" ca="1">_xlfn.IFS($B486="etf", _xll.YCI($A486, "prospectus_benchmark_index",TODAY()),$B486&lt;&gt;"etf",_xll.YCI("M:" &amp; $A486, "prospectus_benchmark_index",TODAY()))</f>
        <v>ERR: INVALID ASSET</v>
      </c>
      <c r="H486" s="2" t="str" cm="1">
        <f t="array" aca="1" ref="H486" ca="1">_xlfn.IFS($B486="etf", _xll.YCP($A486,"quarterly_total_return",'Database Query'!$E$14),$B486&lt;&gt;"etf",_xll.YCP("M:"&amp; $A486,"quarterly_total_return",'Database Query'!$E$14))</f>
        <v>ERR: INVALID ASSET</v>
      </c>
      <c r="I486" s="2" t="e" cm="1">
        <f t="array" aca="1" ref="I486" ca="1">-_xll.YCP($E486,"quarterly_return",'Database Query'!$E$14)+H486</f>
        <v>#VALUE!</v>
      </c>
      <c r="J486" s="2" t="str" cm="1">
        <f t="array" aca="1" ref="J486" ca="1">_xlfn.IFS($B486="etf", _xll.YCP($A486,"ytd_total_return",'Database Query'!$E$14),$B486&lt;&gt;"etf",_xll.YCP("M:"&amp; $A486,"ytd_total_return",'Database Query'!$E$14))</f>
        <v>ERR: INVALID ASSET</v>
      </c>
      <c r="K486" s="2" t="e" cm="1">
        <f t="array" aca="1" ref="K486" ca="1">-_xll.YCP($E486,"ytd_return",'Database Query'!$E$14)+J486</f>
        <v>#VALUE!</v>
      </c>
      <c r="L486" s="2" t="str" cm="1">
        <f t="array" aca="1" ref="L486" ca="1">_xlfn.IFS($B486="etf", _xll.YCP($A486,"one_year_total_return",'Database Query'!$E$14),$B486&lt;&gt;"etf",_xll.YCP("M:"&amp; $A486,"one_year_total_return",'Database Query'!$E$14))</f>
        <v>ERR: INVALID ASSET</v>
      </c>
      <c r="M486" s="2" t="e" cm="1">
        <f t="array" aca="1" ref="M486" ca="1">-_xll.YCP($E486,"one_year_return",'Database Query'!$E$14)+L486</f>
        <v>#VALUE!</v>
      </c>
      <c r="N486" s="2" t="str" cm="1">
        <f t="array" aca="1" ref="N486" ca="1">_xlfn.IFS($B486="etf", _xll.YCP($A486,"three_year_total_return",'Database Query'!$E$14),$B486&lt;&gt;"etf",_xll.YCP("M:"&amp; $A486,"three_year_total_return",'Database Query'!$E$14))</f>
        <v>ERR: INVALID ASSET</v>
      </c>
      <c r="O486" s="2" t="e" cm="1">
        <f t="array" aca="1" ref="O486" ca="1">-_xll.YCP($E486,"three_year_return",'Database Query'!$E$14)+N486</f>
        <v>#VALUE!</v>
      </c>
      <c r="P486" s="2" t="str" cm="1">
        <f t="array" aca="1" ref="P486" ca="1">_xlfn.IFS($B486="etf", _xll.YCP($A486,"five_year_total_return",'Database Query'!$E$14),$B486&lt;&gt;"etf",_xll.YCP("M:"&amp; $A486,"five_year_total_return",'Database Query'!$E$14))</f>
        <v>ERR: INVALID ASSET</v>
      </c>
      <c r="Q486" s="2" t="e" cm="1">
        <f t="array" aca="1" ref="Q486" ca="1">-_xll.YCP($E486,"five_year_return",'Database Query'!$E$14)+P486</f>
        <v>#VALUE!</v>
      </c>
    </row>
    <row r="487" spans="2:17" x14ac:dyDescent="0.25">
      <c r="B487" t="str" cm="1">
        <f t="array" aca="1" ref="B487" ca="1">_xll.YCI(A487,"detailed_security_type",TODAY())</f>
        <v/>
      </c>
      <c r="C487" t="str" cm="1">
        <f t="array" aca="1" ref="C487" ca="1">_xlfn.IFS(B487="etf", _xll.YCI(A487, "security_name",TODAY()),B487&lt;&gt;"etf",_xll.YCI("M:" &amp; A487, "security_name",TODAY()))</f>
        <v>ERR: INVALID ASSET</v>
      </c>
      <c r="D487" t="str" cm="1">
        <f t="array" aca="1" ref="D487" ca="1">_xlfn.IFS($B487="etf", _xll.YCI($A487, "ycharts_benchmark_category",TODAY()),$B487&lt;&gt;"etf",_xll.YCI("M:" &amp; $A487, "ycharts_benchmark_category",TODAY()))</f>
        <v>ERR: INVALID ASSET</v>
      </c>
      <c r="E487" t="str" cm="1">
        <f t="array" aca="1" ref="E487" ca="1">_xlfn.IFS($B487="etf", _xll.YCI($A487, "ycharts_benchmark_index_symbol",TODAY()),$B487&lt;&gt;"etf",_xll.YCI("M:" &amp; $A487, "ycharts_benchmark_index_symbol",TODAY()))</f>
        <v>ERR: INVALID ASSET</v>
      </c>
      <c r="F487" t="str" cm="1">
        <f t="array" aca="1" ref="F487" ca="1">_xlfn.IFS($B487="etf", _xll.YCI($E487, "security_name",TODAY()),$B487&lt;&gt;"etf",_xll.YCI( $E487, "security_name",TODAY()))</f>
        <v>ERR: INVALID ASSET</v>
      </c>
      <c r="G487" t="str" cm="1">
        <f t="array" aca="1" ref="G487" ca="1">_xlfn.IFS($B487="etf", _xll.YCI($A487, "prospectus_benchmark_index",TODAY()),$B487&lt;&gt;"etf",_xll.YCI("M:" &amp; $A487, "prospectus_benchmark_index",TODAY()))</f>
        <v>ERR: INVALID ASSET</v>
      </c>
      <c r="H487" s="2" t="str" cm="1">
        <f t="array" aca="1" ref="H487" ca="1">_xlfn.IFS($B487="etf", _xll.YCP($A487,"quarterly_total_return",'Database Query'!$E$14),$B487&lt;&gt;"etf",_xll.YCP("M:"&amp; $A487,"quarterly_total_return",'Database Query'!$E$14))</f>
        <v>ERR: INVALID ASSET</v>
      </c>
      <c r="I487" s="2" t="e" cm="1">
        <f t="array" aca="1" ref="I487" ca="1">-_xll.YCP($E487,"quarterly_return",'Database Query'!$E$14)+H487</f>
        <v>#VALUE!</v>
      </c>
      <c r="J487" s="2" t="str" cm="1">
        <f t="array" aca="1" ref="J487" ca="1">_xlfn.IFS($B487="etf", _xll.YCP($A487,"ytd_total_return",'Database Query'!$E$14),$B487&lt;&gt;"etf",_xll.YCP("M:"&amp; $A487,"ytd_total_return",'Database Query'!$E$14))</f>
        <v>ERR: INVALID ASSET</v>
      </c>
      <c r="K487" s="2" t="e" cm="1">
        <f t="array" aca="1" ref="K487" ca="1">-_xll.YCP($E487,"ytd_return",'Database Query'!$E$14)+J487</f>
        <v>#VALUE!</v>
      </c>
      <c r="L487" s="2" t="str" cm="1">
        <f t="array" aca="1" ref="L487" ca="1">_xlfn.IFS($B487="etf", _xll.YCP($A487,"one_year_total_return",'Database Query'!$E$14),$B487&lt;&gt;"etf",_xll.YCP("M:"&amp; $A487,"one_year_total_return",'Database Query'!$E$14))</f>
        <v>ERR: INVALID ASSET</v>
      </c>
      <c r="M487" s="2" t="e" cm="1">
        <f t="array" aca="1" ref="M487" ca="1">-_xll.YCP($E487,"one_year_return",'Database Query'!$E$14)+L487</f>
        <v>#VALUE!</v>
      </c>
      <c r="N487" s="2" t="str" cm="1">
        <f t="array" aca="1" ref="N487" ca="1">_xlfn.IFS($B487="etf", _xll.YCP($A487,"three_year_total_return",'Database Query'!$E$14),$B487&lt;&gt;"etf",_xll.YCP("M:"&amp; $A487,"three_year_total_return",'Database Query'!$E$14))</f>
        <v>ERR: INVALID ASSET</v>
      </c>
      <c r="O487" s="2" t="e" cm="1">
        <f t="array" aca="1" ref="O487" ca="1">-_xll.YCP($E487,"three_year_return",'Database Query'!$E$14)+N487</f>
        <v>#VALUE!</v>
      </c>
      <c r="P487" s="2" t="str" cm="1">
        <f t="array" aca="1" ref="P487" ca="1">_xlfn.IFS($B487="etf", _xll.YCP($A487,"five_year_total_return",'Database Query'!$E$14),$B487&lt;&gt;"etf",_xll.YCP("M:"&amp; $A487,"five_year_total_return",'Database Query'!$E$14))</f>
        <v>ERR: INVALID ASSET</v>
      </c>
      <c r="Q487" s="2" t="e" cm="1">
        <f t="array" aca="1" ref="Q487" ca="1">-_xll.YCP($E487,"five_year_return",'Database Query'!$E$14)+P487</f>
        <v>#VALUE!</v>
      </c>
    </row>
    <row r="488" spans="2:17" x14ac:dyDescent="0.25">
      <c r="B488" t="str" cm="1">
        <f t="array" aca="1" ref="B488" ca="1">_xll.YCI(A488,"detailed_security_type",TODAY())</f>
        <v/>
      </c>
      <c r="C488" t="str" cm="1">
        <f t="array" aca="1" ref="C488" ca="1">_xlfn.IFS(B488="etf", _xll.YCI(A488, "security_name",TODAY()),B488&lt;&gt;"etf",_xll.YCI("M:" &amp; A488, "security_name",TODAY()))</f>
        <v>ERR: INVALID ASSET</v>
      </c>
      <c r="D488" t="str" cm="1">
        <f t="array" aca="1" ref="D488" ca="1">_xlfn.IFS($B488="etf", _xll.YCI($A488, "ycharts_benchmark_category",TODAY()),$B488&lt;&gt;"etf",_xll.YCI("M:" &amp; $A488, "ycharts_benchmark_category",TODAY()))</f>
        <v>ERR: INVALID ASSET</v>
      </c>
      <c r="E488" t="str" cm="1">
        <f t="array" aca="1" ref="E488" ca="1">_xlfn.IFS($B488="etf", _xll.YCI($A488, "ycharts_benchmark_index_symbol",TODAY()),$B488&lt;&gt;"etf",_xll.YCI("M:" &amp; $A488, "ycharts_benchmark_index_symbol",TODAY()))</f>
        <v>ERR: INVALID ASSET</v>
      </c>
      <c r="F488" t="str" cm="1">
        <f t="array" aca="1" ref="F488" ca="1">_xlfn.IFS($B488="etf", _xll.YCI($E488, "security_name",TODAY()),$B488&lt;&gt;"etf",_xll.YCI( $E488, "security_name",TODAY()))</f>
        <v>ERR: INVALID ASSET</v>
      </c>
      <c r="G488" t="str" cm="1">
        <f t="array" aca="1" ref="G488" ca="1">_xlfn.IFS($B488="etf", _xll.YCI($A488, "prospectus_benchmark_index",TODAY()),$B488&lt;&gt;"etf",_xll.YCI("M:" &amp; $A488, "prospectus_benchmark_index",TODAY()))</f>
        <v>ERR: INVALID ASSET</v>
      </c>
      <c r="H488" s="2" t="str" cm="1">
        <f t="array" aca="1" ref="H488" ca="1">_xlfn.IFS($B488="etf", _xll.YCP($A488,"quarterly_total_return",'Database Query'!$E$14),$B488&lt;&gt;"etf",_xll.YCP("M:"&amp; $A488,"quarterly_total_return",'Database Query'!$E$14))</f>
        <v>ERR: INVALID ASSET</v>
      </c>
      <c r="I488" s="2" t="e" cm="1">
        <f t="array" aca="1" ref="I488" ca="1">-_xll.YCP($E488,"quarterly_return",'Database Query'!$E$14)+H488</f>
        <v>#VALUE!</v>
      </c>
      <c r="J488" s="2" t="str" cm="1">
        <f t="array" aca="1" ref="J488" ca="1">_xlfn.IFS($B488="etf", _xll.YCP($A488,"ytd_total_return",'Database Query'!$E$14),$B488&lt;&gt;"etf",_xll.YCP("M:"&amp; $A488,"ytd_total_return",'Database Query'!$E$14))</f>
        <v>ERR: INVALID ASSET</v>
      </c>
      <c r="K488" s="2" t="e" cm="1">
        <f t="array" aca="1" ref="K488" ca="1">-_xll.YCP($E488,"ytd_return",'Database Query'!$E$14)+J488</f>
        <v>#VALUE!</v>
      </c>
      <c r="L488" s="2" t="str" cm="1">
        <f t="array" aca="1" ref="L488" ca="1">_xlfn.IFS($B488="etf", _xll.YCP($A488,"one_year_total_return",'Database Query'!$E$14),$B488&lt;&gt;"etf",_xll.YCP("M:"&amp; $A488,"one_year_total_return",'Database Query'!$E$14))</f>
        <v>ERR: INVALID ASSET</v>
      </c>
      <c r="M488" s="2" t="e" cm="1">
        <f t="array" aca="1" ref="M488" ca="1">-_xll.YCP($E488,"one_year_return",'Database Query'!$E$14)+L488</f>
        <v>#VALUE!</v>
      </c>
      <c r="N488" s="2" t="str" cm="1">
        <f t="array" aca="1" ref="N488" ca="1">_xlfn.IFS($B488="etf", _xll.YCP($A488,"three_year_total_return",'Database Query'!$E$14),$B488&lt;&gt;"etf",_xll.YCP("M:"&amp; $A488,"three_year_total_return",'Database Query'!$E$14))</f>
        <v>ERR: INVALID ASSET</v>
      </c>
      <c r="O488" s="2" t="e" cm="1">
        <f t="array" aca="1" ref="O488" ca="1">-_xll.YCP($E488,"three_year_return",'Database Query'!$E$14)+N488</f>
        <v>#VALUE!</v>
      </c>
      <c r="P488" s="2" t="str" cm="1">
        <f t="array" aca="1" ref="P488" ca="1">_xlfn.IFS($B488="etf", _xll.YCP($A488,"five_year_total_return",'Database Query'!$E$14),$B488&lt;&gt;"etf",_xll.YCP("M:"&amp; $A488,"five_year_total_return",'Database Query'!$E$14))</f>
        <v>ERR: INVALID ASSET</v>
      </c>
      <c r="Q488" s="2" t="e" cm="1">
        <f t="array" aca="1" ref="Q488" ca="1">-_xll.YCP($E488,"five_year_return",'Database Query'!$E$14)+P488</f>
        <v>#VALUE!</v>
      </c>
    </row>
    <row r="489" spans="2:17" x14ac:dyDescent="0.25">
      <c r="B489" t="str" cm="1">
        <f t="array" aca="1" ref="B489" ca="1">_xll.YCI(A489,"detailed_security_type",TODAY())</f>
        <v/>
      </c>
      <c r="C489" t="str" cm="1">
        <f t="array" aca="1" ref="C489" ca="1">_xlfn.IFS(B489="etf", _xll.YCI(A489, "security_name",TODAY()),B489&lt;&gt;"etf",_xll.YCI("M:" &amp; A489, "security_name",TODAY()))</f>
        <v>ERR: INVALID ASSET</v>
      </c>
      <c r="D489" t="str" cm="1">
        <f t="array" aca="1" ref="D489" ca="1">_xlfn.IFS($B489="etf", _xll.YCI($A489, "ycharts_benchmark_category",TODAY()),$B489&lt;&gt;"etf",_xll.YCI("M:" &amp; $A489, "ycharts_benchmark_category",TODAY()))</f>
        <v>ERR: INVALID ASSET</v>
      </c>
      <c r="E489" t="str" cm="1">
        <f t="array" aca="1" ref="E489" ca="1">_xlfn.IFS($B489="etf", _xll.YCI($A489, "ycharts_benchmark_index_symbol",TODAY()),$B489&lt;&gt;"etf",_xll.YCI("M:" &amp; $A489, "ycharts_benchmark_index_symbol",TODAY()))</f>
        <v>ERR: INVALID ASSET</v>
      </c>
      <c r="F489" t="str" cm="1">
        <f t="array" aca="1" ref="F489" ca="1">_xlfn.IFS($B489="etf", _xll.YCI($E489, "security_name",TODAY()),$B489&lt;&gt;"etf",_xll.YCI( $E489, "security_name",TODAY()))</f>
        <v>ERR: INVALID ASSET</v>
      </c>
      <c r="G489" t="str" cm="1">
        <f t="array" aca="1" ref="G489" ca="1">_xlfn.IFS($B489="etf", _xll.YCI($A489, "prospectus_benchmark_index",TODAY()),$B489&lt;&gt;"etf",_xll.YCI("M:" &amp; $A489, "prospectus_benchmark_index",TODAY()))</f>
        <v>ERR: INVALID ASSET</v>
      </c>
      <c r="H489" s="2" t="str" cm="1">
        <f t="array" aca="1" ref="H489" ca="1">_xlfn.IFS($B489="etf", _xll.YCP($A489,"quarterly_total_return",'Database Query'!$E$14),$B489&lt;&gt;"etf",_xll.YCP("M:"&amp; $A489,"quarterly_total_return",'Database Query'!$E$14))</f>
        <v>ERR: INVALID ASSET</v>
      </c>
      <c r="I489" s="2" t="e" cm="1">
        <f t="array" aca="1" ref="I489" ca="1">-_xll.YCP($E489,"quarterly_return",'Database Query'!$E$14)+H489</f>
        <v>#VALUE!</v>
      </c>
      <c r="J489" s="2" t="str" cm="1">
        <f t="array" aca="1" ref="J489" ca="1">_xlfn.IFS($B489="etf", _xll.YCP($A489,"ytd_total_return",'Database Query'!$E$14),$B489&lt;&gt;"etf",_xll.YCP("M:"&amp; $A489,"ytd_total_return",'Database Query'!$E$14))</f>
        <v>ERR: INVALID ASSET</v>
      </c>
      <c r="K489" s="2" t="e" cm="1">
        <f t="array" aca="1" ref="K489" ca="1">-_xll.YCP($E489,"ytd_return",'Database Query'!$E$14)+J489</f>
        <v>#VALUE!</v>
      </c>
      <c r="L489" s="2" t="str" cm="1">
        <f t="array" aca="1" ref="L489" ca="1">_xlfn.IFS($B489="etf", _xll.YCP($A489,"one_year_total_return",'Database Query'!$E$14),$B489&lt;&gt;"etf",_xll.YCP("M:"&amp; $A489,"one_year_total_return",'Database Query'!$E$14))</f>
        <v>ERR: INVALID ASSET</v>
      </c>
      <c r="M489" s="2" t="e" cm="1">
        <f t="array" aca="1" ref="M489" ca="1">-_xll.YCP($E489,"one_year_return",'Database Query'!$E$14)+L489</f>
        <v>#VALUE!</v>
      </c>
      <c r="N489" s="2" t="str" cm="1">
        <f t="array" aca="1" ref="N489" ca="1">_xlfn.IFS($B489="etf", _xll.YCP($A489,"three_year_total_return",'Database Query'!$E$14),$B489&lt;&gt;"etf",_xll.YCP("M:"&amp; $A489,"three_year_total_return",'Database Query'!$E$14))</f>
        <v>ERR: INVALID ASSET</v>
      </c>
      <c r="O489" s="2" t="e" cm="1">
        <f t="array" aca="1" ref="O489" ca="1">-_xll.YCP($E489,"three_year_return",'Database Query'!$E$14)+N489</f>
        <v>#VALUE!</v>
      </c>
      <c r="P489" s="2" t="str" cm="1">
        <f t="array" aca="1" ref="P489" ca="1">_xlfn.IFS($B489="etf", _xll.YCP($A489,"five_year_total_return",'Database Query'!$E$14),$B489&lt;&gt;"etf",_xll.YCP("M:"&amp; $A489,"five_year_total_return",'Database Query'!$E$14))</f>
        <v>ERR: INVALID ASSET</v>
      </c>
      <c r="Q489" s="2" t="e" cm="1">
        <f t="array" aca="1" ref="Q489" ca="1">-_xll.YCP($E489,"five_year_return",'Database Query'!$E$14)+P489</f>
        <v>#VALUE!</v>
      </c>
    </row>
    <row r="490" spans="2:17" x14ac:dyDescent="0.25">
      <c r="B490" t="str" cm="1">
        <f t="array" aca="1" ref="B490" ca="1">_xll.YCI(A490,"detailed_security_type",TODAY())</f>
        <v/>
      </c>
      <c r="C490" t="str" cm="1">
        <f t="array" aca="1" ref="C490" ca="1">_xlfn.IFS(B490="etf", _xll.YCI(A490, "security_name",TODAY()),B490&lt;&gt;"etf",_xll.YCI("M:" &amp; A490, "security_name",TODAY()))</f>
        <v>ERR: INVALID ASSET</v>
      </c>
      <c r="D490" t="str" cm="1">
        <f t="array" aca="1" ref="D490" ca="1">_xlfn.IFS($B490="etf", _xll.YCI($A490, "ycharts_benchmark_category",TODAY()),$B490&lt;&gt;"etf",_xll.YCI("M:" &amp; $A490, "ycharts_benchmark_category",TODAY()))</f>
        <v>ERR: INVALID ASSET</v>
      </c>
      <c r="E490" t="str" cm="1">
        <f t="array" aca="1" ref="E490" ca="1">_xlfn.IFS($B490="etf", _xll.YCI($A490, "ycharts_benchmark_index_symbol",TODAY()),$B490&lt;&gt;"etf",_xll.YCI("M:" &amp; $A490, "ycharts_benchmark_index_symbol",TODAY()))</f>
        <v>ERR: INVALID ASSET</v>
      </c>
      <c r="F490" t="str" cm="1">
        <f t="array" aca="1" ref="F490" ca="1">_xlfn.IFS($B490="etf", _xll.YCI($E490, "security_name",TODAY()),$B490&lt;&gt;"etf",_xll.YCI( $E490, "security_name",TODAY()))</f>
        <v>ERR: INVALID ASSET</v>
      </c>
      <c r="G490" t="str" cm="1">
        <f t="array" aca="1" ref="G490" ca="1">_xlfn.IFS($B490="etf", _xll.YCI($A490, "prospectus_benchmark_index",TODAY()),$B490&lt;&gt;"etf",_xll.YCI("M:" &amp; $A490, "prospectus_benchmark_index",TODAY()))</f>
        <v>ERR: INVALID ASSET</v>
      </c>
      <c r="H490" s="2" t="str" cm="1">
        <f t="array" aca="1" ref="H490" ca="1">_xlfn.IFS($B490="etf", _xll.YCP($A490,"quarterly_total_return",'Database Query'!$E$14),$B490&lt;&gt;"etf",_xll.YCP("M:"&amp; $A490,"quarterly_total_return",'Database Query'!$E$14))</f>
        <v>ERR: INVALID ASSET</v>
      </c>
      <c r="I490" s="2" t="e" cm="1">
        <f t="array" aca="1" ref="I490" ca="1">-_xll.YCP($E490,"quarterly_return",'Database Query'!$E$14)+H490</f>
        <v>#VALUE!</v>
      </c>
      <c r="J490" s="2" t="str" cm="1">
        <f t="array" aca="1" ref="J490" ca="1">_xlfn.IFS($B490="etf", _xll.YCP($A490,"ytd_total_return",'Database Query'!$E$14),$B490&lt;&gt;"etf",_xll.YCP("M:"&amp; $A490,"ytd_total_return",'Database Query'!$E$14))</f>
        <v>ERR: INVALID ASSET</v>
      </c>
      <c r="K490" s="2" t="e" cm="1">
        <f t="array" aca="1" ref="K490" ca="1">-_xll.YCP($E490,"ytd_return",'Database Query'!$E$14)+J490</f>
        <v>#VALUE!</v>
      </c>
      <c r="L490" s="2" t="str" cm="1">
        <f t="array" aca="1" ref="L490" ca="1">_xlfn.IFS($B490="etf", _xll.YCP($A490,"one_year_total_return",'Database Query'!$E$14),$B490&lt;&gt;"etf",_xll.YCP("M:"&amp; $A490,"one_year_total_return",'Database Query'!$E$14))</f>
        <v>ERR: INVALID ASSET</v>
      </c>
      <c r="M490" s="2" t="e" cm="1">
        <f t="array" aca="1" ref="M490" ca="1">-_xll.YCP($E490,"one_year_return",'Database Query'!$E$14)+L490</f>
        <v>#VALUE!</v>
      </c>
      <c r="N490" s="2" t="str" cm="1">
        <f t="array" aca="1" ref="N490" ca="1">_xlfn.IFS($B490="etf", _xll.YCP($A490,"three_year_total_return",'Database Query'!$E$14),$B490&lt;&gt;"etf",_xll.YCP("M:"&amp; $A490,"three_year_total_return",'Database Query'!$E$14))</f>
        <v>ERR: INVALID ASSET</v>
      </c>
      <c r="O490" s="2" t="e" cm="1">
        <f t="array" aca="1" ref="O490" ca="1">-_xll.YCP($E490,"three_year_return",'Database Query'!$E$14)+N490</f>
        <v>#VALUE!</v>
      </c>
      <c r="P490" s="2" t="str" cm="1">
        <f t="array" aca="1" ref="P490" ca="1">_xlfn.IFS($B490="etf", _xll.YCP($A490,"five_year_total_return",'Database Query'!$E$14),$B490&lt;&gt;"etf",_xll.YCP("M:"&amp; $A490,"five_year_total_return",'Database Query'!$E$14))</f>
        <v>ERR: INVALID ASSET</v>
      </c>
      <c r="Q490" s="2" t="e" cm="1">
        <f t="array" aca="1" ref="Q490" ca="1">-_xll.YCP($E490,"five_year_return",'Database Query'!$E$14)+P490</f>
        <v>#VALUE!</v>
      </c>
    </row>
    <row r="491" spans="2:17" x14ac:dyDescent="0.25">
      <c r="B491" t="str" cm="1">
        <f t="array" aca="1" ref="B491" ca="1">_xll.YCI(A491,"detailed_security_type",TODAY())</f>
        <v/>
      </c>
      <c r="C491" t="str" cm="1">
        <f t="array" aca="1" ref="C491" ca="1">_xlfn.IFS(B491="etf", _xll.YCI(A491, "security_name",TODAY()),B491&lt;&gt;"etf",_xll.YCI("M:" &amp; A491, "security_name",TODAY()))</f>
        <v>ERR: INVALID ASSET</v>
      </c>
      <c r="D491" t="str" cm="1">
        <f t="array" aca="1" ref="D491" ca="1">_xlfn.IFS($B491="etf", _xll.YCI($A491, "ycharts_benchmark_category",TODAY()),$B491&lt;&gt;"etf",_xll.YCI("M:" &amp; $A491, "ycharts_benchmark_category",TODAY()))</f>
        <v>ERR: INVALID ASSET</v>
      </c>
      <c r="E491" t="str" cm="1">
        <f t="array" aca="1" ref="E491" ca="1">_xlfn.IFS($B491="etf", _xll.YCI($A491, "ycharts_benchmark_index_symbol",TODAY()),$B491&lt;&gt;"etf",_xll.YCI("M:" &amp; $A491, "ycharts_benchmark_index_symbol",TODAY()))</f>
        <v>ERR: INVALID ASSET</v>
      </c>
      <c r="F491" t="str" cm="1">
        <f t="array" aca="1" ref="F491" ca="1">_xlfn.IFS($B491="etf", _xll.YCI($E491, "security_name",TODAY()),$B491&lt;&gt;"etf",_xll.YCI( $E491, "security_name",TODAY()))</f>
        <v>ERR: INVALID ASSET</v>
      </c>
      <c r="G491" t="str" cm="1">
        <f t="array" aca="1" ref="G491" ca="1">_xlfn.IFS($B491="etf", _xll.YCI($A491, "prospectus_benchmark_index",TODAY()),$B491&lt;&gt;"etf",_xll.YCI("M:" &amp; $A491, "prospectus_benchmark_index",TODAY()))</f>
        <v>ERR: INVALID ASSET</v>
      </c>
      <c r="H491" s="2" t="str" cm="1">
        <f t="array" aca="1" ref="H491" ca="1">_xlfn.IFS($B491="etf", _xll.YCP($A491,"quarterly_total_return",'Database Query'!$E$14),$B491&lt;&gt;"etf",_xll.YCP("M:"&amp; $A491,"quarterly_total_return",'Database Query'!$E$14))</f>
        <v>ERR: INVALID ASSET</v>
      </c>
      <c r="I491" s="2" t="e" cm="1">
        <f t="array" aca="1" ref="I491" ca="1">-_xll.YCP($E491,"quarterly_return",'Database Query'!$E$14)+H491</f>
        <v>#VALUE!</v>
      </c>
      <c r="J491" s="2" t="str" cm="1">
        <f t="array" aca="1" ref="J491" ca="1">_xlfn.IFS($B491="etf", _xll.YCP($A491,"ytd_total_return",'Database Query'!$E$14),$B491&lt;&gt;"etf",_xll.YCP("M:"&amp; $A491,"ytd_total_return",'Database Query'!$E$14))</f>
        <v>ERR: INVALID ASSET</v>
      </c>
      <c r="K491" s="2" t="e" cm="1">
        <f t="array" aca="1" ref="K491" ca="1">-_xll.YCP($E491,"ytd_return",'Database Query'!$E$14)+J491</f>
        <v>#VALUE!</v>
      </c>
      <c r="L491" s="2" t="str" cm="1">
        <f t="array" aca="1" ref="L491" ca="1">_xlfn.IFS($B491="etf", _xll.YCP($A491,"one_year_total_return",'Database Query'!$E$14),$B491&lt;&gt;"etf",_xll.YCP("M:"&amp; $A491,"one_year_total_return",'Database Query'!$E$14))</f>
        <v>ERR: INVALID ASSET</v>
      </c>
      <c r="M491" s="2" t="e" cm="1">
        <f t="array" aca="1" ref="M491" ca="1">-_xll.YCP($E491,"one_year_return",'Database Query'!$E$14)+L491</f>
        <v>#VALUE!</v>
      </c>
      <c r="N491" s="2" t="str" cm="1">
        <f t="array" aca="1" ref="N491" ca="1">_xlfn.IFS($B491="etf", _xll.YCP($A491,"three_year_total_return",'Database Query'!$E$14),$B491&lt;&gt;"etf",_xll.YCP("M:"&amp; $A491,"three_year_total_return",'Database Query'!$E$14))</f>
        <v>ERR: INVALID ASSET</v>
      </c>
      <c r="O491" s="2" t="e" cm="1">
        <f t="array" aca="1" ref="O491" ca="1">-_xll.YCP($E491,"three_year_return",'Database Query'!$E$14)+N491</f>
        <v>#VALUE!</v>
      </c>
      <c r="P491" s="2" t="str" cm="1">
        <f t="array" aca="1" ref="P491" ca="1">_xlfn.IFS($B491="etf", _xll.YCP($A491,"five_year_total_return",'Database Query'!$E$14),$B491&lt;&gt;"etf",_xll.YCP("M:"&amp; $A491,"five_year_total_return",'Database Query'!$E$14))</f>
        <v>ERR: INVALID ASSET</v>
      </c>
      <c r="Q491" s="2" t="e" cm="1">
        <f t="array" aca="1" ref="Q491" ca="1">-_xll.YCP($E491,"five_year_return",'Database Query'!$E$14)+P491</f>
        <v>#VALUE!</v>
      </c>
    </row>
    <row r="492" spans="2:17" x14ac:dyDescent="0.25">
      <c r="B492" t="str" cm="1">
        <f t="array" aca="1" ref="B492" ca="1">_xll.YCI(A492,"detailed_security_type",TODAY())</f>
        <v/>
      </c>
      <c r="C492" t="str" cm="1">
        <f t="array" aca="1" ref="C492" ca="1">_xlfn.IFS(B492="etf", _xll.YCI(A492, "security_name",TODAY()),B492&lt;&gt;"etf",_xll.YCI("M:" &amp; A492, "security_name",TODAY()))</f>
        <v>ERR: INVALID ASSET</v>
      </c>
      <c r="D492" t="str" cm="1">
        <f t="array" aca="1" ref="D492" ca="1">_xlfn.IFS($B492="etf", _xll.YCI($A492, "ycharts_benchmark_category",TODAY()),$B492&lt;&gt;"etf",_xll.YCI("M:" &amp; $A492, "ycharts_benchmark_category",TODAY()))</f>
        <v>ERR: INVALID ASSET</v>
      </c>
      <c r="E492" t="str" cm="1">
        <f t="array" aca="1" ref="E492" ca="1">_xlfn.IFS($B492="etf", _xll.YCI($A492, "ycharts_benchmark_index_symbol",TODAY()),$B492&lt;&gt;"etf",_xll.YCI("M:" &amp; $A492, "ycharts_benchmark_index_symbol",TODAY()))</f>
        <v>ERR: INVALID ASSET</v>
      </c>
      <c r="F492" t="str" cm="1">
        <f t="array" aca="1" ref="F492" ca="1">_xlfn.IFS($B492="etf", _xll.YCI($E492, "security_name",TODAY()),$B492&lt;&gt;"etf",_xll.YCI( $E492, "security_name",TODAY()))</f>
        <v>ERR: INVALID ASSET</v>
      </c>
      <c r="G492" t="str" cm="1">
        <f t="array" aca="1" ref="G492" ca="1">_xlfn.IFS($B492="etf", _xll.YCI($A492, "prospectus_benchmark_index",TODAY()),$B492&lt;&gt;"etf",_xll.YCI("M:" &amp; $A492, "prospectus_benchmark_index",TODAY()))</f>
        <v>ERR: INVALID ASSET</v>
      </c>
      <c r="H492" s="2" t="str" cm="1">
        <f t="array" aca="1" ref="H492" ca="1">_xlfn.IFS($B492="etf", _xll.YCP($A492,"quarterly_total_return",'Database Query'!$E$14),$B492&lt;&gt;"etf",_xll.YCP("M:"&amp; $A492,"quarterly_total_return",'Database Query'!$E$14))</f>
        <v>ERR: INVALID ASSET</v>
      </c>
      <c r="I492" s="2" t="e" cm="1">
        <f t="array" aca="1" ref="I492" ca="1">-_xll.YCP($E492,"quarterly_return",'Database Query'!$E$14)+H492</f>
        <v>#VALUE!</v>
      </c>
      <c r="J492" s="2" t="str" cm="1">
        <f t="array" aca="1" ref="J492" ca="1">_xlfn.IFS($B492="etf", _xll.YCP($A492,"ytd_total_return",'Database Query'!$E$14),$B492&lt;&gt;"etf",_xll.YCP("M:"&amp; $A492,"ytd_total_return",'Database Query'!$E$14))</f>
        <v>ERR: INVALID ASSET</v>
      </c>
      <c r="K492" s="2" t="e" cm="1">
        <f t="array" aca="1" ref="K492" ca="1">-_xll.YCP($E492,"ytd_return",'Database Query'!$E$14)+J492</f>
        <v>#VALUE!</v>
      </c>
      <c r="L492" s="2" t="str" cm="1">
        <f t="array" aca="1" ref="L492" ca="1">_xlfn.IFS($B492="etf", _xll.YCP($A492,"one_year_total_return",'Database Query'!$E$14),$B492&lt;&gt;"etf",_xll.YCP("M:"&amp; $A492,"one_year_total_return",'Database Query'!$E$14))</f>
        <v>ERR: INVALID ASSET</v>
      </c>
      <c r="M492" s="2" t="e" cm="1">
        <f t="array" aca="1" ref="M492" ca="1">-_xll.YCP($E492,"one_year_return",'Database Query'!$E$14)+L492</f>
        <v>#VALUE!</v>
      </c>
      <c r="N492" s="2" t="str" cm="1">
        <f t="array" aca="1" ref="N492" ca="1">_xlfn.IFS($B492="etf", _xll.YCP($A492,"three_year_total_return",'Database Query'!$E$14),$B492&lt;&gt;"etf",_xll.YCP("M:"&amp; $A492,"three_year_total_return",'Database Query'!$E$14))</f>
        <v>ERR: INVALID ASSET</v>
      </c>
      <c r="O492" s="2" t="e" cm="1">
        <f t="array" aca="1" ref="O492" ca="1">-_xll.YCP($E492,"three_year_return",'Database Query'!$E$14)+N492</f>
        <v>#VALUE!</v>
      </c>
      <c r="P492" s="2" t="str" cm="1">
        <f t="array" aca="1" ref="P492" ca="1">_xlfn.IFS($B492="etf", _xll.YCP($A492,"five_year_total_return",'Database Query'!$E$14),$B492&lt;&gt;"etf",_xll.YCP("M:"&amp; $A492,"five_year_total_return",'Database Query'!$E$14))</f>
        <v>ERR: INVALID ASSET</v>
      </c>
      <c r="Q492" s="2" t="e" cm="1">
        <f t="array" aca="1" ref="Q492" ca="1">-_xll.YCP($E492,"five_year_return",'Database Query'!$E$14)+P492</f>
        <v>#VALUE!</v>
      </c>
    </row>
    <row r="493" spans="2:17" x14ac:dyDescent="0.25">
      <c r="B493" t="str" cm="1">
        <f t="array" aca="1" ref="B493" ca="1">_xll.YCI(A493,"detailed_security_type",TODAY())</f>
        <v/>
      </c>
      <c r="C493" t="str" cm="1">
        <f t="array" aca="1" ref="C493" ca="1">_xlfn.IFS(B493="etf", _xll.YCI(A493, "security_name",TODAY()),B493&lt;&gt;"etf",_xll.YCI("M:" &amp; A493, "security_name",TODAY()))</f>
        <v>ERR: INVALID ASSET</v>
      </c>
      <c r="D493" t="str" cm="1">
        <f t="array" aca="1" ref="D493" ca="1">_xlfn.IFS($B493="etf", _xll.YCI($A493, "ycharts_benchmark_category",TODAY()),$B493&lt;&gt;"etf",_xll.YCI("M:" &amp; $A493, "ycharts_benchmark_category",TODAY()))</f>
        <v>ERR: INVALID ASSET</v>
      </c>
      <c r="E493" t="str" cm="1">
        <f t="array" aca="1" ref="E493" ca="1">_xlfn.IFS($B493="etf", _xll.YCI($A493, "ycharts_benchmark_index_symbol",TODAY()),$B493&lt;&gt;"etf",_xll.YCI("M:" &amp; $A493, "ycharts_benchmark_index_symbol",TODAY()))</f>
        <v>ERR: INVALID ASSET</v>
      </c>
      <c r="F493" t="str" cm="1">
        <f t="array" aca="1" ref="F493" ca="1">_xlfn.IFS($B493="etf", _xll.YCI($E493, "security_name",TODAY()),$B493&lt;&gt;"etf",_xll.YCI( $E493, "security_name",TODAY()))</f>
        <v>ERR: INVALID ASSET</v>
      </c>
      <c r="G493" t="str" cm="1">
        <f t="array" aca="1" ref="G493" ca="1">_xlfn.IFS($B493="etf", _xll.YCI($A493, "prospectus_benchmark_index",TODAY()),$B493&lt;&gt;"etf",_xll.YCI("M:" &amp; $A493, "prospectus_benchmark_index",TODAY()))</f>
        <v>ERR: INVALID ASSET</v>
      </c>
      <c r="H493" s="2" t="str" cm="1">
        <f t="array" aca="1" ref="H493" ca="1">_xlfn.IFS($B493="etf", _xll.YCP($A493,"quarterly_total_return",'Database Query'!$E$14),$B493&lt;&gt;"etf",_xll.YCP("M:"&amp; $A493,"quarterly_total_return",'Database Query'!$E$14))</f>
        <v>ERR: INVALID ASSET</v>
      </c>
      <c r="I493" s="2" t="e" cm="1">
        <f t="array" aca="1" ref="I493" ca="1">-_xll.YCP($E493,"quarterly_return",'Database Query'!$E$14)+H493</f>
        <v>#VALUE!</v>
      </c>
      <c r="J493" s="2" t="str" cm="1">
        <f t="array" aca="1" ref="J493" ca="1">_xlfn.IFS($B493="etf", _xll.YCP($A493,"ytd_total_return",'Database Query'!$E$14),$B493&lt;&gt;"etf",_xll.YCP("M:"&amp; $A493,"ytd_total_return",'Database Query'!$E$14))</f>
        <v>ERR: INVALID ASSET</v>
      </c>
      <c r="K493" s="2" t="e" cm="1">
        <f t="array" aca="1" ref="K493" ca="1">-_xll.YCP($E493,"ytd_return",'Database Query'!$E$14)+J493</f>
        <v>#VALUE!</v>
      </c>
      <c r="L493" s="2" t="str" cm="1">
        <f t="array" aca="1" ref="L493" ca="1">_xlfn.IFS($B493="etf", _xll.YCP($A493,"one_year_total_return",'Database Query'!$E$14),$B493&lt;&gt;"etf",_xll.YCP("M:"&amp; $A493,"one_year_total_return",'Database Query'!$E$14))</f>
        <v>ERR: INVALID ASSET</v>
      </c>
      <c r="M493" s="2" t="e" cm="1">
        <f t="array" aca="1" ref="M493" ca="1">-_xll.YCP($E493,"one_year_return",'Database Query'!$E$14)+L493</f>
        <v>#VALUE!</v>
      </c>
      <c r="N493" s="2" t="str" cm="1">
        <f t="array" aca="1" ref="N493" ca="1">_xlfn.IFS($B493="etf", _xll.YCP($A493,"three_year_total_return",'Database Query'!$E$14),$B493&lt;&gt;"etf",_xll.YCP("M:"&amp; $A493,"three_year_total_return",'Database Query'!$E$14))</f>
        <v>ERR: INVALID ASSET</v>
      </c>
      <c r="O493" s="2" t="e" cm="1">
        <f t="array" aca="1" ref="O493" ca="1">-_xll.YCP($E493,"three_year_return",'Database Query'!$E$14)+N493</f>
        <v>#VALUE!</v>
      </c>
      <c r="P493" s="2" t="str" cm="1">
        <f t="array" aca="1" ref="P493" ca="1">_xlfn.IFS($B493="etf", _xll.YCP($A493,"five_year_total_return",'Database Query'!$E$14),$B493&lt;&gt;"etf",_xll.YCP("M:"&amp; $A493,"five_year_total_return",'Database Query'!$E$14))</f>
        <v>ERR: INVALID ASSET</v>
      </c>
      <c r="Q493" s="2" t="e" cm="1">
        <f t="array" aca="1" ref="Q493" ca="1">-_xll.YCP($E493,"five_year_return",'Database Query'!$E$14)+P493</f>
        <v>#VALUE!</v>
      </c>
    </row>
    <row r="494" spans="2:17" x14ac:dyDescent="0.25">
      <c r="B494" t="str" cm="1">
        <f t="array" aca="1" ref="B494" ca="1">_xll.YCI(A494,"detailed_security_type",TODAY())</f>
        <v/>
      </c>
      <c r="C494" t="str" cm="1">
        <f t="array" aca="1" ref="C494" ca="1">_xlfn.IFS(B494="etf", _xll.YCI(A494, "security_name",TODAY()),B494&lt;&gt;"etf",_xll.YCI("M:" &amp; A494, "security_name",TODAY()))</f>
        <v>ERR: INVALID ASSET</v>
      </c>
      <c r="D494" t="str" cm="1">
        <f t="array" aca="1" ref="D494" ca="1">_xlfn.IFS($B494="etf", _xll.YCI($A494, "ycharts_benchmark_category",TODAY()),$B494&lt;&gt;"etf",_xll.YCI("M:" &amp; $A494, "ycharts_benchmark_category",TODAY()))</f>
        <v>ERR: INVALID ASSET</v>
      </c>
      <c r="E494" t="str" cm="1">
        <f t="array" aca="1" ref="E494" ca="1">_xlfn.IFS($B494="etf", _xll.YCI($A494, "ycharts_benchmark_index_symbol",TODAY()),$B494&lt;&gt;"etf",_xll.YCI("M:" &amp; $A494, "ycharts_benchmark_index_symbol",TODAY()))</f>
        <v>ERR: INVALID ASSET</v>
      </c>
      <c r="F494" t="str" cm="1">
        <f t="array" aca="1" ref="F494" ca="1">_xlfn.IFS($B494="etf", _xll.YCI($E494, "security_name",TODAY()),$B494&lt;&gt;"etf",_xll.YCI( $E494, "security_name",TODAY()))</f>
        <v>ERR: INVALID ASSET</v>
      </c>
      <c r="G494" t="str" cm="1">
        <f t="array" aca="1" ref="G494" ca="1">_xlfn.IFS($B494="etf", _xll.YCI($A494, "prospectus_benchmark_index",TODAY()),$B494&lt;&gt;"etf",_xll.YCI("M:" &amp; $A494, "prospectus_benchmark_index",TODAY()))</f>
        <v>ERR: INVALID ASSET</v>
      </c>
      <c r="H494" s="2" t="str" cm="1">
        <f t="array" aca="1" ref="H494" ca="1">_xlfn.IFS($B494="etf", _xll.YCP($A494,"quarterly_total_return",'Database Query'!$E$14),$B494&lt;&gt;"etf",_xll.YCP("M:"&amp; $A494,"quarterly_total_return",'Database Query'!$E$14))</f>
        <v>ERR: INVALID ASSET</v>
      </c>
      <c r="I494" s="2" t="e" cm="1">
        <f t="array" aca="1" ref="I494" ca="1">-_xll.YCP($E494,"quarterly_return",'Database Query'!$E$14)+H494</f>
        <v>#VALUE!</v>
      </c>
      <c r="J494" s="2" t="str" cm="1">
        <f t="array" aca="1" ref="J494" ca="1">_xlfn.IFS($B494="etf", _xll.YCP($A494,"ytd_total_return",'Database Query'!$E$14),$B494&lt;&gt;"etf",_xll.YCP("M:"&amp; $A494,"ytd_total_return",'Database Query'!$E$14))</f>
        <v>ERR: INVALID ASSET</v>
      </c>
      <c r="K494" s="2" t="e" cm="1">
        <f t="array" aca="1" ref="K494" ca="1">-_xll.YCP($E494,"ytd_return",'Database Query'!$E$14)+J494</f>
        <v>#VALUE!</v>
      </c>
      <c r="L494" s="2" t="str" cm="1">
        <f t="array" aca="1" ref="L494" ca="1">_xlfn.IFS($B494="etf", _xll.YCP($A494,"one_year_total_return",'Database Query'!$E$14),$B494&lt;&gt;"etf",_xll.YCP("M:"&amp; $A494,"one_year_total_return",'Database Query'!$E$14))</f>
        <v>ERR: INVALID ASSET</v>
      </c>
      <c r="M494" s="2" t="e" cm="1">
        <f t="array" aca="1" ref="M494" ca="1">-_xll.YCP($E494,"one_year_return",'Database Query'!$E$14)+L494</f>
        <v>#VALUE!</v>
      </c>
      <c r="N494" s="2" t="str" cm="1">
        <f t="array" aca="1" ref="N494" ca="1">_xlfn.IFS($B494="etf", _xll.YCP($A494,"three_year_total_return",'Database Query'!$E$14),$B494&lt;&gt;"etf",_xll.YCP("M:"&amp; $A494,"three_year_total_return",'Database Query'!$E$14))</f>
        <v>ERR: INVALID ASSET</v>
      </c>
      <c r="O494" s="2" t="e" cm="1">
        <f t="array" aca="1" ref="O494" ca="1">-_xll.YCP($E494,"three_year_return",'Database Query'!$E$14)+N494</f>
        <v>#VALUE!</v>
      </c>
      <c r="P494" s="2" t="str" cm="1">
        <f t="array" aca="1" ref="P494" ca="1">_xlfn.IFS($B494="etf", _xll.YCP($A494,"five_year_total_return",'Database Query'!$E$14),$B494&lt;&gt;"etf",_xll.YCP("M:"&amp; $A494,"five_year_total_return",'Database Query'!$E$14))</f>
        <v>ERR: INVALID ASSET</v>
      </c>
      <c r="Q494" s="2" t="e" cm="1">
        <f t="array" aca="1" ref="Q494" ca="1">-_xll.YCP($E494,"five_year_return",'Database Query'!$E$14)+P494</f>
        <v>#VALUE!</v>
      </c>
    </row>
    <row r="495" spans="2:17" x14ac:dyDescent="0.25">
      <c r="B495" t="str" cm="1">
        <f t="array" aca="1" ref="B495" ca="1">_xll.YCI(A495,"detailed_security_type",TODAY())</f>
        <v/>
      </c>
      <c r="C495" t="str" cm="1">
        <f t="array" aca="1" ref="C495" ca="1">_xlfn.IFS(B495="etf", _xll.YCI(A495, "security_name",TODAY()),B495&lt;&gt;"etf",_xll.YCI("M:" &amp; A495, "security_name",TODAY()))</f>
        <v>ERR: INVALID ASSET</v>
      </c>
      <c r="D495" t="str" cm="1">
        <f t="array" aca="1" ref="D495" ca="1">_xlfn.IFS($B495="etf", _xll.YCI($A495, "ycharts_benchmark_category",TODAY()),$B495&lt;&gt;"etf",_xll.YCI("M:" &amp; $A495, "ycharts_benchmark_category",TODAY()))</f>
        <v>ERR: INVALID ASSET</v>
      </c>
      <c r="E495" t="str" cm="1">
        <f t="array" aca="1" ref="E495" ca="1">_xlfn.IFS($B495="etf", _xll.YCI($A495, "ycharts_benchmark_index_symbol",TODAY()),$B495&lt;&gt;"etf",_xll.YCI("M:" &amp; $A495, "ycharts_benchmark_index_symbol",TODAY()))</f>
        <v>ERR: INVALID ASSET</v>
      </c>
      <c r="F495" t="str" cm="1">
        <f t="array" aca="1" ref="F495" ca="1">_xlfn.IFS($B495="etf", _xll.YCI($E495, "security_name",TODAY()),$B495&lt;&gt;"etf",_xll.YCI( $E495, "security_name",TODAY()))</f>
        <v>ERR: INVALID ASSET</v>
      </c>
      <c r="G495" t="str" cm="1">
        <f t="array" aca="1" ref="G495" ca="1">_xlfn.IFS($B495="etf", _xll.YCI($A495, "prospectus_benchmark_index",TODAY()),$B495&lt;&gt;"etf",_xll.YCI("M:" &amp; $A495, "prospectus_benchmark_index",TODAY()))</f>
        <v>ERR: INVALID ASSET</v>
      </c>
      <c r="H495" s="2" t="str" cm="1">
        <f t="array" aca="1" ref="H495" ca="1">_xlfn.IFS($B495="etf", _xll.YCP($A495,"quarterly_total_return",'Database Query'!$E$14),$B495&lt;&gt;"etf",_xll.YCP("M:"&amp; $A495,"quarterly_total_return",'Database Query'!$E$14))</f>
        <v>ERR: INVALID ASSET</v>
      </c>
      <c r="I495" s="2" t="e" cm="1">
        <f t="array" aca="1" ref="I495" ca="1">-_xll.YCP($E495,"quarterly_return",'Database Query'!$E$14)+H495</f>
        <v>#VALUE!</v>
      </c>
      <c r="J495" s="2" t="str" cm="1">
        <f t="array" aca="1" ref="J495" ca="1">_xlfn.IFS($B495="etf", _xll.YCP($A495,"ytd_total_return",'Database Query'!$E$14),$B495&lt;&gt;"etf",_xll.YCP("M:"&amp; $A495,"ytd_total_return",'Database Query'!$E$14))</f>
        <v>ERR: INVALID ASSET</v>
      </c>
      <c r="K495" s="2" t="e" cm="1">
        <f t="array" aca="1" ref="K495" ca="1">-_xll.YCP($E495,"ytd_return",'Database Query'!$E$14)+J495</f>
        <v>#VALUE!</v>
      </c>
      <c r="L495" s="2" t="str" cm="1">
        <f t="array" aca="1" ref="L495" ca="1">_xlfn.IFS($B495="etf", _xll.YCP($A495,"one_year_total_return",'Database Query'!$E$14),$B495&lt;&gt;"etf",_xll.YCP("M:"&amp; $A495,"one_year_total_return",'Database Query'!$E$14))</f>
        <v>ERR: INVALID ASSET</v>
      </c>
      <c r="M495" s="2" t="e" cm="1">
        <f t="array" aca="1" ref="M495" ca="1">-_xll.YCP($E495,"one_year_return",'Database Query'!$E$14)+L495</f>
        <v>#VALUE!</v>
      </c>
      <c r="N495" s="2" t="str" cm="1">
        <f t="array" aca="1" ref="N495" ca="1">_xlfn.IFS($B495="etf", _xll.YCP($A495,"three_year_total_return",'Database Query'!$E$14),$B495&lt;&gt;"etf",_xll.YCP("M:"&amp; $A495,"three_year_total_return",'Database Query'!$E$14))</f>
        <v>ERR: INVALID ASSET</v>
      </c>
      <c r="O495" s="2" t="e" cm="1">
        <f t="array" aca="1" ref="O495" ca="1">-_xll.YCP($E495,"three_year_return",'Database Query'!$E$14)+N495</f>
        <v>#VALUE!</v>
      </c>
      <c r="P495" s="2" t="str" cm="1">
        <f t="array" aca="1" ref="P495" ca="1">_xlfn.IFS($B495="etf", _xll.YCP($A495,"five_year_total_return",'Database Query'!$E$14),$B495&lt;&gt;"etf",_xll.YCP("M:"&amp; $A495,"five_year_total_return",'Database Query'!$E$14))</f>
        <v>ERR: INVALID ASSET</v>
      </c>
      <c r="Q495" s="2" t="e" cm="1">
        <f t="array" aca="1" ref="Q495" ca="1">-_xll.YCP($E495,"five_year_return",'Database Query'!$E$14)+P495</f>
        <v>#VALUE!</v>
      </c>
    </row>
    <row r="496" spans="2:17" x14ac:dyDescent="0.25">
      <c r="B496" t="str" cm="1">
        <f t="array" aca="1" ref="B496" ca="1">_xll.YCI(A496,"detailed_security_type",TODAY())</f>
        <v/>
      </c>
      <c r="C496" t="str" cm="1">
        <f t="array" aca="1" ref="C496" ca="1">_xlfn.IFS(B496="etf", _xll.YCI(A496, "security_name",TODAY()),B496&lt;&gt;"etf",_xll.YCI("M:" &amp; A496, "security_name",TODAY()))</f>
        <v>ERR: INVALID ASSET</v>
      </c>
      <c r="D496" t="str" cm="1">
        <f t="array" aca="1" ref="D496" ca="1">_xlfn.IFS($B496="etf", _xll.YCI($A496, "ycharts_benchmark_category",TODAY()),$B496&lt;&gt;"etf",_xll.YCI("M:" &amp; $A496, "ycharts_benchmark_category",TODAY()))</f>
        <v>ERR: INVALID ASSET</v>
      </c>
      <c r="E496" t="str" cm="1">
        <f t="array" aca="1" ref="E496" ca="1">_xlfn.IFS($B496="etf", _xll.YCI($A496, "ycharts_benchmark_index_symbol",TODAY()),$B496&lt;&gt;"etf",_xll.YCI("M:" &amp; $A496, "ycharts_benchmark_index_symbol",TODAY()))</f>
        <v>ERR: INVALID ASSET</v>
      </c>
      <c r="F496" t="str" cm="1">
        <f t="array" aca="1" ref="F496" ca="1">_xlfn.IFS($B496="etf", _xll.YCI($E496, "security_name",TODAY()),$B496&lt;&gt;"etf",_xll.YCI( $E496, "security_name",TODAY()))</f>
        <v>ERR: INVALID ASSET</v>
      </c>
      <c r="G496" t="str" cm="1">
        <f t="array" aca="1" ref="G496" ca="1">_xlfn.IFS($B496="etf", _xll.YCI($A496, "prospectus_benchmark_index",TODAY()),$B496&lt;&gt;"etf",_xll.YCI("M:" &amp; $A496, "prospectus_benchmark_index",TODAY()))</f>
        <v>ERR: INVALID ASSET</v>
      </c>
      <c r="H496" s="2" t="str" cm="1">
        <f t="array" aca="1" ref="H496" ca="1">_xlfn.IFS($B496="etf", _xll.YCP($A496,"quarterly_total_return",'Database Query'!$E$14),$B496&lt;&gt;"etf",_xll.YCP("M:"&amp; $A496,"quarterly_total_return",'Database Query'!$E$14))</f>
        <v>ERR: INVALID ASSET</v>
      </c>
      <c r="I496" s="2" t="e" cm="1">
        <f t="array" aca="1" ref="I496" ca="1">-_xll.YCP($E496,"quarterly_return",'Database Query'!$E$14)+H496</f>
        <v>#VALUE!</v>
      </c>
      <c r="J496" s="2" t="str" cm="1">
        <f t="array" aca="1" ref="J496" ca="1">_xlfn.IFS($B496="etf", _xll.YCP($A496,"ytd_total_return",'Database Query'!$E$14),$B496&lt;&gt;"etf",_xll.YCP("M:"&amp; $A496,"ytd_total_return",'Database Query'!$E$14))</f>
        <v>ERR: INVALID ASSET</v>
      </c>
      <c r="K496" s="2" t="e" cm="1">
        <f t="array" aca="1" ref="K496" ca="1">-_xll.YCP($E496,"ytd_return",'Database Query'!$E$14)+J496</f>
        <v>#VALUE!</v>
      </c>
      <c r="L496" s="2" t="str" cm="1">
        <f t="array" aca="1" ref="L496" ca="1">_xlfn.IFS($B496="etf", _xll.YCP($A496,"one_year_total_return",'Database Query'!$E$14),$B496&lt;&gt;"etf",_xll.YCP("M:"&amp; $A496,"one_year_total_return",'Database Query'!$E$14))</f>
        <v>ERR: INVALID ASSET</v>
      </c>
      <c r="M496" s="2" t="e" cm="1">
        <f t="array" aca="1" ref="M496" ca="1">-_xll.YCP($E496,"one_year_return",'Database Query'!$E$14)+L496</f>
        <v>#VALUE!</v>
      </c>
      <c r="N496" s="2" t="str" cm="1">
        <f t="array" aca="1" ref="N496" ca="1">_xlfn.IFS($B496="etf", _xll.YCP($A496,"three_year_total_return",'Database Query'!$E$14),$B496&lt;&gt;"etf",_xll.YCP("M:"&amp; $A496,"three_year_total_return",'Database Query'!$E$14))</f>
        <v>ERR: INVALID ASSET</v>
      </c>
      <c r="O496" s="2" t="e" cm="1">
        <f t="array" aca="1" ref="O496" ca="1">-_xll.YCP($E496,"three_year_return",'Database Query'!$E$14)+N496</f>
        <v>#VALUE!</v>
      </c>
      <c r="P496" s="2" t="str" cm="1">
        <f t="array" aca="1" ref="P496" ca="1">_xlfn.IFS($B496="etf", _xll.YCP($A496,"five_year_total_return",'Database Query'!$E$14),$B496&lt;&gt;"etf",_xll.YCP("M:"&amp; $A496,"five_year_total_return",'Database Query'!$E$14))</f>
        <v>ERR: INVALID ASSET</v>
      </c>
      <c r="Q496" s="2" t="e" cm="1">
        <f t="array" aca="1" ref="Q496" ca="1">-_xll.YCP($E496,"five_year_return",'Database Query'!$E$14)+P496</f>
        <v>#VALUE!</v>
      </c>
    </row>
    <row r="497" spans="2:17" x14ac:dyDescent="0.25">
      <c r="B497" t="str" cm="1">
        <f t="array" aca="1" ref="B497" ca="1">_xll.YCI(A497,"detailed_security_type",TODAY())</f>
        <v/>
      </c>
      <c r="C497" t="str" cm="1">
        <f t="array" aca="1" ref="C497" ca="1">_xlfn.IFS(B497="etf", _xll.YCI(A497, "security_name",TODAY()),B497&lt;&gt;"etf",_xll.YCI("M:" &amp; A497, "security_name",TODAY()))</f>
        <v>ERR: INVALID ASSET</v>
      </c>
      <c r="D497" t="str" cm="1">
        <f t="array" aca="1" ref="D497" ca="1">_xlfn.IFS($B497="etf", _xll.YCI($A497, "ycharts_benchmark_category",TODAY()),$B497&lt;&gt;"etf",_xll.YCI("M:" &amp; $A497, "ycharts_benchmark_category",TODAY()))</f>
        <v>ERR: INVALID ASSET</v>
      </c>
      <c r="E497" t="str" cm="1">
        <f t="array" aca="1" ref="E497" ca="1">_xlfn.IFS($B497="etf", _xll.YCI($A497, "ycharts_benchmark_index_symbol",TODAY()),$B497&lt;&gt;"etf",_xll.YCI("M:" &amp; $A497, "ycharts_benchmark_index_symbol",TODAY()))</f>
        <v>ERR: INVALID ASSET</v>
      </c>
      <c r="F497" t="str" cm="1">
        <f t="array" aca="1" ref="F497" ca="1">_xlfn.IFS($B497="etf", _xll.YCI($E497, "security_name",TODAY()),$B497&lt;&gt;"etf",_xll.YCI( $E497, "security_name",TODAY()))</f>
        <v>ERR: INVALID ASSET</v>
      </c>
      <c r="G497" t="str" cm="1">
        <f t="array" aca="1" ref="G497" ca="1">_xlfn.IFS($B497="etf", _xll.YCI($A497, "prospectus_benchmark_index",TODAY()),$B497&lt;&gt;"etf",_xll.YCI("M:" &amp; $A497, "prospectus_benchmark_index",TODAY()))</f>
        <v>ERR: INVALID ASSET</v>
      </c>
      <c r="H497" s="2" t="str" cm="1">
        <f t="array" aca="1" ref="H497" ca="1">_xlfn.IFS($B497="etf", _xll.YCP($A497,"quarterly_total_return",'Database Query'!$E$14),$B497&lt;&gt;"etf",_xll.YCP("M:"&amp; $A497,"quarterly_total_return",'Database Query'!$E$14))</f>
        <v>ERR: INVALID ASSET</v>
      </c>
      <c r="I497" s="2" t="e" cm="1">
        <f t="array" aca="1" ref="I497" ca="1">-_xll.YCP($E497,"quarterly_return",'Database Query'!$E$14)+H497</f>
        <v>#VALUE!</v>
      </c>
      <c r="J497" s="2" t="str" cm="1">
        <f t="array" aca="1" ref="J497" ca="1">_xlfn.IFS($B497="etf", _xll.YCP($A497,"ytd_total_return",'Database Query'!$E$14),$B497&lt;&gt;"etf",_xll.YCP("M:"&amp; $A497,"ytd_total_return",'Database Query'!$E$14))</f>
        <v>ERR: INVALID ASSET</v>
      </c>
      <c r="K497" s="2" t="e" cm="1">
        <f t="array" aca="1" ref="K497" ca="1">-_xll.YCP($E497,"ytd_return",'Database Query'!$E$14)+J497</f>
        <v>#VALUE!</v>
      </c>
      <c r="L497" s="2" t="str" cm="1">
        <f t="array" aca="1" ref="L497" ca="1">_xlfn.IFS($B497="etf", _xll.YCP($A497,"one_year_total_return",'Database Query'!$E$14),$B497&lt;&gt;"etf",_xll.YCP("M:"&amp; $A497,"one_year_total_return",'Database Query'!$E$14))</f>
        <v>ERR: INVALID ASSET</v>
      </c>
      <c r="M497" s="2" t="e" cm="1">
        <f t="array" aca="1" ref="M497" ca="1">-_xll.YCP($E497,"one_year_return",'Database Query'!$E$14)+L497</f>
        <v>#VALUE!</v>
      </c>
      <c r="N497" s="2" t="str" cm="1">
        <f t="array" aca="1" ref="N497" ca="1">_xlfn.IFS($B497="etf", _xll.YCP($A497,"three_year_total_return",'Database Query'!$E$14),$B497&lt;&gt;"etf",_xll.YCP("M:"&amp; $A497,"three_year_total_return",'Database Query'!$E$14))</f>
        <v>ERR: INVALID ASSET</v>
      </c>
      <c r="O497" s="2" t="e" cm="1">
        <f t="array" aca="1" ref="O497" ca="1">-_xll.YCP($E497,"three_year_return",'Database Query'!$E$14)+N497</f>
        <v>#VALUE!</v>
      </c>
      <c r="P497" s="2" t="str" cm="1">
        <f t="array" aca="1" ref="P497" ca="1">_xlfn.IFS($B497="etf", _xll.YCP($A497,"five_year_total_return",'Database Query'!$E$14),$B497&lt;&gt;"etf",_xll.YCP("M:"&amp; $A497,"five_year_total_return",'Database Query'!$E$14))</f>
        <v>ERR: INVALID ASSET</v>
      </c>
      <c r="Q497" s="2" t="e" cm="1">
        <f t="array" aca="1" ref="Q497" ca="1">-_xll.YCP($E497,"five_year_return",'Database Query'!$E$14)+P497</f>
        <v>#VALUE!</v>
      </c>
    </row>
    <row r="498" spans="2:17" x14ac:dyDescent="0.25">
      <c r="B498" t="str" cm="1">
        <f t="array" aca="1" ref="B498" ca="1">_xll.YCI(A498,"detailed_security_type",TODAY())</f>
        <v/>
      </c>
      <c r="C498" t="str" cm="1">
        <f t="array" aca="1" ref="C498" ca="1">_xlfn.IFS(B498="etf", _xll.YCI(A498, "security_name",TODAY()),B498&lt;&gt;"etf",_xll.YCI("M:" &amp; A498, "security_name",TODAY()))</f>
        <v>ERR: INVALID ASSET</v>
      </c>
      <c r="D498" t="str" cm="1">
        <f t="array" aca="1" ref="D498" ca="1">_xlfn.IFS($B498="etf", _xll.YCI($A498, "ycharts_benchmark_category",TODAY()),$B498&lt;&gt;"etf",_xll.YCI("M:" &amp; $A498, "ycharts_benchmark_category",TODAY()))</f>
        <v>ERR: INVALID ASSET</v>
      </c>
      <c r="E498" t="str" cm="1">
        <f t="array" aca="1" ref="E498" ca="1">_xlfn.IFS($B498="etf", _xll.YCI($A498, "ycharts_benchmark_index_symbol",TODAY()),$B498&lt;&gt;"etf",_xll.YCI("M:" &amp; $A498, "ycharts_benchmark_index_symbol",TODAY()))</f>
        <v>ERR: INVALID ASSET</v>
      </c>
      <c r="F498" t="str" cm="1">
        <f t="array" aca="1" ref="F498" ca="1">_xlfn.IFS($B498="etf", _xll.YCI($E498, "security_name",TODAY()),$B498&lt;&gt;"etf",_xll.YCI( $E498, "security_name",TODAY()))</f>
        <v>ERR: INVALID ASSET</v>
      </c>
      <c r="G498" t="str" cm="1">
        <f t="array" aca="1" ref="G498" ca="1">_xlfn.IFS($B498="etf", _xll.YCI($A498, "prospectus_benchmark_index",TODAY()),$B498&lt;&gt;"etf",_xll.YCI("M:" &amp; $A498, "prospectus_benchmark_index",TODAY()))</f>
        <v>ERR: INVALID ASSET</v>
      </c>
      <c r="H498" s="2" t="str" cm="1">
        <f t="array" aca="1" ref="H498" ca="1">_xlfn.IFS($B498="etf", _xll.YCP($A498,"quarterly_total_return",'Database Query'!$E$14),$B498&lt;&gt;"etf",_xll.YCP("M:"&amp; $A498,"quarterly_total_return",'Database Query'!$E$14))</f>
        <v>ERR: INVALID ASSET</v>
      </c>
      <c r="I498" s="2" t="e" cm="1">
        <f t="array" aca="1" ref="I498" ca="1">-_xll.YCP($E498,"quarterly_return",'Database Query'!$E$14)+H498</f>
        <v>#VALUE!</v>
      </c>
      <c r="J498" s="2" t="str" cm="1">
        <f t="array" aca="1" ref="J498" ca="1">_xlfn.IFS($B498="etf", _xll.YCP($A498,"ytd_total_return",'Database Query'!$E$14),$B498&lt;&gt;"etf",_xll.YCP("M:"&amp; $A498,"ytd_total_return",'Database Query'!$E$14))</f>
        <v>ERR: INVALID ASSET</v>
      </c>
      <c r="K498" s="2" t="e" cm="1">
        <f t="array" aca="1" ref="K498" ca="1">-_xll.YCP($E498,"ytd_return",'Database Query'!$E$14)+J498</f>
        <v>#VALUE!</v>
      </c>
      <c r="L498" s="2" t="str" cm="1">
        <f t="array" aca="1" ref="L498" ca="1">_xlfn.IFS($B498="etf", _xll.YCP($A498,"one_year_total_return",'Database Query'!$E$14),$B498&lt;&gt;"etf",_xll.YCP("M:"&amp; $A498,"one_year_total_return",'Database Query'!$E$14))</f>
        <v>ERR: INVALID ASSET</v>
      </c>
      <c r="M498" s="2" t="e" cm="1">
        <f t="array" aca="1" ref="M498" ca="1">-_xll.YCP($E498,"one_year_return",'Database Query'!$E$14)+L498</f>
        <v>#VALUE!</v>
      </c>
      <c r="N498" s="2" t="str" cm="1">
        <f t="array" aca="1" ref="N498" ca="1">_xlfn.IFS($B498="etf", _xll.YCP($A498,"three_year_total_return",'Database Query'!$E$14),$B498&lt;&gt;"etf",_xll.YCP("M:"&amp; $A498,"three_year_total_return",'Database Query'!$E$14))</f>
        <v>ERR: INVALID ASSET</v>
      </c>
      <c r="O498" s="2" t="e" cm="1">
        <f t="array" aca="1" ref="O498" ca="1">-_xll.YCP($E498,"three_year_return",'Database Query'!$E$14)+N498</f>
        <v>#VALUE!</v>
      </c>
      <c r="P498" s="2" t="str" cm="1">
        <f t="array" aca="1" ref="P498" ca="1">_xlfn.IFS($B498="etf", _xll.YCP($A498,"five_year_total_return",'Database Query'!$E$14),$B498&lt;&gt;"etf",_xll.YCP("M:"&amp; $A498,"five_year_total_return",'Database Query'!$E$14))</f>
        <v>ERR: INVALID ASSET</v>
      </c>
      <c r="Q498" s="2" t="e" cm="1">
        <f t="array" aca="1" ref="Q498" ca="1">-_xll.YCP($E498,"five_year_return",'Database Query'!$E$14)+P498</f>
        <v>#VALUE!</v>
      </c>
    </row>
    <row r="499" spans="2:17" x14ac:dyDescent="0.25">
      <c r="B499" t="str" cm="1">
        <f t="array" aca="1" ref="B499" ca="1">_xll.YCI(A499,"detailed_security_type",TODAY())</f>
        <v/>
      </c>
      <c r="C499" t="str" cm="1">
        <f t="array" aca="1" ref="C499" ca="1">_xlfn.IFS(B499="etf", _xll.YCI(A499, "security_name",TODAY()),B499&lt;&gt;"etf",_xll.YCI("M:" &amp; A499, "security_name",TODAY()))</f>
        <v>ERR: INVALID ASSET</v>
      </c>
      <c r="D499" t="str" cm="1">
        <f t="array" aca="1" ref="D499" ca="1">_xlfn.IFS($B499="etf", _xll.YCI($A499, "ycharts_benchmark_category",TODAY()),$B499&lt;&gt;"etf",_xll.YCI("M:" &amp; $A499, "ycharts_benchmark_category",TODAY()))</f>
        <v>ERR: INVALID ASSET</v>
      </c>
      <c r="E499" t="str" cm="1">
        <f t="array" aca="1" ref="E499" ca="1">_xlfn.IFS($B499="etf", _xll.YCI($A499, "ycharts_benchmark_index_symbol",TODAY()),$B499&lt;&gt;"etf",_xll.YCI("M:" &amp; $A499, "ycharts_benchmark_index_symbol",TODAY()))</f>
        <v>ERR: INVALID ASSET</v>
      </c>
      <c r="F499" t="str" cm="1">
        <f t="array" aca="1" ref="F499" ca="1">_xlfn.IFS($B499="etf", _xll.YCI($E499, "security_name",TODAY()),$B499&lt;&gt;"etf",_xll.YCI( $E499, "security_name",TODAY()))</f>
        <v>ERR: INVALID ASSET</v>
      </c>
      <c r="G499" t="str" cm="1">
        <f t="array" aca="1" ref="G499" ca="1">_xlfn.IFS($B499="etf", _xll.YCI($A499, "prospectus_benchmark_index",TODAY()),$B499&lt;&gt;"etf",_xll.YCI("M:" &amp; $A499, "prospectus_benchmark_index",TODAY()))</f>
        <v>ERR: INVALID ASSET</v>
      </c>
      <c r="H499" s="2" t="str" cm="1">
        <f t="array" aca="1" ref="H499" ca="1">_xlfn.IFS($B499="etf", _xll.YCP($A499,"quarterly_total_return",'Database Query'!$E$14),$B499&lt;&gt;"etf",_xll.YCP("M:"&amp; $A499,"quarterly_total_return",'Database Query'!$E$14))</f>
        <v>ERR: INVALID ASSET</v>
      </c>
      <c r="I499" s="2" t="e" cm="1">
        <f t="array" aca="1" ref="I499" ca="1">-_xll.YCP($E499,"quarterly_return",'Database Query'!$E$14)+H499</f>
        <v>#VALUE!</v>
      </c>
      <c r="J499" s="2" t="str" cm="1">
        <f t="array" aca="1" ref="J499" ca="1">_xlfn.IFS($B499="etf", _xll.YCP($A499,"ytd_total_return",'Database Query'!$E$14),$B499&lt;&gt;"etf",_xll.YCP("M:"&amp; $A499,"ytd_total_return",'Database Query'!$E$14))</f>
        <v>ERR: INVALID ASSET</v>
      </c>
      <c r="K499" s="2" t="e" cm="1">
        <f t="array" aca="1" ref="K499" ca="1">-_xll.YCP($E499,"ytd_return",'Database Query'!$E$14)+J499</f>
        <v>#VALUE!</v>
      </c>
      <c r="L499" s="2" t="str" cm="1">
        <f t="array" aca="1" ref="L499" ca="1">_xlfn.IFS($B499="etf", _xll.YCP($A499,"one_year_total_return",'Database Query'!$E$14),$B499&lt;&gt;"etf",_xll.YCP("M:"&amp; $A499,"one_year_total_return",'Database Query'!$E$14))</f>
        <v>ERR: INVALID ASSET</v>
      </c>
      <c r="M499" s="2" t="e" cm="1">
        <f t="array" aca="1" ref="M499" ca="1">-_xll.YCP($E499,"one_year_return",'Database Query'!$E$14)+L499</f>
        <v>#VALUE!</v>
      </c>
      <c r="N499" s="2" t="str" cm="1">
        <f t="array" aca="1" ref="N499" ca="1">_xlfn.IFS($B499="etf", _xll.YCP($A499,"three_year_total_return",'Database Query'!$E$14),$B499&lt;&gt;"etf",_xll.YCP("M:"&amp; $A499,"three_year_total_return",'Database Query'!$E$14))</f>
        <v>ERR: INVALID ASSET</v>
      </c>
      <c r="O499" s="2" t="e" cm="1">
        <f t="array" aca="1" ref="O499" ca="1">-_xll.YCP($E499,"three_year_return",'Database Query'!$E$14)+N499</f>
        <v>#VALUE!</v>
      </c>
      <c r="P499" s="2" t="str" cm="1">
        <f t="array" aca="1" ref="P499" ca="1">_xlfn.IFS($B499="etf", _xll.YCP($A499,"five_year_total_return",'Database Query'!$E$14),$B499&lt;&gt;"etf",_xll.YCP("M:"&amp; $A499,"five_year_total_return",'Database Query'!$E$14))</f>
        <v>ERR: INVALID ASSET</v>
      </c>
      <c r="Q499" s="2" t="e" cm="1">
        <f t="array" aca="1" ref="Q499" ca="1">-_xll.YCP($E499,"five_year_return",'Database Query'!$E$14)+P499</f>
        <v>#VALUE!</v>
      </c>
    </row>
    <row r="500" spans="2:17" x14ac:dyDescent="0.25">
      <c r="B500" t="str" cm="1">
        <f t="array" aca="1" ref="B500" ca="1">_xll.YCI(A500,"detailed_security_type",TODAY())</f>
        <v/>
      </c>
      <c r="C500" t="str" cm="1">
        <f t="array" aca="1" ref="C500" ca="1">_xlfn.IFS(B500="etf", _xll.YCI(A500, "security_name",TODAY()),B500&lt;&gt;"etf",_xll.YCI("M:" &amp; A500, "security_name",TODAY()))</f>
        <v>ERR: INVALID ASSET</v>
      </c>
      <c r="D500" t="str" cm="1">
        <f t="array" aca="1" ref="D500" ca="1">_xlfn.IFS($B500="etf", _xll.YCI($A500, "ycharts_benchmark_category",TODAY()),$B500&lt;&gt;"etf",_xll.YCI("M:" &amp; $A500, "ycharts_benchmark_category",TODAY()))</f>
        <v>ERR: INVALID ASSET</v>
      </c>
      <c r="E500" t="str" cm="1">
        <f t="array" aca="1" ref="E500" ca="1">_xlfn.IFS($B500="etf", _xll.YCI($A500, "ycharts_benchmark_index_symbol",TODAY()),$B500&lt;&gt;"etf",_xll.YCI("M:" &amp; $A500, "ycharts_benchmark_index_symbol",TODAY()))</f>
        <v>ERR: INVALID ASSET</v>
      </c>
      <c r="F500" t="str" cm="1">
        <f t="array" aca="1" ref="F500" ca="1">_xlfn.IFS($B500="etf", _xll.YCI($E500, "security_name",TODAY()),$B500&lt;&gt;"etf",_xll.YCI( $E500, "security_name",TODAY()))</f>
        <v>ERR: INVALID ASSET</v>
      </c>
      <c r="G500" t="str" cm="1">
        <f t="array" aca="1" ref="G500" ca="1">_xlfn.IFS($B500="etf", _xll.YCI($A500, "prospectus_benchmark_index",TODAY()),$B500&lt;&gt;"etf",_xll.YCI("M:" &amp; $A500, "prospectus_benchmark_index",TODAY()))</f>
        <v>ERR: INVALID ASSET</v>
      </c>
      <c r="H500" s="2" t="str" cm="1">
        <f t="array" aca="1" ref="H500" ca="1">_xlfn.IFS($B500="etf", _xll.YCP($A500,"quarterly_total_return",'Database Query'!$E$14),$B500&lt;&gt;"etf",_xll.YCP("M:"&amp; $A500,"quarterly_total_return",'Database Query'!$E$14))</f>
        <v>ERR: INVALID ASSET</v>
      </c>
      <c r="I500" s="2" t="e" cm="1">
        <f t="array" aca="1" ref="I500" ca="1">-_xll.YCP($E500,"quarterly_return",'Database Query'!$E$14)+H500</f>
        <v>#VALUE!</v>
      </c>
      <c r="J500" s="2" t="str" cm="1">
        <f t="array" aca="1" ref="J500" ca="1">_xlfn.IFS($B500="etf", _xll.YCP($A500,"ytd_total_return",'Database Query'!$E$14),$B500&lt;&gt;"etf",_xll.YCP("M:"&amp; $A500,"ytd_total_return",'Database Query'!$E$14))</f>
        <v>ERR: INVALID ASSET</v>
      </c>
      <c r="K500" s="2" t="e" cm="1">
        <f t="array" aca="1" ref="K500" ca="1">-_xll.YCP($E500,"ytd_return",'Database Query'!$E$14)+J500</f>
        <v>#VALUE!</v>
      </c>
      <c r="L500" s="2" t="str" cm="1">
        <f t="array" aca="1" ref="L500" ca="1">_xlfn.IFS($B500="etf", _xll.YCP($A500,"one_year_total_return",'Database Query'!$E$14),$B500&lt;&gt;"etf",_xll.YCP("M:"&amp; $A500,"one_year_total_return",'Database Query'!$E$14))</f>
        <v>ERR: INVALID ASSET</v>
      </c>
      <c r="M500" s="2" t="e" cm="1">
        <f t="array" aca="1" ref="M500" ca="1">-_xll.YCP($E500,"one_year_return",'Database Query'!$E$14)+L500</f>
        <v>#VALUE!</v>
      </c>
      <c r="N500" s="2" t="str" cm="1">
        <f t="array" aca="1" ref="N500" ca="1">_xlfn.IFS($B500="etf", _xll.YCP($A500,"three_year_total_return",'Database Query'!$E$14),$B500&lt;&gt;"etf",_xll.YCP("M:"&amp; $A500,"three_year_total_return",'Database Query'!$E$14))</f>
        <v>ERR: INVALID ASSET</v>
      </c>
      <c r="O500" s="2" t="e" cm="1">
        <f t="array" aca="1" ref="O500" ca="1">-_xll.YCP($E500,"three_year_return",'Database Query'!$E$14)+N500</f>
        <v>#VALUE!</v>
      </c>
      <c r="P500" s="2" t="str" cm="1">
        <f t="array" aca="1" ref="P500" ca="1">_xlfn.IFS($B500="etf", _xll.YCP($A500,"five_year_total_return",'Database Query'!$E$14),$B500&lt;&gt;"etf",_xll.YCP("M:"&amp; $A500,"five_year_total_return",'Database Query'!$E$14))</f>
        <v>ERR: INVALID ASSET</v>
      </c>
      <c r="Q500" s="2" t="e" cm="1">
        <f t="array" aca="1" ref="Q500" ca="1">-_xll.YCP($E500,"five_year_return",'Database Query'!$E$14)+P500</f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A945F-5B18-44B6-820B-1DC1FC59E388}">
  <sheetPr codeName="Sheet4"/>
  <dimension ref="A1:Q281"/>
  <sheetViews>
    <sheetView topLeftCell="A103" workbookViewId="0"/>
  </sheetViews>
  <sheetFormatPr defaultRowHeight="15" x14ac:dyDescent="0.25"/>
  <cols>
    <col min="9" max="9" width="20.28515625" bestFit="1" customWidth="1"/>
  </cols>
  <sheetData>
    <row r="1" spans="1:17" x14ac:dyDescent="0.25">
      <c r="A1" t="str" cm="1">
        <f t="array" aca="1" ref="A1:Q281" ca="1">_xlfn._xlws.FILTER('Fund Info'!A1:Q1000,'Fund Info'!A1:A1000&lt;&gt;"","broken")</f>
        <v>Ticker</v>
      </c>
      <c r="B1" t="str">
        <f ca="1"/>
        <v>etf check</v>
      </c>
      <c r="C1" t="str">
        <f ca="1"/>
        <v>Name</v>
      </c>
      <c r="D1" t="str">
        <f ca="1"/>
        <v>Category</v>
      </c>
      <c r="E1" t="str">
        <f ca="1"/>
        <v>Benchmark Ticker</v>
      </c>
      <c r="F1" t="str">
        <f ca="1"/>
        <v>Benchmark</v>
      </c>
      <c r="G1" t="str">
        <f ca="1"/>
        <v>Prospectus Benchmark</v>
      </c>
      <c r="H1" t="str">
        <f ca="1"/>
        <v>Quarterly Return</v>
      </c>
      <c r="I1" t="str">
        <f ca="1"/>
        <v>+/- Benchmark Return Quarterly</v>
      </c>
      <c r="J1" t="str">
        <f ca="1"/>
        <v>YTD</v>
      </c>
      <c r="K1" t="str">
        <f ca="1"/>
        <v>+/- Benchmark Return YTD</v>
      </c>
      <c r="L1" t="str">
        <f ca="1"/>
        <v>1 YR</v>
      </c>
      <c r="M1" t="str">
        <f ca="1"/>
        <v>+/- Benchmark Return 1 YR</v>
      </c>
      <c r="N1" t="str">
        <f ca="1"/>
        <v>3 YR</v>
      </c>
      <c r="O1" t="str">
        <f ca="1"/>
        <v>+/- Benchmark Return 3 YR</v>
      </c>
      <c r="P1" t="str">
        <f ca="1"/>
        <v>5 YR</v>
      </c>
      <c r="Q1" t="str">
        <f ca="1"/>
        <v>+/- Benchmark Return 5 YR</v>
      </c>
    </row>
    <row r="2" spans="1:17" x14ac:dyDescent="0.25">
      <c r="A2" t="str">
        <f ca="1"/>
        <v>AAANX</v>
      </c>
      <c r="B2" t="e">
        <f ca="1"/>
        <v>#VALUE!</v>
      </c>
      <c r="C2" t="e">
        <f ca="1"/>
        <v>#VALUE!</v>
      </c>
      <c r="D2" t="e">
        <f ca="1"/>
        <v>#VALUE!</v>
      </c>
      <c r="E2" t="e">
        <f ca="1"/>
        <v>#VALUE!</v>
      </c>
      <c r="F2" t="e">
        <f ca="1"/>
        <v>#VALUE!</v>
      </c>
      <c r="G2" t="e">
        <f ca="1"/>
        <v>#VALUE!</v>
      </c>
      <c r="H2" t="e">
        <f ca="1"/>
        <v>#VALUE!</v>
      </c>
      <c r="I2" t="e">
        <f ca="1"/>
        <v>#VALUE!</v>
      </c>
      <c r="J2" t="e">
        <f ca="1"/>
        <v>#VALUE!</v>
      </c>
      <c r="K2" t="e">
        <f ca="1"/>
        <v>#VALUE!</v>
      </c>
      <c r="L2" t="e">
        <f ca="1"/>
        <v>#VALUE!</v>
      </c>
      <c r="M2" t="e">
        <f ca="1"/>
        <v>#VALUE!</v>
      </c>
      <c r="N2" t="e">
        <f ca="1"/>
        <v>#VALUE!</v>
      </c>
      <c r="O2" t="e">
        <f ca="1"/>
        <v>#VALUE!</v>
      </c>
      <c r="P2" t="e">
        <f ca="1"/>
        <v>#VALUE!</v>
      </c>
      <c r="Q2" t="e">
        <f ca="1"/>
        <v>#VALUE!</v>
      </c>
    </row>
    <row r="3" spans="1:17" x14ac:dyDescent="0.25">
      <c r="A3" t="str">
        <f ca="1"/>
        <v>AASRX</v>
      </c>
      <c r="B3" t="e">
        <f ca="1"/>
        <v>#VALUE!</v>
      </c>
      <c r="C3" t="e">
        <f ca="1"/>
        <v>#VALUE!</v>
      </c>
      <c r="D3" t="e">
        <f ca="1"/>
        <v>#VALUE!</v>
      </c>
      <c r="E3" t="e">
        <f ca="1"/>
        <v>#VALUE!</v>
      </c>
      <c r="F3" t="e">
        <f ca="1"/>
        <v>#VALUE!</v>
      </c>
      <c r="G3" t="e">
        <f ca="1"/>
        <v>#VALUE!</v>
      </c>
      <c r="H3" t="e">
        <f ca="1"/>
        <v>#VALUE!</v>
      </c>
      <c r="I3" t="e">
        <f ca="1"/>
        <v>#VALUE!</v>
      </c>
      <c r="J3" t="e">
        <f ca="1"/>
        <v>#VALUE!</v>
      </c>
      <c r="K3" t="e">
        <f ca="1"/>
        <v>#VALUE!</v>
      </c>
      <c r="L3" t="e">
        <f ca="1"/>
        <v>#VALUE!</v>
      </c>
      <c r="M3" t="e">
        <f ca="1"/>
        <v>#VALUE!</v>
      </c>
      <c r="N3" t="e">
        <f ca="1"/>
        <v>#VALUE!</v>
      </c>
      <c r="O3" t="e">
        <f ca="1"/>
        <v>#VALUE!</v>
      </c>
      <c r="P3" t="e">
        <f ca="1"/>
        <v>#VALUE!</v>
      </c>
      <c r="Q3" t="e">
        <f ca="1"/>
        <v>#VALUE!</v>
      </c>
    </row>
    <row r="4" spans="1:17" x14ac:dyDescent="0.25">
      <c r="A4" t="str">
        <f ca="1"/>
        <v>ABNFX</v>
      </c>
      <c r="B4" t="e">
        <f ca="1"/>
        <v>#VALUE!</v>
      </c>
      <c r="C4" t="e">
        <f ca="1"/>
        <v>#VALUE!</v>
      </c>
      <c r="D4" t="e">
        <f ca="1"/>
        <v>#VALUE!</v>
      </c>
      <c r="E4" t="e">
        <f ca="1"/>
        <v>#VALUE!</v>
      </c>
      <c r="F4" t="e">
        <f ca="1"/>
        <v>#VALUE!</v>
      </c>
      <c r="G4" t="e">
        <f ca="1"/>
        <v>#VALUE!</v>
      </c>
      <c r="H4" t="e">
        <f ca="1"/>
        <v>#VALUE!</v>
      </c>
      <c r="I4" t="e">
        <f ca="1"/>
        <v>#VALUE!</v>
      </c>
      <c r="J4" t="e">
        <f ca="1"/>
        <v>#VALUE!</v>
      </c>
      <c r="K4" t="e">
        <f ca="1"/>
        <v>#VALUE!</v>
      </c>
      <c r="L4" t="e">
        <f ca="1"/>
        <v>#VALUE!</v>
      </c>
      <c r="M4" t="e">
        <f ca="1"/>
        <v>#VALUE!</v>
      </c>
      <c r="N4" t="e">
        <f ca="1"/>
        <v>#VALUE!</v>
      </c>
      <c r="O4" t="e">
        <f ca="1"/>
        <v>#VALUE!</v>
      </c>
      <c r="P4" t="e">
        <f ca="1"/>
        <v>#VALUE!</v>
      </c>
      <c r="Q4" t="e">
        <f ca="1"/>
        <v>#VALUE!</v>
      </c>
    </row>
    <row r="5" spans="1:17" x14ac:dyDescent="0.25">
      <c r="A5" t="str">
        <f ca="1"/>
        <v>ABRYX</v>
      </c>
      <c r="B5" t="e">
        <f ca="1"/>
        <v>#VALUE!</v>
      </c>
      <c r="C5" t="e">
        <f ca="1"/>
        <v>#VALUE!</v>
      </c>
      <c r="D5" t="e">
        <f ca="1"/>
        <v>#VALUE!</v>
      </c>
      <c r="E5" t="e">
        <f ca="1"/>
        <v>#VALUE!</v>
      </c>
      <c r="F5" t="e">
        <f ca="1"/>
        <v>#VALUE!</v>
      </c>
      <c r="G5" t="e">
        <f ca="1"/>
        <v>#VALUE!</v>
      </c>
      <c r="H5" t="e">
        <f ca="1"/>
        <v>#VALUE!</v>
      </c>
      <c r="I5" t="e">
        <f ca="1"/>
        <v>#VALUE!</v>
      </c>
      <c r="J5" t="e">
        <f ca="1"/>
        <v>#VALUE!</v>
      </c>
      <c r="K5" t="e">
        <f ca="1"/>
        <v>#VALUE!</v>
      </c>
      <c r="L5" t="e">
        <f ca="1"/>
        <v>#VALUE!</v>
      </c>
      <c r="M5" t="e">
        <f ca="1"/>
        <v>#VALUE!</v>
      </c>
      <c r="N5" t="e">
        <f ca="1"/>
        <v>#VALUE!</v>
      </c>
      <c r="O5" t="e">
        <f ca="1"/>
        <v>#VALUE!</v>
      </c>
      <c r="P5" t="e">
        <f ca="1"/>
        <v>#VALUE!</v>
      </c>
      <c r="Q5" t="e">
        <f ca="1"/>
        <v>#VALUE!</v>
      </c>
    </row>
    <row r="6" spans="1:17" x14ac:dyDescent="0.25">
      <c r="A6" t="str">
        <f ca="1"/>
        <v>ACVVX</v>
      </c>
      <c r="B6" t="e">
        <f ca="1"/>
        <v>#VALUE!</v>
      </c>
      <c r="C6" t="e">
        <f ca="1"/>
        <v>#VALUE!</v>
      </c>
      <c r="D6" t="e">
        <f ca="1"/>
        <v>#VALUE!</v>
      </c>
      <c r="E6" t="e">
        <f ca="1"/>
        <v>#VALUE!</v>
      </c>
      <c r="F6" t="e">
        <f ca="1"/>
        <v>#VALUE!</v>
      </c>
      <c r="G6" t="e">
        <f ca="1"/>
        <v>#VALUE!</v>
      </c>
      <c r="H6" t="e">
        <f ca="1"/>
        <v>#VALUE!</v>
      </c>
      <c r="I6" t="e">
        <f ca="1"/>
        <v>#VALUE!</v>
      </c>
      <c r="J6" t="e">
        <f ca="1"/>
        <v>#VALUE!</v>
      </c>
      <c r="K6" t="e">
        <f ca="1"/>
        <v>#VALUE!</v>
      </c>
      <c r="L6" t="e">
        <f ca="1"/>
        <v>#VALUE!</v>
      </c>
      <c r="M6" t="e">
        <f ca="1"/>
        <v>#VALUE!</v>
      </c>
      <c r="N6" t="e">
        <f ca="1"/>
        <v>#VALUE!</v>
      </c>
      <c r="O6" t="e">
        <f ca="1"/>
        <v>#VALUE!</v>
      </c>
      <c r="P6" t="e">
        <f ca="1"/>
        <v>#VALUE!</v>
      </c>
      <c r="Q6" t="e">
        <f ca="1"/>
        <v>#VALUE!</v>
      </c>
    </row>
    <row r="7" spans="1:17" x14ac:dyDescent="0.25">
      <c r="A7" t="str">
        <f ca="1"/>
        <v>ADSIX</v>
      </c>
      <c r="B7" t="e">
        <f ca="1"/>
        <v>#VALUE!</v>
      </c>
      <c r="C7" t="e">
        <f ca="1"/>
        <v>#VALUE!</v>
      </c>
      <c r="D7" t="e">
        <f ca="1"/>
        <v>#VALUE!</v>
      </c>
      <c r="E7" t="e">
        <f ca="1"/>
        <v>#VALUE!</v>
      </c>
      <c r="F7" t="e">
        <f ca="1"/>
        <v>#VALUE!</v>
      </c>
      <c r="G7" t="e">
        <f ca="1"/>
        <v>#VALUE!</v>
      </c>
      <c r="H7" t="e">
        <f ca="1"/>
        <v>#VALUE!</v>
      </c>
      <c r="I7" t="e">
        <f ca="1"/>
        <v>#VALUE!</v>
      </c>
      <c r="J7" t="e">
        <f ca="1"/>
        <v>#VALUE!</v>
      </c>
      <c r="K7" t="e">
        <f ca="1"/>
        <v>#VALUE!</v>
      </c>
      <c r="L7" t="e">
        <f ca="1"/>
        <v>#VALUE!</v>
      </c>
      <c r="M7" t="e">
        <f ca="1"/>
        <v>#VALUE!</v>
      </c>
      <c r="N7" t="e">
        <f ca="1"/>
        <v>#VALUE!</v>
      </c>
      <c r="O7" t="e">
        <f ca="1"/>
        <v>#VALUE!</v>
      </c>
      <c r="P7" t="e">
        <f ca="1"/>
        <v>#VALUE!</v>
      </c>
      <c r="Q7" t="e">
        <f ca="1"/>
        <v>#VALUE!</v>
      </c>
    </row>
    <row r="8" spans="1:17" x14ac:dyDescent="0.25">
      <c r="A8" t="str">
        <f ca="1"/>
        <v>AFMFX</v>
      </c>
      <c r="B8" t="e">
        <f ca="1"/>
        <v>#VALUE!</v>
      </c>
      <c r="C8" t="e">
        <f ca="1"/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ca="1"/>
        <v>#VALUE!</v>
      </c>
    </row>
    <row r="9" spans="1:17" x14ac:dyDescent="0.25">
      <c r="A9" t="str">
        <f ca="1"/>
        <v>AGAZX</v>
      </c>
      <c r="B9" t="e">
        <f ca="1"/>
        <v>#VALUE!</v>
      </c>
      <c r="C9" t="e">
        <f ca="1"/>
        <v>#VALUE!</v>
      </c>
      <c r="D9" t="e">
        <f ca="1"/>
        <v>#VALUE!</v>
      </c>
      <c r="E9" t="e">
        <f ca="1"/>
        <v>#VALUE!</v>
      </c>
      <c r="F9" t="e">
        <f ca="1"/>
        <v>#VALUE!</v>
      </c>
      <c r="G9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t="e">
        <f ca="1"/>
        <v>#VALUE!</v>
      </c>
      <c r="L9" t="e">
        <f ca="1"/>
        <v>#VALUE!</v>
      </c>
      <c r="M9" t="e">
        <f ca="1"/>
        <v>#VALUE!</v>
      </c>
      <c r="N9" t="e">
        <f ca="1"/>
        <v>#VALUE!</v>
      </c>
      <c r="O9" t="e">
        <f ca="1"/>
        <v>#VALUE!</v>
      </c>
      <c r="P9" t="e">
        <f ca="1"/>
        <v>#VALUE!</v>
      </c>
      <c r="Q9" t="e">
        <f ca="1"/>
        <v>#VALUE!</v>
      </c>
    </row>
    <row r="10" spans="1:17" x14ac:dyDescent="0.25">
      <c r="A10" t="str">
        <f ca="1"/>
        <v>AGG</v>
      </c>
      <c r="B10" t="str">
        <f ca="1"/>
        <v>etf</v>
      </c>
      <c r="C10" t="str">
        <f ca="1"/>
        <v>iShares Core US Aggregate Bond ETF</v>
      </c>
      <c r="D10" t="str">
        <f ca="1"/>
        <v>US Aggregate Bond</v>
      </c>
      <c r="E10" t="str">
        <f ca="1"/>
        <v>^BBUSATR</v>
      </c>
      <c r="F10" t="str">
        <f ca="1"/>
        <v>Bloomberg US Aggregate</v>
      </c>
      <c r="G10" t="str">
        <f ca="1"/>
        <v>Bloomberg US Agg Bond TR USD</v>
      </c>
      <c r="H10">
        <f ca="1"/>
        <v>-3.1015999999999998E-2</v>
      </c>
      <c r="I10">
        <f ca="1"/>
        <v>-3.9900000000000005E-4</v>
      </c>
      <c r="J10">
        <f ca="1"/>
        <v>1.3076000000000001E-2</v>
      </c>
      <c r="K10">
        <f ca="1"/>
        <v>5.7400000000000159E-4</v>
      </c>
      <c r="L10">
        <f ca="1"/>
        <v>1.3076000000000001E-2</v>
      </c>
      <c r="M10">
        <f ca="1"/>
        <v>5.7400000000000159E-4</v>
      </c>
      <c r="N10">
        <f ca="1"/>
        <v>-6.9071999999999995E-2</v>
      </c>
      <c r="O10">
        <f ca="1"/>
        <v>1.457E-3</v>
      </c>
      <c r="P10">
        <f ca="1"/>
        <v>-1.7172E-2</v>
      </c>
      <c r="Q10">
        <f ca="1"/>
        <v>-1.0059999999999999E-3</v>
      </c>
    </row>
    <row r="11" spans="1:17" x14ac:dyDescent="0.25">
      <c r="A11" t="str">
        <f ca="1"/>
        <v>AGVHX</v>
      </c>
      <c r="B11" t="e">
        <f ca="1"/>
        <v>#VALUE!</v>
      </c>
      <c r="C11" t="e">
        <f ca="1"/>
        <v>#VALUE!</v>
      </c>
      <c r="D11" t="e">
        <f ca="1"/>
        <v>#VALUE!</v>
      </c>
      <c r="E11" t="e">
        <f ca="1"/>
        <v>#VALUE!</v>
      </c>
      <c r="F11" t="e">
        <f ca="1"/>
        <v>#VALUE!</v>
      </c>
      <c r="G11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t="e">
        <f ca="1"/>
        <v>#VALUE!</v>
      </c>
      <c r="L11" t="e">
        <f ca="1"/>
        <v>#VALUE!</v>
      </c>
      <c r="M11" t="e">
        <f ca="1"/>
        <v>#VALUE!</v>
      </c>
      <c r="N11" t="e">
        <f ca="1"/>
        <v>#VALUE!</v>
      </c>
      <c r="O11" t="e">
        <f ca="1"/>
        <v>#VALUE!</v>
      </c>
      <c r="P11" t="e">
        <f ca="1"/>
        <v>#VALUE!</v>
      </c>
      <c r="Q11" t="e">
        <f ca="1"/>
        <v>#VALUE!</v>
      </c>
    </row>
    <row r="12" spans="1:17" x14ac:dyDescent="0.25">
      <c r="A12" t="str">
        <f ca="1"/>
        <v>AIMNX</v>
      </c>
      <c r="B12" t="e">
        <f ca="1"/>
        <v>#VALUE!</v>
      </c>
      <c r="C12" t="e">
        <f ca="1"/>
        <v>#VALUE!</v>
      </c>
      <c r="D12" t="e">
        <f ca="1"/>
        <v>#VALUE!</v>
      </c>
      <c r="E12" t="e">
        <f ca="1"/>
        <v>#VALUE!</v>
      </c>
      <c r="F12" t="e">
        <f ca="1"/>
        <v>#VALUE!</v>
      </c>
      <c r="G1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t="e">
        <f ca="1"/>
        <v>#VALUE!</v>
      </c>
      <c r="L12" t="e">
        <f ca="1"/>
        <v>#VALUE!</v>
      </c>
      <c r="M12" t="e">
        <f ca="1"/>
        <v>#VALUE!</v>
      </c>
      <c r="N12" t="e">
        <f ca="1"/>
        <v>#VALUE!</v>
      </c>
      <c r="O12" t="e">
        <f ca="1"/>
        <v>#VALUE!</v>
      </c>
      <c r="P12" t="e">
        <f ca="1"/>
        <v>#VALUE!</v>
      </c>
      <c r="Q12" t="e">
        <f ca="1"/>
        <v>#VALUE!</v>
      </c>
    </row>
    <row r="13" spans="1:17" x14ac:dyDescent="0.25">
      <c r="A13" t="str">
        <f ca="1"/>
        <v>ANBFX</v>
      </c>
      <c r="B13" t="e">
        <f ca="1"/>
        <v>#VALUE!</v>
      </c>
      <c r="C13" t="e">
        <f ca="1"/>
        <v>#VALUE!</v>
      </c>
      <c r="D13" t="e">
        <f ca="1"/>
        <v>#VALUE!</v>
      </c>
      <c r="E13" t="e">
        <f ca="1"/>
        <v>#VALUE!</v>
      </c>
      <c r="F13" t="e">
        <f ca="1"/>
        <v>#VALUE!</v>
      </c>
      <c r="G13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t="e">
        <f ca="1"/>
        <v>#VALUE!</v>
      </c>
      <c r="L13" t="e">
        <f ca="1"/>
        <v>#VALUE!</v>
      </c>
      <c r="M13" t="e">
        <f ca="1"/>
        <v>#VALUE!</v>
      </c>
      <c r="N13" t="e">
        <f ca="1"/>
        <v>#VALUE!</v>
      </c>
      <c r="O13" t="e">
        <f ca="1"/>
        <v>#VALUE!</v>
      </c>
      <c r="P13" t="e">
        <f ca="1"/>
        <v>#VALUE!</v>
      </c>
      <c r="Q13" t="e">
        <f ca="1"/>
        <v>#VALUE!</v>
      </c>
    </row>
    <row r="14" spans="1:17" x14ac:dyDescent="0.25">
      <c r="A14" t="str">
        <f ca="1"/>
        <v>APGYX</v>
      </c>
      <c r="B14" t="e">
        <f ca="1"/>
        <v>#VALUE!</v>
      </c>
      <c r="C14" t="e">
        <f ca="1"/>
        <v>#VALUE!</v>
      </c>
      <c r="D14" t="e">
        <f ca="1"/>
        <v>#VALUE!</v>
      </c>
      <c r="E14" t="e">
        <f ca="1"/>
        <v>#VALUE!</v>
      </c>
      <c r="F14" t="e">
        <f ca="1"/>
        <v>#VALUE!</v>
      </c>
      <c r="G14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t="e">
        <f ca="1"/>
        <v>#VALUE!</v>
      </c>
      <c r="L14" t="e">
        <f ca="1"/>
        <v>#VALUE!</v>
      </c>
      <c r="M14" t="e">
        <f ca="1"/>
        <v>#VALUE!</v>
      </c>
      <c r="N14" t="e">
        <f ca="1"/>
        <v>#VALUE!</v>
      </c>
      <c r="O14" t="e">
        <f ca="1"/>
        <v>#VALUE!</v>
      </c>
      <c r="P14" t="e">
        <f ca="1"/>
        <v>#VALUE!</v>
      </c>
      <c r="Q14" t="e">
        <f ca="1"/>
        <v>#VALUE!</v>
      </c>
    </row>
    <row r="15" spans="1:17" x14ac:dyDescent="0.25">
      <c r="A15" t="str">
        <f ca="1"/>
        <v>AQMIX</v>
      </c>
      <c r="B15" t="e">
        <f ca="1"/>
        <v>#VALUE!</v>
      </c>
      <c r="C15" t="e">
        <f ca="1"/>
        <v>#VALUE!</v>
      </c>
      <c r="D15" t="e">
        <f ca="1"/>
        <v>#VALUE!</v>
      </c>
      <c r="E15" t="e">
        <f ca="1"/>
        <v>#VALUE!</v>
      </c>
      <c r="F15" t="e">
        <f ca="1"/>
        <v>#VALUE!</v>
      </c>
      <c r="G15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t="e">
        <f ca="1"/>
        <v>#VALUE!</v>
      </c>
      <c r="L15" t="e">
        <f ca="1"/>
        <v>#VALUE!</v>
      </c>
      <c r="M15" t="e">
        <f ca="1"/>
        <v>#VALUE!</v>
      </c>
      <c r="N15" t="e">
        <f ca="1"/>
        <v>#VALUE!</v>
      </c>
      <c r="O15" t="e">
        <f ca="1"/>
        <v>#VALUE!</v>
      </c>
      <c r="P15" t="e">
        <f ca="1"/>
        <v>#VALUE!</v>
      </c>
      <c r="Q15" t="e">
        <f ca="1"/>
        <v>#VALUE!</v>
      </c>
    </row>
    <row r="16" spans="1:17" x14ac:dyDescent="0.25">
      <c r="A16" t="str">
        <f ca="1"/>
        <v>AQMNX</v>
      </c>
      <c r="B16" t="e">
        <f ca="1"/>
        <v>#VALUE!</v>
      </c>
      <c r="C16" t="e">
        <f ca="1"/>
        <v>#VALUE!</v>
      </c>
      <c r="D16" t="e">
        <f ca="1"/>
        <v>#VALUE!</v>
      </c>
      <c r="E16" t="e">
        <f ca="1"/>
        <v>#VALUE!</v>
      </c>
      <c r="F16" t="e">
        <f ca="1"/>
        <v>#VALUE!</v>
      </c>
      <c r="G16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t="e">
        <f ca="1"/>
        <v>#VALUE!</v>
      </c>
      <c r="L16" t="e">
        <f ca="1"/>
        <v>#VALUE!</v>
      </c>
      <c r="M16" t="e">
        <f ca="1"/>
        <v>#VALUE!</v>
      </c>
      <c r="N16" t="e">
        <f ca="1"/>
        <v>#VALUE!</v>
      </c>
      <c r="O16" t="e">
        <f ca="1"/>
        <v>#VALUE!</v>
      </c>
      <c r="P16" t="e">
        <f ca="1"/>
        <v>#VALUE!</v>
      </c>
      <c r="Q16" t="e">
        <f ca="1"/>
        <v>#VALUE!</v>
      </c>
    </row>
    <row r="17" spans="1:17" x14ac:dyDescent="0.25">
      <c r="A17" t="str">
        <f ca="1"/>
        <v>AVFIX</v>
      </c>
      <c r="B17" t="e">
        <f ca="1"/>
        <v>#VALUE!</v>
      </c>
      <c r="C17" t="e">
        <f ca="1"/>
        <v>#VALUE!</v>
      </c>
      <c r="D17" t="e">
        <f ca="1"/>
        <v>#VALUE!</v>
      </c>
      <c r="E17" t="e">
        <f ca="1"/>
        <v>#VALUE!</v>
      </c>
      <c r="F17" t="e">
        <f ca="1"/>
        <v>#VALUE!</v>
      </c>
      <c r="G17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t="e">
        <f ca="1"/>
        <v>#VALUE!</v>
      </c>
      <c r="L17" t="e">
        <f ca="1"/>
        <v>#VALUE!</v>
      </c>
      <c r="M17" t="e">
        <f ca="1"/>
        <v>#VALUE!</v>
      </c>
      <c r="N17" t="e">
        <f ca="1"/>
        <v>#VALUE!</v>
      </c>
      <c r="O17" t="e">
        <f ca="1"/>
        <v>#VALUE!</v>
      </c>
      <c r="P17" t="e">
        <f ca="1"/>
        <v>#VALUE!</v>
      </c>
      <c r="Q17" t="e">
        <f ca="1"/>
        <v>#VALUE!</v>
      </c>
    </row>
    <row r="18" spans="1:17" x14ac:dyDescent="0.25">
      <c r="A18" t="str">
        <f ca="1"/>
        <v>AZIIX</v>
      </c>
      <c r="B18" t="e">
        <f ca="1"/>
        <v>#VALUE!</v>
      </c>
      <c r="C18" t="e">
        <f ca="1"/>
        <v>#VALUE!</v>
      </c>
      <c r="D18" t="e">
        <f ca="1"/>
        <v>#VALUE!</v>
      </c>
      <c r="E18" t="e">
        <f ca="1"/>
        <v>#VALUE!</v>
      </c>
      <c r="F18" t="e">
        <f ca="1"/>
        <v>#VALUE!</v>
      </c>
      <c r="G18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t="e">
        <f ca="1"/>
        <v>#VALUE!</v>
      </c>
      <c r="L18" t="e">
        <f ca="1"/>
        <v>#VALUE!</v>
      </c>
      <c r="M18" t="e">
        <f ca="1"/>
        <v>#VALUE!</v>
      </c>
      <c r="N18" t="e">
        <f ca="1"/>
        <v>#VALUE!</v>
      </c>
      <c r="O18" t="e">
        <f ca="1"/>
        <v>#VALUE!</v>
      </c>
      <c r="P18" t="e">
        <f ca="1"/>
        <v>#VALUE!</v>
      </c>
      <c r="Q18" t="e">
        <f ca="1"/>
        <v>#VALUE!</v>
      </c>
    </row>
    <row r="19" spans="1:17" x14ac:dyDescent="0.25">
      <c r="A19" t="str">
        <f ca="1"/>
        <v>BBBIX</v>
      </c>
      <c r="B19" t="e">
        <f ca="1"/>
        <v>#VALUE!</v>
      </c>
      <c r="C19" t="e">
        <f ca="1"/>
        <v>#VALUE!</v>
      </c>
      <c r="D19" t="e">
        <f ca="1"/>
        <v>#VALUE!</v>
      </c>
      <c r="E19" t="e">
        <f ca="1"/>
        <v>#VALUE!</v>
      </c>
      <c r="F19" t="e">
        <f ca="1"/>
        <v>#VALUE!</v>
      </c>
      <c r="G19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t="e">
        <f ca="1"/>
        <v>#VALUE!</v>
      </c>
      <c r="L19" t="e">
        <f ca="1"/>
        <v>#VALUE!</v>
      </c>
      <c r="M19" t="e">
        <f ca="1"/>
        <v>#VALUE!</v>
      </c>
      <c r="N19" t="e">
        <f ca="1"/>
        <v>#VALUE!</v>
      </c>
      <c r="O19" t="e">
        <f ca="1"/>
        <v>#VALUE!</v>
      </c>
      <c r="P19" t="e">
        <f ca="1"/>
        <v>#VALUE!</v>
      </c>
      <c r="Q19" t="e">
        <f ca="1"/>
        <v>#VALUE!</v>
      </c>
    </row>
    <row r="20" spans="1:17" x14ac:dyDescent="0.25">
      <c r="A20" t="str">
        <f ca="1"/>
        <v>BGHAX</v>
      </c>
      <c r="B20" t="e">
        <f ca="1"/>
        <v>#VALUE!</v>
      </c>
      <c r="C20" t="e">
        <f ca="1"/>
        <v>#VALUE!</v>
      </c>
      <c r="D20" t="e">
        <f ca="1"/>
        <v>#VALUE!</v>
      </c>
      <c r="E20" t="e">
        <f ca="1"/>
        <v>#VALUE!</v>
      </c>
      <c r="F20" t="e">
        <f ca="1"/>
        <v>#VALUE!</v>
      </c>
      <c r="G20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t="e">
        <f ca="1"/>
        <v>#VALUE!</v>
      </c>
      <c r="L20" t="e">
        <f ca="1"/>
        <v>#VALUE!</v>
      </c>
      <c r="M20" t="e">
        <f ca="1"/>
        <v>#VALUE!</v>
      </c>
      <c r="N20" t="e">
        <f ca="1"/>
        <v>#VALUE!</v>
      </c>
      <c r="O20" t="e">
        <f ca="1"/>
        <v>#VALUE!</v>
      </c>
      <c r="P20" t="e">
        <f ca="1"/>
        <v>#VALUE!</v>
      </c>
      <c r="Q20" t="e">
        <f ca="1"/>
        <v>#VALUE!</v>
      </c>
    </row>
    <row r="21" spans="1:17" x14ac:dyDescent="0.25">
      <c r="A21" t="str">
        <f ca="1"/>
        <v>BGHIX</v>
      </c>
      <c r="B21" t="e">
        <f ca="1"/>
        <v>#VALUE!</v>
      </c>
      <c r="C21" t="e">
        <f ca="1"/>
        <v>#VALUE!</v>
      </c>
      <c r="D21" t="e">
        <f ca="1"/>
        <v>#VALUE!</v>
      </c>
      <c r="E21" t="e">
        <f ca="1"/>
        <v>#VALUE!</v>
      </c>
      <c r="F21" t="e">
        <f ca="1"/>
        <v>#VALUE!</v>
      </c>
      <c r="G21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t="e">
        <f ca="1"/>
        <v>#VALUE!</v>
      </c>
      <c r="L21" t="e">
        <f ca="1"/>
        <v>#VALUE!</v>
      </c>
      <c r="M21" t="e">
        <f ca="1"/>
        <v>#VALUE!</v>
      </c>
      <c r="N21" t="e">
        <f ca="1"/>
        <v>#VALUE!</v>
      </c>
      <c r="O21" t="e">
        <f ca="1"/>
        <v>#VALUE!</v>
      </c>
      <c r="P21" t="e">
        <f ca="1"/>
        <v>#VALUE!</v>
      </c>
      <c r="Q21" t="e">
        <f ca="1"/>
        <v>#VALUE!</v>
      </c>
    </row>
    <row r="22" spans="1:17" x14ac:dyDescent="0.25">
      <c r="A22" t="str">
        <f ca="1"/>
        <v>BGSIX</v>
      </c>
      <c r="B22" t="e">
        <f ca="1"/>
        <v>#VALUE!</v>
      </c>
      <c r="C22" t="e">
        <f ca="1"/>
        <v>#VALUE!</v>
      </c>
      <c r="D22" t="e">
        <f ca="1"/>
        <v>#VALUE!</v>
      </c>
      <c r="E22" t="e">
        <f ca="1"/>
        <v>#VALUE!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  <c r="L22" t="e">
        <f ca="1"/>
        <v>#VALUE!</v>
      </c>
      <c r="M22" t="e">
        <f ca="1"/>
        <v>#VALUE!</v>
      </c>
      <c r="N22" t="e">
        <f ca="1"/>
        <v>#VALUE!</v>
      </c>
      <c r="O22" t="e">
        <f ca="1"/>
        <v>#VALUE!</v>
      </c>
      <c r="P22" t="e">
        <f ca="1"/>
        <v>#VALUE!</v>
      </c>
      <c r="Q22" t="e">
        <f ca="1"/>
        <v>#VALUE!</v>
      </c>
    </row>
    <row r="23" spans="1:17" x14ac:dyDescent="0.25">
      <c r="A23" t="str">
        <f ca="1"/>
        <v>BIDIX</v>
      </c>
      <c r="B23" t="e">
        <f ca="1"/>
        <v>#VALUE!</v>
      </c>
      <c r="C23" t="e">
        <f ca="1"/>
        <v>#VALUE!</v>
      </c>
      <c r="D23" t="e">
        <f ca="1"/>
        <v>#VALUE!</v>
      </c>
      <c r="E23" t="e">
        <f ca="1"/>
        <v>#VALUE!</v>
      </c>
      <c r="F23" t="e">
        <f ca="1"/>
        <v>#VALUE!</v>
      </c>
      <c r="G23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t="e">
        <f ca="1"/>
        <v>#VALUE!</v>
      </c>
      <c r="L23" t="e">
        <f ca="1"/>
        <v>#VALUE!</v>
      </c>
      <c r="M23" t="e">
        <f ca="1"/>
        <v>#VALUE!</v>
      </c>
      <c r="N23" t="e">
        <f ca="1"/>
        <v>#VALUE!</v>
      </c>
      <c r="O23" t="e">
        <f ca="1"/>
        <v>#VALUE!</v>
      </c>
      <c r="P23" t="e">
        <f ca="1"/>
        <v>#VALUE!</v>
      </c>
      <c r="Q23" t="e">
        <f ca="1"/>
        <v>#VALUE!</v>
      </c>
    </row>
    <row r="24" spans="1:17" x14ac:dyDescent="0.25">
      <c r="A24" t="str">
        <f ca="1"/>
        <v>BIL</v>
      </c>
      <c r="B24" t="str">
        <f ca="1"/>
        <v>etf</v>
      </c>
      <c r="C24" t="str">
        <f ca="1"/>
        <v>SPDR Bloomberg 1-3 Month T-Bill ETF</v>
      </c>
      <c r="D24" t="str">
        <f ca="1"/>
        <v>US Short Term Government Bond</v>
      </c>
      <c r="E24" t="str">
        <f ca="1"/>
        <v>^BBUGCR13YT</v>
      </c>
      <c r="F24" t="str">
        <f ca="1"/>
        <v>Bloomberg US Government/Credit 1-3 Year</v>
      </c>
      <c r="G24" t="str">
        <f ca="1"/>
        <v>Bloomberg US Treasury Bill 1-3 M TR USD</v>
      </c>
      <c r="H24">
        <f ca="1"/>
        <v>1.1719E-2</v>
      </c>
      <c r="I24">
        <f ca="1"/>
        <v>1.1921000000000001E-2</v>
      </c>
      <c r="J24">
        <f ca="1"/>
        <v>5.1909999999999998E-2</v>
      </c>
      <c r="K24">
        <f ca="1"/>
        <v>8.3529999999999993E-3</v>
      </c>
      <c r="L24">
        <f ca="1"/>
        <v>5.1909999999999998E-2</v>
      </c>
      <c r="M24">
        <f ca="1"/>
        <v>8.3529999999999993E-3</v>
      </c>
      <c r="N24">
        <f ca="1"/>
        <v>0.119408</v>
      </c>
      <c r="O24">
        <f ca="1"/>
        <v>6.7968000000000001E-2</v>
      </c>
      <c r="P24">
        <f ca="1"/>
        <v>0.122782</v>
      </c>
      <c r="Q24">
        <f ca="1"/>
        <v>4.1429000000000007E-2</v>
      </c>
    </row>
    <row r="25" spans="1:17" x14ac:dyDescent="0.25">
      <c r="A25" t="str">
        <f ca="1"/>
        <v>BIMSX</v>
      </c>
      <c r="B25" t="e">
        <f ca="1"/>
        <v>#VALUE!</v>
      </c>
      <c r="C25" t="e">
        <f ca="1"/>
        <v>#VALUE!</v>
      </c>
      <c r="D25" t="e">
        <f ca="1"/>
        <v>#VALUE!</v>
      </c>
      <c r="E25" t="e">
        <f ca="1"/>
        <v>#VALUE!</v>
      </c>
      <c r="F25" t="e">
        <f ca="1"/>
        <v>#VALUE!</v>
      </c>
      <c r="G25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t="e">
        <f ca="1"/>
        <v>#VALUE!</v>
      </c>
      <c r="L25" t="e">
        <f ca="1"/>
        <v>#VALUE!</v>
      </c>
      <c r="M25" t="e">
        <f ca="1"/>
        <v>#VALUE!</v>
      </c>
      <c r="N25" t="e">
        <f ca="1"/>
        <v>#VALUE!</v>
      </c>
      <c r="O25" t="e">
        <f ca="1"/>
        <v>#VALUE!</v>
      </c>
      <c r="P25" t="e">
        <f ca="1"/>
        <v>#VALUE!</v>
      </c>
      <c r="Q25" t="e">
        <f ca="1"/>
        <v>#VALUE!</v>
      </c>
    </row>
    <row r="26" spans="1:17" x14ac:dyDescent="0.25">
      <c r="A26" t="str">
        <f ca="1"/>
        <v>BIV</v>
      </c>
      <c r="B26" t="str">
        <f ca="1"/>
        <v>etf</v>
      </c>
      <c r="C26" t="str">
        <f ca="1"/>
        <v>Vanguard Intermediate-Term Bond Index Fund ETF</v>
      </c>
      <c r="D26" t="str">
        <f ca="1"/>
        <v>US Aggregate Bond</v>
      </c>
      <c r="E26" t="str">
        <f ca="1"/>
        <v>^BBUSATR</v>
      </c>
      <c r="F26" t="str">
        <f ca="1"/>
        <v>Bloomberg US Aggregate</v>
      </c>
      <c r="G26" t="str">
        <f ca="1"/>
        <v>Bloomberg US 5-10 GovCredit FlAdj TR USD</v>
      </c>
      <c r="H26">
        <f ca="1"/>
        <v>-3.4143E-2</v>
      </c>
      <c r="I26">
        <f ca="1"/>
        <v>-3.5260000000000014E-3</v>
      </c>
      <c r="J26">
        <f ca="1"/>
        <v>1.5687E-2</v>
      </c>
      <c r="K26">
        <f ca="1"/>
        <v>3.1850000000000003E-3</v>
      </c>
      <c r="L26">
        <f ca="1"/>
        <v>1.5687E-2</v>
      </c>
      <c r="M26">
        <f ca="1"/>
        <v>3.1850000000000003E-3</v>
      </c>
      <c r="N26">
        <f ca="1"/>
        <v>-6.497E-2</v>
      </c>
      <c r="O26">
        <f ca="1"/>
        <v>5.5589999999999945E-3</v>
      </c>
      <c r="P26">
        <f ca="1"/>
        <v>7.4600000000000003E-4</v>
      </c>
      <c r="Q26">
        <f ca="1"/>
        <v>1.6912E-2</v>
      </c>
    </row>
    <row r="27" spans="1:17" x14ac:dyDescent="0.25">
      <c r="A27" t="str">
        <f ca="1"/>
        <v>BLNIX</v>
      </c>
      <c r="B27" t="e">
        <f ca="1"/>
        <v>#VALUE!</v>
      </c>
      <c r="C27" t="e">
        <f ca="1"/>
        <v>#VALUE!</v>
      </c>
      <c r="D27" t="e">
        <f ca="1"/>
        <v>#VALUE!</v>
      </c>
      <c r="E27" t="e">
        <f ca="1"/>
        <v>#VALUE!</v>
      </c>
      <c r="F27" t="e">
        <f ca="1"/>
        <v>#VALUE!</v>
      </c>
      <c r="G27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t="e">
        <f ca="1"/>
        <v>#VALUE!</v>
      </c>
      <c r="L27" t="e">
        <f ca="1"/>
        <v>#VALUE!</v>
      </c>
      <c r="M27" t="e">
        <f ca="1"/>
        <v>#VALUE!</v>
      </c>
      <c r="N27" t="e">
        <f ca="1"/>
        <v>#VALUE!</v>
      </c>
      <c r="O27" t="e">
        <f ca="1"/>
        <v>#VALUE!</v>
      </c>
      <c r="P27" t="e">
        <f ca="1"/>
        <v>#VALUE!</v>
      </c>
      <c r="Q27" t="e">
        <f ca="1"/>
        <v>#VALUE!</v>
      </c>
    </row>
    <row r="28" spans="1:17" x14ac:dyDescent="0.25">
      <c r="A28" t="str">
        <f ca="1"/>
        <v>BMOIX</v>
      </c>
      <c r="B28" t="e">
        <f ca="1"/>
        <v>#VALUE!</v>
      </c>
      <c r="C28" t="e">
        <f ca="1"/>
        <v>#VALUE!</v>
      </c>
      <c r="D28" t="e">
        <f ca="1"/>
        <v>#VALUE!</v>
      </c>
      <c r="E28" t="e">
        <f ca="1"/>
        <v>#VALUE!</v>
      </c>
      <c r="F28" t="e">
        <f ca="1"/>
        <v>#VALUE!</v>
      </c>
      <c r="G28" t="e">
        <f ca="1"/>
        <v>#VALUE!</v>
      </c>
      <c r="H28" t="e">
        <f ca="1"/>
        <v>#VALUE!</v>
      </c>
      <c r="I28" t="e">
        <f ca="1"/>
        <v>#VALUE!</v>
      </c>
      <c r="J28" t="e">
        <f ca="1"/>
        <v>#VALUE!</v>
      </c>
      <c r="K28" t="e">
        <f ca="1"/>
        <v>#VALUE!</v>
      </c>
      <c r="L28" t="e">
        <f ca="1"/>
        <v>#VALUE!</v>
      </c>
      <c r="M28" t="e">
        <f ca="1"/>
        <v>#VALUE!</v>
      </c>
      <c r="N28" t="e">
        <f ca="1"/>
        <v>#VALUE!</v>
      </c>
      <c r="O28" t="e">
        <f ca="1"/>
        <v>#VALUE!</v>
      </c>
      <c r="P28" t="e">
        <f ca="1"/>
        <v>#VALUE!</v>
      </c>
      <c r="Q28" t="e">
        <f ca="1"/>
        <v>#VALUE!</v>
      </c>
    </row>
    <row r="29" spans="1:17" x14ac:dyDescent="0.25">
      <c r="A29" t="str">
        <f ca="1"/>
        <v>BND</v>
      </c>
      <c r="B29" t="str">
        <f ca="1"/>
        <v>etf</v>
      </c>
      <c r="C29" t="str">
        <f ca="1"/>
        <v>Vanguard Total Bond Market Index Fund ETF</v>
      </c>
      <c r="D29" t="str">
        <f ca="1"/>
        <v>US Aggregate Bond</v>
      </c>
      <c r="E29" t="str">
        <f ca="1"/>
        <v>^BBUSATR</v>
      </c>
      <c r="F29" t="str">
        <f ca="1"/>
        <v>Bloomberg US Aggregate</v>
      </c>
      <c r="G29" t="str">
        <f ca="1"/>
        <v>Bloomberg US Agg Float Adj TR USD</v>
      </c>
      <c r="H29">
        <f ca="1"/>
        <v>-3.0714999999999999E-2</v>
      </c>
      <c r="I29">
        <f ca="1"/>
        <v>-9.8000000000000864E-5</v>
      </c>
      <c r="J29">
        <f ca="1"/>
        <v>1.3766E-2</v>
      </c>
      <c r="K29">
        <f ca="1"/>
        <v>1.2640000000000012E-3</v>
      </c>
      <c r="L29">
        <f ca="1"/>
        <v>1.3766E-2</v>
      </c>
      <c r="M29">
        <f ca="1"/>
        <v>1.2640000000000012E-3</v>
      </c>
      <c r="N29">
        <f ca="1"/>
        <v>-6.9370000000000001E-2</v>
      </c>
      <c r="O29">
        <f ca="1"/>
        <v>1.1589999999999934E-3</v>
      </c>
      <c r="P29">
        <f ca="1"/>
        <v>-1.6237999999999999E-2</v>
      </c>
      <c r="Q29">
        <f ca="1"/>
        <v>-7.1999999999999148E-5</v>
      </c>
    </row>
    <row r="30" spans="1:17" x14ac:dyDescent="0.25">
      <c r="A30" t="str">
        <f ca="1"/>
        <v>BNDIX</v>
      </c>
      <c r="B30" t="e">
        <f ca="1"/>
        <v>#VALUE!</v>
      </c>
      <c r="C30" t="e">
        <f ca="1"/>
        <v>#VALUE!</v>
      </c>
      <c r="D30" t="e">
        <f ca="1"/>
        <v>#VALUE!</v>
      </c>
      <c r="E30" t="e">
        <f ca="1"/>
        <v>#VALUE!</v>
      </c>
      <c r="F30" t="e">
        <f ca="1"/>
        <v>#VALUE!</v>
      </c>
      <c r="G30" t="e">
        <f ca="1"/>
        <v>#VALUE!</v>
      </c>
      <c r="H30" t="e">
        <f ca="1"/>
        <v>#VALUE!</v>
      </c>
      <c r="I30" t="e">
        <f ca="1"/>
        <v>#VALUE!</v>
      </c>
      <c r="J30" t="e">
        <f ca="1"/>
        <v>#VALUE!</v>
      </c>
      <c r="K30" t="e">
        <f ca="1"/>
        <v>#VALUE!</v>
      </c>
      <c r="L30" t="e">
        <f ca="1"/>
        <v>#VALUE!</v>
      </c>
      <c r="M30" t="e">
        <f ca="1"/>
        <v>#VALUE!</v>
      </c>
      <c r="N30" t="e">
        <f ca="1"/>
        <v>#VALUE!</v>
      </c>
      <c r="O30" t="e">
        <f ca="1"/>
        <v>#VALUE!</v>
      </c>
      <c r="P30" t="e">
        <f ca="1"/>
        <v>#VALUE!</v>
      </c>
      <c r="Q30" t="e">
        <f ca="1"/>
        <v>#VALUE!</v>
      </c>
    </row>
    <row r="31" spans="1:17" x14ac:dyDescent="0.25">
      <c r="A31" t="str">
        <f ca="1"/>
        <v>BPLEX</v>
      </c>
      <c r="B31" t="e">
        <f ca="1"/>
        <v>#VALUE!</v>
      </c>
      <c r="C31" t="e">
        <f ca="1"/>
        <v>#VALUE!</v>
      </c>
      <c r="D31" t="e">
        <f ca="1"/>
        <v>#VALUE!</v>
      </c>
      <c r="E31" t="e">
        <f ca="1"/>
        <v>#VALUE!</v>
      </c>
      <c r="F31" t="e">
        <f ca="1"/>
        <v>#VALUE!</v>
      </c>
      <c r="G31" t="e">
        <f ca="1"/>
        <v>#VALUE!</v>
      </c>
      <c r="H31" t="e">
        <f ca="1"/>
        <v>#VALUE!</v>
      </c>
      <c r="I31" t="e">
        <f ca="1"/>
        <v>#VALUE!</v>
      </c>
      <c r="J31" t="e">
        <f ca="1"/>
        <v>#VALUE!</v>
      </c>
      <c r="K31" t="e">
        <f ca="1"/>
        <v>#VALUE!</v>
      </c>
      <c r="L31" t="e">
        <f ca="1"/>
        <v>#VALUE!</v>
      </c>
      <c r="M31" t="e">
        <f ca="1"/>
        <v>#VALUE!</v>
      </c>
      <c r="N31" t="e">
        <f ca="1"/>
        <v>#VALUE!</v>
      </c>
      <c r="O31" t="e">
        <f ca="1"/>
        <v>#VALUE!</v>
      </c>
      <c r="P31" t="e">
        <f ca="1"/>
        <v>#VALUE!</v>
      </c>
      <c r="Q31" t="e">
        <f ca="1"/>
        <v>#VALUE!</v>
      </c>
    </row>
    <row r="32" spans="1:17" x14ac:dyDescent="0.25">
      <c r="A32" t="str">
        <f ca="1"/>
        <v>BSIIX</v>
      </c>
      <c r="B32" t="e">
        <f ca="1"/>
        <v>#VALUE!</v>
      </c>
      <c r="C32" t="e">
        <f ca="1"/>
        <v>#VALUE!</v>
      </c>
      <c r="D32" t="e">
        <f ca="1"/>
        <v>#VALUE!</v>
      </c>
      <c r="E32" t="e">
        <f ca="1"/>
        <v>#VALUE!</v>
      </c>
      <c r="F32" t="e">
        <f ca="1"/>
        <v>#VALUE!</v>
      </c>
      <c r="G32" t="e">
        <f ca="1"/>
        <v>#VALUE!</v>
      </c>
      <c r="H32" t="e">
        <f ca="1"/>
        <v>#VALUE!</v>
      </c>
      <c r="I32" t="e">
        <f ca="1"/>
        <v>#VALUE!</v>
      </c>
      <c r="J32" t="e">
        <f ca="1"/>
        <v>#VALUE!</v>
      </c>
      <c r="K32" t="e">
        <f ca="1"/>
        <v>#VALUE!</v>
      </c>
      <c r="L32" t="e">
        <f ca="1"/>
        <v>#VALUE!</v>
      </c>
      <c r="M32" t="e">
        <f ca="1"/>
        <v>#VALUE!</v>
      </c>
      <c r="N32" t="e">
        <f ca="1"/>
        <v>#VALUE!</v>
      </c>
      <c r="O32" t="e">
        <f ca="1"/>
        <v>#VALUE!</v>
      </c>
      <c r="P32" t="e">
        <f ca="1"/>
        <v>#VALUE!</v>
      </c>
      <c r="Q32" t="e">
        <f ca="1"/>
        <v>#VALUE!</v>
      </c>
    </row>
    <row r="33" spans="1:17" x14ac:dyDescent="0.25">
      <c r="A33" t="str">
        <f ca="1"/>
        <v>BTIFX</v>
      </c>
      <c r="B33" t="e">
        <f ca="1"/>
        <v>#VALUE!</v>
      </c>
      <c r="C33" t="e">
        <f ca="1"/>
        <v>#VALUE!</v>
      </c>
      <c r="D33" t="e">
        <f ca="1"/>
        <v>#VALUE!</v>
      </c>
      <c r="E33" t="e">
        <f ca="1"/>
        <v>#VALUE!</v>
      </c>
      <c r="F33" t="e">
        <f ca="1"/>
        <v>#VALUE!</v>
      </c>
      <c r="G33" t="e">
        <f ca="1"/>
        <v>#VALUE!</v>
      </c>
      <c r="H33" t="e">
        <f ca="1"/>
        <v>#VALUE!</v>
      </c>
      <c r="I33" t="e">
        <f ca="1"/>
        <v>#VALUE!</v>
      </c>
      <c r="J33" t="e">
        <f ca="1"/>
        <v>#VALUE!</v>
      </c>
      <c r="K33" t="e">
        <f ca="1"/>
        <v>#VALUE!</v>
      </c>
      <c r="L33" t="e">
        <f ca="1"/>
        <v>#VALUE!</v>
      </c>
      <c r="M33" t="e">
        <f ca="1"/>
        <v>#VALUE!</v>
      </c>
      <c r="N33" t="e">
        <f ca="1"/>
        <v>#VALUE!</v>
      </c>
      <c r="O33" t="e">
        <f ca="1"/>
        <v>#VALUE!</v>
      </c>
      <c r="P33" t="e">
        <f ca="1"/>
        <v>#VALUE!</v>
      </c>
      <c r="Q33" t="e">
        <f ca="1"/>
        <v>#VALUE!</v>
      </c>
    </row>
    <row r="34" spans="1:17" x14ac:dyDescent="0.25">
      <c r="A34" t="str">
        <f ca="1"/>
        <v>BXDYX</v>
      </c>
      <c r="B34" t="e">
        <f ca="1"/>
        <v>#VALUE!</v>
      </c>
      <c r="C34" t="e">
        <f ca="1"/>
        <v>#VALUE!</v>
      </c>
      <c r="D34" t="e">
        <f ca="1"/>
        <v>#VALUE!</v>
      </c>
      <c r="E34" t="e">
        <f ca="1"/>
        <v>#VALUE!</v>
      </c>
      <c r="F34" t="e">
        <f ca="1"/>
        <v>#VALUE!</v>
      </c>
      <c r="G34" t="e">
        <f ca="1"/>
        <v>#VALUE!</v>
      </c>
      <c r="H34" t="e">
        <f ca="1"/>
        <v>#VALUE!</v>
      </c>
      <c r="I34" t="e">
        <f ca="1"/>
        <v>#VALUE!</v>
      </c>
      <c r="J34" t="e">
        <f ca="1"/>
        <v>#VALUE!</v>
      </c>
      <c r="K34" t="e">
        <f ca="1"/>
        <v>#VALUE!</v>
      </c>
      <c r="L34" t="e">
        <f ca="1"/>
        <v>#VALUE!</v>
      </c>
      <c r="M34" t="e">
        <f ca="1"/>
        <v>#VALUE!</v>
      </c>
      <c r="N34" t="e">
        <f ca="1"/>
        <v>#VALUE!</v>
      </c>
      <c r="O34" t="e">
        <f ca="1"/>
        <v>#VALUE!</v>
      </c>
      <c r="P34" t="e">
        <f ca="1"/>
        <v>#VALUE!</v>
      </c>
      <c r="Q34" t="e">
        <f ca="1"/>
        <v>#VALUE!</v>
      </c>
    </row>
    <row r="35" spans="1:17" x14ac:dyDescent="0.25">
      <c r="A35" t="str">
        <f ca="1"/>
        <v>CADLX</v>
      </c>
      <c r="B35" t="e">
        <f ca="1"/>
        <v>#VALUE!</v>
      </c>
      <c r="C35" t="e">
        <f ca="1"/>
        <v>#VALUE!</v>
      </c>
      <c r="D35" t="e">
        <f ca="1"/>
        <v>#VALUE!</v>
      </c>
      <c r="E35" t="e">
        <f ca="1"/>
        <v>#VALUE!</v>
      </c>
      <c r="F35" t="e">
        <f ca="1"/>
        <v>#VALUE!</v>
      </c>
      <c r="G35" t="e">
        <f ca="1"/>
        <v>#VALUE!</v>
      </c>
      <c r="H35" t="e">
        <f ca="1"/>
        <v>#VALUE!</v>
      </c>
      <c r="I35" t="e">
        <f ca="1"/>
        <v>#VALUE!</v>
      </c>
      <c r="J35" t="e">
        <f ca="1"/>
        <v>#VALUE!</v>
      </c>
      <c r="K35" t="e">
        <f ca="1"/>
        <v>#VALUE!</v>
      </c>
      <c r="L35" t="e">
        <f ca="1"/>
        <v>#VALUE!</v>
      </c>
      <c r="M35" t="e">
        <f ca="1"/>
        <v>#VALUE!</v>
      </c>
      <c r="N35" t="e">
        <f ca="1"/>
        <v>#VALUE!</v>
      </c>
      <c r="O35" t="e">
        <f ca="1"/>
        <v>#VALUE!</v>
      </c>
      <c r="P35" t="e">
        <f ca="1"/>
        <v>#VALUE!</v>
      </c>
      <c r="Q35" t="e">
        <f ca="1"/>
        <v>#VALUE!</v>
      </c>
    </row>
    <row r="36" spans="1:17" x14ac:dyDescent="0.25">
      <c r="A36" t="str">
        <f ca="1"/>
        <v>CADUX</v>
      </c>
      <c r="B36" t="e">
        <f ca="1"/>
        <v>#VALUE!</v>
      </c>
      <c r="C36" t="e">
        <f ca="1"/>
        <v>#VALUE!</v>
      </c>
      <c r="D36" t="e">
        <f ca="1"/>
        <v>#VALUE!</v>
      </c>
      <c r="E36" t="e">
        <f ca="1"/>
        <v>#VALUE!</v>
      </c>
      <c r="F36" t="e">
        <f ca="1"/>
        <v>#VALUE!</v>
      </c>
      <c r="G36" t="e">
        <f ca="1"/>
        <v>#VALUE!</v>
      </c>
      <c r="H36" t="e">
        <f ca="1"/>
        <v>#VALUE!</v>
      </c>
      <c r="I36" t="e">
        <f ca="1"/>
        <v>#VALUE!</v>
      </c>
      <c r="J36" t="e">
        <f ca="1"/>
        <v>#VALUE!</v>
      </c>
      <c r="K36" t="e">
        <f ca="1"/>
        <v>#VALUE!</v>
      </c>
      <c r="L36" t="e">
        <f ca="1"/>
        <v>#VALUE!</v>
      </c>
      <c r="M36" t="e">
        <f ca="1"/>
        <v>#VALUE!</v>
      </c>
      <c r="N36" t="e">
        <f ca="1"/>
        <v>#VALUE!</v>
      </c>
      <c r="O36" t="e">
        <f ca="1"/>
        <v>#VALUE!</v>
      </c>
      <c r="P36" t="e">
        <f ca="1"/>
        <v>#VALUE!</v>
      </c>
      <c r="Q36" t="e">
        <f ca="1"/>
        <v>#VALUE!</v>
      </c>
    </row>
    <row r="37" spans="1:17" x14ac:dyDescent="0.25">
      <c r="A37" t="str">
        <f ca="1"/>
        <v>CASH</v>
      </c>
      <c r="B37" t="str">
        <f ca="1"/>
        <v>stock</v>
      </c>
      <c r="C37" t="e">
        <f ca="1"/>
        <v>#VALUE!</v>
      </c>
      <c r="D37" t="e">
        <f ca="1"/>
        <v>#VALUE!</v>
      </c>
      <c r="E37" t="e">
        <f ca="1"/>
        <v>#VALUE!</v>
      </c>
      <c r="F37" t="e">
        <f ca="1"/>
        <v>#VALUE!</v>
      </c>
      <c r="G37" t="e">
        <f ca="1"/>
        <v>#VALUE!</v>
      </c>
      <c r="H37" t="str">
        <f ca="1"/>
        <v>ERR: INVALID MUTUAL FUND</v>
      </c>
      <c r="I37" t="e">
        <f ca="1"/>
        <v>#VALUE!</v>
      </c>
      <c r="J37" t="str">
        <f ca="1"/>
        <v>ERR: INVALID MUTUAL FUND</v>
      </c>
      <c r="K37" t="e">
        <f ca="1"/>
        <v>#VALUE!</v>
      </c>
      <c r="L37" t="str">
        <f ca="1"/>
        <v>ERR: INVALID MUTUAL FUND</v>
      </c>
      <c r="M37" t="e">
        <f ca="1"/>
        <v>#VALUE!</v>
      </c>
      <c r="N37" t="str">
        <f ca="1"/>
        <v>ERR: INVALID MUTUAL FUND</v>
      </c>
      <c r="O37" t="e">
        <f ca="1"/>
        <v>#VALUE!</v>
      </c>
      <c r="P37" t="str">
        <f ca="1"/>
        <v>ERR: INVALID MUTUAL FUND</v>
      </c>
      <c r="Q37" t="e">
        <f ca="1"/>
        <v>#VALUE!</v>
      </c>
    </row>
    <row r="38" spans="1:17" x14ac:dyDescent="0.25">
      <c r="A38" t="str">
        <f ca="1"/>
        <v>CCSZX</v>
      </c>
      <c r="B38" t="e">
        <f ca="1"/>
        <v>#VALUE!</v>
      </c>
      <c r="C38" t="e">
        <f ca="1"/>
        <v>#VALUE!</v>
      </c>
      <c r="D38" t="e">
        <f ca="1"/>
        <v>#VALUE!</v>
      </c>
      <c r="E38" t="e">
        <f ca="1"/>
        <v>#VALUE!</v>
      </c>
      <c r="F38" t="e">
        <f ca="1"/>
        <v>#VALUE!</v>
      </c>
      <c r="G38" t="e">
        <f ca="1"/>
        <v>#VALUE!</v>
      </c>
      <c r="H38" t="e">
        <f ca="1"/>
        <v>#VALUE!</v>
      </c>
      <c r="I38" t="e">
        <f ca="1"/>
        <v>#VALUE!</v>
      </c>
      <c r="J38" t="e">
        <f ca="1"/>
        <v>#VALUE!</v>
      </c>
      <c r="K38" t="e">
        <f ca="1"/>
        <v>#VALUE!</v>
      </c>
      <c r="L38" t="e">
        <f ca="1"/>
        <v>#VALUE!</v>
      </c>
      <c r="M38" t="e">
        <f ca="1"/>
        <v>#VALUE!</v>
      </c>
      <c r="N38" t="e">
        <f ca="1"/>
        <v>#VALUE!</v>
      </c>
      <c r="O38" t="e">
        <f ca="1"/>
        <v>#VALUE!</v>
      </c>
      <c r="P38" t="e">
        <f ca="1"/>
        <v>#VALUE!</v>
      </c>
      <c r="Q38" t="e">
        <f ca="1"/>
        <v>#VALUE!</v>
      </c>
    </row>
    <row r="39" spans="1:17" x14ac:dyDescent="0.25">
      <c r="A39" t="str">
        <f ca="1"/>
        <v>CINCX</v>
      </c>
      <c r="B39" t="e">
        <f ca="1"/>
        <v>#VALUE!</v>
      </c>
      <c r="C39" t="e">
        <f ca="1"/>
        <v>#VALUE!</v>
      </c>
      <c r="D39" t="e">
        <f ca="1"/>
        <v>#VALUE!</v>
      </c>
      <c r="E39" t="e">
        <f ca="1"/>
        <v>#VALUE!</v>
      </c>
      <c r="F39" t="e">
        <f ca="1"/>
        <v>#VALUE!</v>
      </c>
      <c r="G39" t="e">
        <f ca="1"/>
        <v>#VALUE!</v>
      </c>
      <c r="H39" t="e">
        <f ca="1"/>
        <v>#VALUE!</v>
      </c>
      <c r="I39" t="e">
        <f ca="1"/>
        <v>#VALUE!</v>
      </c>
      <c r="J39" t="e">
        <f ca="1"/>
        <v>#VALUE!</v>
      </c>
      <c r="K39" t="e">
        <f ca="1"/>
        <v>#VALUE!</v>
      </c>
      <c r="L39" t="e">
        <f ca="1"/>
        <v>#VALUE!</v>
      </c>
      <c r="M39" t="e">
        <f ca="1"/>
        <v>#VALUE!</v>
      </c>
      <c r="N39" t="e">
        <f ca="1"/>
        <v>#VALUE!</v>
      </c>
      <c r="O39" t="e">
        <f ca="1"/>
        <v>#VALUE!</v>
      </c>
      <c r="P39" t="e">
        <f ca="1"/>
        <v>#VALUE!</v>
      </c>
      <c r="Q39" t="e">
        <f ca="1"/>
        <v>#VALUE!</v>
      </c>
    </row>
    <row r="40" spans="1:17" x14ac:dyDescent="0.25">
      <c r="A40" t="str">
        <f ca="1"/>
        <v>CLMFX</v>
      </c>
      <c r="B40" t="e">
        <f ca="1"/>
        <v>#VALUE!</v>
      </c>
      <c r="C40" t="e">
        <f ca="1"/>
        <v>#VALUE!</v>
      </c>
      <c r="D40" t="e">
        <f ca="1"/>
        <v>#VALUE!</v>
      </c>
      <c r="E40" t="e">
        <f ca="1"/>
        <v>#VALUE!</v>
      </c>
      <c r="F40" t="e">
        <f ca="1"/>
        <v>#VALUE!</v>
      </c>
      <c r="G40" t="e">
        <f ca="1"/>
        <v>#VALUE!</v>
      </c>
      <c r="H40" t="e">
        <f ca="1"/>
        <v>#VALUE!</v>
      </c>
      <c r="I40" t="e">
        <f ca="1"/>
        <v>#VALUE!</v>
      </c>
      <c r="J40" t="e">
        <f ca="1"/>
        <v>#VALUE!</v>
      </c>
      <c r="K40" t="e">
        <f ca="1"/>
        <v>#VALUE!</v>
      </c>
      <c r="L40" t="e">
        <f ca="1"/>
        <v>#VALUE!</v>
      </c>
      <c r="M40" t="e">
        <f ca="1"/>
        <v>#VALUE!</v>
      </c>
      <c r="N40" t="e">
        <f ca="1"/>
        <v>#VALUE!</v>
      </c>
      <c r="O40" t="e">
        <f ca="1"/>
        <v>#VALUE!</v>
      </c>
      <c r="P40" t="e">
        <f ca="1"/>
        <v>#VALUE!</v>
      </c>
      <c r="Q40" t="e">
        <f ca="1"/>
        <v>#VALUE!</v>
      </c>
    </row>
    <row r="41" spans="1:17" x14ac:dyDescent="0.25">
      <c r="A41" t="str">
        <f ca="1"/>
        <v>CLMVX</v>
      </c>
      <c r="B41" t="e">
        <f ca="1"/>
        <v>#VALUE!</v>
      </c>
      <c r="C41" t="e">
        <f ca="1"/>
        <v>#VALUE!</v>
      </c>
      <c r="D41" t="e">
        <f ca="1"/>
        <v>#VALUE!</v>
      </c>
      <c r="E41" t="e">
        <f ca="1"/>
        <v>#VALUE!</v>
      </c>
      <c r="F41" t="e">
        <f ca="1"/>
        <v>#VALUE!</v>
      </c>
      <c r="G41" t="e">
        <f ca="1"/>
        <v>#VALUE!</v>
      </c>
      <c r="H41" t="e">
        <f ca="1"/>
        <v>#VALUE!</v>
      </c>
      <c r="I41" t="e">
        <f ca="1"/>
        <v>#VALUE!</v>
      </c>
      <c r="J41" t="e">
        <f ca="1"/>
        <v>#VALUE!</v>
      </c>
      <c r="K41" t="e">
        <f ca="1"/>
        <v>#VALUE!</v>
      </c>
      <c r="L41" t="e">
        <f ca="1"/>
        <v>#VALUE!</v>
      </c>
      <c r="M41" t="e">
        <f ca="1"/>
        <v>#VALUE!</v>
      </c>
      <c r="N41" t="e">
        <f ca="1"/>
        <v>#VALUE!</v>
      </c>
      <c r="O41" t="e">
        <f ca="1"/>
        <v>#VALUE!</v>
      </c>
      <c r="P41" t="e">
        <f ca="1"/>
        <v>#VALUE!</v>
      </c>
      <c r="Q41" t="e">
        <f ca="1"/>
        <v>#VALUE!</v>
      </c>
    </row>
    <row r="42" spans="1:17" x14ac:dyDescent="0.25">
      <c r="A42" t="str">
        <f ca="1"/>
        <v>COSSX</v>
      </c>
      <c r="B42" t="e">
        <f ca="1"/>
        <v>#VALUE!</v>
      </c>
      <c r="C42" t="e">
        <f ca="1"/>
        <v>#VALUE!</v>
      </c>
      <c r="D42" t="e">
        <f ca="1"/>
        <v>#VALUE!</v>
      </c>
      <c r="E42" t="e">
        <f ca="1"/>
        <v>#VALUE!</v>
      </c>
      <c r="F42" t="e">
        <f ca="1"/>
        <v>#VALUE!</v>
      </c>
      <c r="G42" t="e">
        <f ca="1"/>
        <v>#VALUE!</v>
      </c>
      <c r="H42" t="e">
        <f ca="1"/>
        <v>#VALUE!</v>
      </c>
      <c r="I42" t="e">
        <f ca="1"/>
        <v>#VALUE!</v>
      </c>
      <c r="J42" t="e">
        <f ca="1"/>
        <v>#VALUE!</v>
      </c>
      <c r="K42" t="e">
        <f ca="1"/>
        <v>#VALUE!</v>
      </c>
      <c r="L42" t="e">
        <f ca="1"/>
        <v>#VALUE!</v>
      </c>
      <c r="M42" t="e">
        <f ca="1"/>
        <v>#VALUE!</v>
      </c>
      <c r="N42" t="e">
        <f ca="1"/>
        <v>#VALUE!</v>
      </c>
      <c r="O42" t="e">
        <f ca="1"/>
        <v>#VALUE!</v>
      </c>
      <c r="P42" t="e">
        <f ca="1"/>
        <v>#VALUE!</v>
      </c>
      <c r="Q42" t="e">
        <f ca="1"/>
        <v>#VALUE!</v>
      </c>
    </row>
    <row r="43" spans="1:17" x14ac:dyDescent="0.25">
      <c r="A43" t="str">
        <f ca="1"/>
        <v>COVAX</v>
      </c>
      <c r="B43" t="e">
        <f ca="1"/>
        <v>#VALUE!</v>
      </c>
      <c r="C43" t="e">
        <f ca="1"/>
        <v>#VALUE!</v>
      </c>
      <c r="D43" t="e">
        <f ca="1"/>
        <v>#VALUE!</v>
      </c>
      <c r="E43" t="e">
        <f ca="1"/>
        <v>#VALUE!</v>
      </c>
      <c r="F43" t="e">
        <f ca="1"/>
        <v>#VALUE!</v>
      </c>
      <c r="G43" t="e">
        <f ca="1"/>
        <v>#VALUE!</v>
      </c>
      <c r="H43" t="e">
        <f ca="1"/>
        <v>#VALUE!</v>
      </c>
      <c r="I43" t="e">
        <f ca="1"/>
        <v>#VALUE!</v>
      </c>
      <c r="J43" t="e">
        <f ca="1"/>
        <v>#VALUE!</v>
      </c>
      <c r="K43" t="e">
        <f ca="1"/>
        <v>#VALUE!</v>
      </c>
      <c r="L43" t="e">
        <f ca="1"/>
        <v>#VALUE!</v>
      </c>
      <c r="M43" t="e">
        <f ca="1"/>
        <v>#VALUE!</v>
      </c>
      <c r="N43" t="e">
        <f ca="1"/>
        <v>#VALUE!</v>
      </c>
      <c r="O43" t="e">
        <f ca="1"/>
        <v>#VALUE!</v>
      </c>
      <c r="P43" t="e">
        <f ca="1"/>
        <v>#VALUE!</v>
      </c>
      <c r="Q43" t="e">
        <f ca="1"/>
        <v>#VALUE!</v>
      </c>
    </row>
    <row r="44" spans="1:17" x14ac:dyDescent="0.25">
      <c r="A44" t="str">
        <f ca="1"/>
        <v>CRDIX</v>
      </c>
      <c r="B44" t="e">
        <f ca="1"/>
        <v>#VALUE!</v>
      </c>
      <c r="C44" t="e">
        <f ca="1"/>
        <v>#VALUE!</v>
      </c>
      <c r="D44" t="e">
        <f ca="1"/>
        <v>#VALUE!</v>
      </c>
      <c r="E44" t="e">
        <f ca="1"/>
        <v>#VALUE!</v>
      </c>
      <c r="F44" t="e">
        <f ca="1"/>
        <v>#VALUE!</v>
      </c>
      <c r="G44" t="e">
        <f ca="1"/>
        <v>#VALUE!</v>
      </c>
      <c r="H44" t="e">
        <f ca="1"/>
        <v>#VALUE!</v>
      </c>
      <c r="I44" t="e">
        <f ca="1"/>
        <v>#VALUE!</v>
      </c>
      <c r="J44" t="e">
        <f ca="1"/>
        <v>#VALUE!</v>
      </c>
      <c r="K44" t="e">
        <f ca="1"/>
        <v>#VALUE!</v>
      </c>
      <c r="L44" t="e">
        <f ca="1"/>
        <v>#VALUE!</v>
      </c>
      <c r="M44" t="e">
        <f ca="1"/>
        <v>#VALUE!</v>
      </c>
      <c r="N44" t="e">
        <f ca="1"/>
        <v>#VALUE!</v>
      </c>
      <c r="O44" t="e">
        <f ca="1"/>
        <v>#VALUE!</v>
      </c>
      <c r="P44" t="e">
        <f ca="1"/>
        <v>#VALUE!</v>
      </c>
      <c r="Q44" t="e">
        <f ca="1"/>
        <v>#VALUE!</v>
      </c>
    </row>
    <row r="45" spans="1:17" x14ac:dyDescent="0.25">
      <c r="A45" t="str">
        <f ca="1"/>
        <v>CRRRX</v>
      </c>
      <c r="B45" t="e">
        <f ca="1"/>
        <v>#VALUE!</v>
      </c>
      <c r="C45" t="e">
        <f ca="1"/>
        <v>#VALUE!</v>
      </c>
      <c r="D45" t="e">
        <f ca="1"/>
        <v>#VALUE!</v>
      </c>
      <c r="E45" t="e">
        <f ca="1"/>
        <v>#VALUE!</v>
      </c>
      <c r="F45" t="e">
        <f ca="1"/>
        <v>#VALUE!</v>
      </c>
      <c r="G45" t="e">
        <f ca="1"/>
        <v>#VALUE!</v>
      </c>
      <c r="H45" t="e">
        <f ca="1"/>
        <v>#VALUE!</v>
      </c>
      <c r="I45" t="e">
        <f ca="1"/>
        <v>#VALUE!</v>
      </c>
      <c r="J45" t="e">
        <f ca="1"/>
        <v>#VALUE!</v>
      </c>
      <c r="K45" t="e">
        <f ca="1"/>
        <v>#VALUE!</v>
      </c>
      <c r="L45" t="e">
        <f ca="1"/>
        <v>#VALUE!</v>
      </c>
      <c r="M45" t="e">
        <f ca="1"/>
        <v>#VALUE!</v>
      </c>
      <c r="N45" t="e">
        <f ca="1"/>
        <v>#VALUE!</v>
      </c>
      <c r="O45" t="e">
        <f ca="1"/>
        <v>#VALUE!</v>
      </c>
      <c r="P45" t="e">
        <f ca="1"/>
        <v>#VALUE!</v>
      </c>
      <c r="Q45" t="e">
        <f ca="1"/>
        <v>#VALUE!</v>
      </c>
    </row>
    <row r="46" spans="1:17" x14ac:dyDescent="0.25">
      <c r="A46" t="str">
        <f ca="1"/>
        <v>CRRYX</v>
      </c>
      <c r="B46" t="e">
        <f ca="1"/>
        <v>#VALUE!</v>
      </c>
      <c r="C46" t="e">
        <f ca="1"/>
        <v>#VALUE!</v>
      </c>
      <c r="D46" t="e">
        <f ca="1"/>
        <v>#VALUE!</v>
      </c>
      <c r="E46" t="e">
        <f ca="1"/>
        <v>#VALUE!</v>
      </c>
      <c r="F46" t="e">
        <f ca="1"/>
        <v>#VALUE!</v>
      </c>
      <c r="G46" t="e">
        <f ca="1"/>
        <v>#VALUE!</v>
      </c>
      <c r="H46" t="e">
        <f ca="1"/>
        <v>#VALUE!</v>
      </c>
      <c r="I46" t="e">
        <f ca="1"/>
        <v>#VALUE!</v>
      </c>
      <c r="J46" t="e">
        <f ca="1"/>
        <v>#VALUE!</v>
      </c>
      <c r="K46" t="e">
        <f ca="1"/>
        <v>#VALUE!</v>
      </c>
      <c r="L46" t="e">
        <f ca="1"/>
        <v>#VALUE!</v>
      </c>
      <c r="M46" t="e">
        <f ca="1"/>
        <v>#VALUE!</v>
      </c>
      <c r="N46" t="e">
        <f ca="1"/>
        <v>#VALUE!</v>
      </c>
      <c r="O46" t="e">
        <f ca="1"/>
        <v>#VALUE!</v>
      </c>
      <c r="P46" t="e">
        <f ca="1"/>
        <v>#VALUE!</v>
      </c>
      <c r="Q46" t="e">
        <f ca="1"/>
        <v>#VALUE!</v>
      </c>
    </row>
    <row r="47" spans="1:17" x14ac:dyDescent="0.25">
      <c r="A47" t="str">
        <f ca="1"/>
        <v>CYBAX</v>
      </c>
      <c r="B47" t="e">
        <f ca="1"/>
        <v>#VALUE!</v>
      </c>
      <c r="C47" t="e">
        <f ca="1"/>
        <v>#VALUE!</v>
      </c>
      <c r="D47" t="e">
        <f ca="1"/>
        <v>#VALUE!</v>
      </c>
      <c r="E47" t="e">
        <f ca="1"/>
        <v>#VALUE!</v>
      </c>
      <c r="F47" t="e">
        <f ca="1"/>
        <v>#VALUE!</v>
      </c>
      <c r="G47" t="e">
        <f ca="1"/>
        <v>#VALUE!</v>
      </c>
      <c r="H47" t="e">
        <f ca="1"/>
        <v>#VALUE!</v>
      </c>
      <c r="I47" t="e">
        <f ca="1"/>
        <v>#VALUE!</v>
      </c>
      <c r="J47" t="e">
        <f ca="1"/>
        <v>#VALUE!</v>
      </c>
      <c r="K47" t="e">
        <f ca="1"/>
        <v>#VALUE!</v>
      </c>
      <c r="L47" t="e">
        <f ca="1"/>
        <v>#VALUE!</v>
      </c>
      <c r="M47" t="e">
        <f ca="1"/>
        <v>#VALUE!</v>
      </c>
      <c r="N47" t="e">
        <f ca="1"/>
        <v>#VALUE!</v>
      </c>
      <c r="O47" t="e">
        <f ca="1"/>
        <v>#VALUE!</v>
      </c>
      <c r="P47" t="e">
        <f ca="1"/>
        <v>#VALUE!</v>
      </c>
      <c r="Q47" t="e">
        <f ca="1"/>
        <v>#VALUE!</v>
      </c>
    </row>
    <row r="48" spans="1:17" x14ac:dyDescent="0.25">
      <c r="A48" t="str">
        <f ca="1"/>
        <v>DFGBX</v>
      </c>
      <c r="B48" t="e">
        <f ca="1"/>
        <v>#VALUE!</v>
      </c>
      <c r="C48" t="e">
        <f ca="1"/>
        <v>#VALUE!</v>
      </c>
      <c r="D48" t="e">
        <f ca="1"/>
        <v>#VALUE!</v>
      </c>
      <c r="E48" t="e">
        <f ca="1"/>
        <v>#VALUE!</v>
      </c>
      <c r="F48" t="e">
        <f ca="1"/>
        <v>#VALUE!</v>
      </c>
      <c r="G48" t="e">
        <f ca="1"/>
        <v>#VALUE!</v>
      </c>
      <c r="H48" t="e">
        <f ca="1"/>
        <v>#VALUE!</v>
      </c>
      <c r="I48" t="e">
        <f ca="1"/>
        <v>#VALUE!</v>
      </c>
      <c r="J48" t="e">
        <f ca="1"/>
        <v>#VALUE!</v>
      </c>
      <c r="K48" t="e">
        <f ca="1"/>
        <v>#VALUE!</v>
      </c>
      <c r="L48" t="e">
        <f ca="1"/>
        <v>#VALUE!</v>
      </c>
      <c r="M48" t="e">
        <f ca="1"/>
        <v>#VALUE!</v>
      </c>
      <c r="N48" t="e">
        <f ca="1"/>
        <v>#VALUE!</v>
      </c>
      <c r="O48" t="e">
        <f ca="1"/>
        <v>#VALUE!</v>
      </c>
      <c r="P48" t="e">
        <f ca="1"/>
        <v>#VALUE!</v>
      </c>
      <c r="Q48" t="e">
        <f ca="1"/>
        <v>#VALUE!</v>
      </c>
    </row>
    <row r="49" spans="1:17" x14ac:dyDescent="0.25">
      <c r="A49" t="str">
        <f ca="1"/>
        <v>DFGEX</v>
      </c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F49" t="e">
        <f ca="1"/>
        <v>#VALUE!</v>
      </c>
      <c r="G49" t="e">
        <f ca="1"/>
        <v>#VALUE!</v>
      </c>
      <c r="H49" t="e">
        <f ca="1"/>
        <v>#VALUE!</v>
      </c>
      <c r="I49" t="e">
        <f ca="1"/>
        <v>#VALUE!</v>
      </c>
      <c r="J49" t="e">
        <f ca="1"/>
        <v>#VALUE!</v>
      </c>
      <c r="K49" t="e">
        <f ca="1"/>
        <v>#VALUE!</v>
      </c>
      <c r="L49" t="e">
        <f ca="1"/>
        <v>#VALUE!</v>
      </c>
      <c r="M49" t="e">
        <f ca="1"/>
        <v>#VALUE!</v>
      </c>
      <c r="N49" t="e">
        <f ca="1"/>
        <v>#VALUE!</v>
      </c>
      <c r="O49" t="e">
        <f ca="1"/>
        <v>#VALUE!</v>
      </c>
      <c r="P49" t="e">
        <f ca="1"/>
        <v>#VALUE!</v>
      </c>
      <c r="Q49" t="e">
        <f ca="1"/>
        <v>#VALUE!</v>
      </c>
    </row>
    <row r="50" spans="1:17" x14ac:dyDescent="0.25">
      <c r="A50" t="str">
        <f ca="1"/>
        <v>DFSMX</v>
      </c>
      <c r="B50" t="e">
        <f ca="1"/>
        <v>#VALUE!</v>
      </c>
      <c r="C50" t="e">
        <f ca="1"/>
        <v>#VALUE!</v>
      </c>
      <c r="D50" t="e">
        <f ca="1"/>
        <v>#VALUE!</v>
      </c>
      <c r="E50" t="e">
        <f ca="1"/>
        <v>#VALUE!</v>
      </c>
      <c r="F50" t="e">
        <f ca="1"/>
        <v>#VALUE!</v>
      </c>
      <c r="G50" t="e">
        <f ca="1"/>
        <v>#VALUE!</v>
      </c>
      <c r="H50" t="e">
        <f ca="1"/>
        <v>#VALUE!</v>
      </c>
      <c r="I50" t="e">
        <f ca="1"/>
        <v>#VALUE!</v>
      </c>
      <c r="J50" t="e">
        <f ca="1"/>
        <v>#VALUE!</v>
      </c>
      <c r="K50" t="e">
        <f ca="1"/>
        <v>#VALUE!</v>
      </c>
      <c r="L50" t="e">
        <f ca="1"/>
        <v>#VALUE!</v>
      </c>
      <c r="M50" t="e">
        <f ca="1"/>
        <v>#VALUE!</v>
      </c>
      <c r="N50" t="e">
        <f ca="1"/>
        <v>#VALUE!</v>
      </c>
      <c r="O50" t="e">
        <f ca="1"/>
        <v>#VALUE!</v>
      </c>
      <c r="P50" t="e">
        <f ca="1"/>
        <v>#VALUE!</v>
      </c>
      <c r="Q50" t="e">
        <f ca="1"/>
        <v>#VALUE!</v>
      </c>
    </row>
    <row r="51" spans="1:17" x14ac:dyDescent="0.25">
      <c r="A51" t="str">
        <f ca="1"/>
        <v>DFWIX</v>
      </c>
      <c r="B51" t="e">
        <f ca="1"/>
        <v>#VALUE!</v>
      </c>
      <c r="C51" t="e">
        <f ca="1"/>
        <v>#VALUE!</v>
      </c>
      <c r="D51" t="e">
        <f ca="1"/>
        <v>#VALUE!</v>
      </c>
      <c r="E51" t="e">
        <f ca="1"/>
        <v>#VALUE!</v>
      </c>
      <c r="F51" t="e">
        <f ca="1"/>
        <v>#VALUE!</v>
      </c>
      <c r="G51" t="e">
        <f ca="1"/>
        <v>#VALUE!</v>
      </c>
      <c r="H51" t="e">
        <f ca="1"/>
        <v>#VALUE!</v>
      </c>
      <c r="I51" t="e">
        <f ca="1"/>
        <v>#VALUE!</v>
      </c>
      <c r="J51" t="e">
        <f ca="1"/>
        <v>#VALUE!</v>
      </c>
      <c r="K51" t="e">
        <f ca="1"/>
        <v>#VALUE!</v>
      </c>
      <c r="L51" t="e">
        <f ca="1"/>
        <v>#VALUE!</v>
      </c>
      <c r="M51" t="e">
        <f ca="1"/>
        <v>#VALUE!</v>
      </c>
      <c r="N51" t="e">
        <f ca="1"/>
        <v>#VALUE!</v>
      </c>
      <c r="O51" t="e">
        <f ca="1"/>
        <v>#VALUE!</v>
      </c>
      <c r="P51" t="e">
        <f ca="1"/>
        <v>#VALUE!</v>
      </c>
      <c r="Q51" t="e">
        <f ca="1"/>
        <v>#VALUE!</v>
      </c>
    </row>
    <row r="52" spans="1:17" x14ac:dyDescent="0.25">
      <c r="A52" t="str">
        <f ca="1"/>
        <v>DGCIX</v>
      </c>
      <c r="B52" t="e">
        <f ca="1"/>
        <v>#VALUE!</v>
      </c>
      <c r="C52" t="e">
        <f ca="1"/>
        <v>#VALUE!</v>
      </c>
      <c r="D52" t="e">
        <f ca="1"/>
        <v>#VALUE!</v>
      </c>
      <c r="E52" t="e">
        <f ca="1"/>
        <v>#VALUE!</v>
      </c>
      <c r="F52" t="e">
        <f ca="1"/>
        <v>#VALUE!</v>
      </c>
      <c r="G52" t="e">
        <f ca="1"/>
        <v>#VALUE!</v>
      </c>
      <c r="H52" t="e">
        <f ca="1"/>
        <v>#VALUE!</v>
      </c>
      <c r="I52" t="e">
        <f ca="1"/>
        <v>#VALUE!</v>
      </c>
      <c r="J52" t="e">
        <f ca="1"/>
        <v>#VALUE!</v>
      </c>
      <c r="K52" t="e">
        <f ca="1"/>
        <v>#VALUE!</v>
      </c>
      <c r="L52" t="e">
        <f ca="1"/>
        <v>#VALUE!</v>
      </c>
      <c r="M52" t="e">
        <f ca="1"/>
        <v>#VALUE!</v>
      </c>
      <c r="N52" t="e">
        <f ca="1"/>
        <v>#VALUE!</v>
      </c>
      <c r="O52" t="e">
        <f ca="1"/>
        <v>#VALUE!</v>
      </c>
      <c r="P52" t="e">
        <f ca="1"/>
        <v>#VALUE!</v>
      </c>
      <c r="Q52" t="e">
        <f ca="1"/>
        <v>#VALUE!</v>
      </c>
    </row>
    <row r="53" spans="1:17" x14ac:dyDescent="0.25">
      <c r="A53" t="str">
        <f ca="1"/>
        <v>DHLSX</v>
      </c>
      <c r="B53" t="e">
        <f ca="1"/>
        <v>#VALUE!</v>
      </c>
      <c r="C53" t="e">
        <f ca="1"/>
        <v>#VALUE!</v>
      </c>
      <c r="D53" t="e">
        <f ca="1"/>
        <v>#VALUE!</v>
      </c>
      <c r="E53" t="e">
        <f ca="1"/>
        <v>#VALUE!</v>
      </c>
      <c r="F53" t="e">
        <f ca="1"/>
        <v>#VALUE!</v>
      </c>
      <c r="G53" t="e">
        <f ca="1"/>
        <v>#VALUE!</v>
      </c>
      <c r="H53" t="e">
        <f ca="1"/>
        <v>#VALUE!</v>
      </c>
      <c r="I53" t="e">
        <f ca="1"/>
        <v>#VALUE!</v>
      </c>
      <c r="J53" t="e">
        <f ca="1"/>
        <v>#VALUE!</v>
      </c>
      <c r="K53" t="e">
        <f ca="1"/>
        <v>#VALUE!</v>
      </c>
      <c r="L53" t="e">
        <f ca="1"/>
        <v>#VALUE!</v>
      </c>
      <c r="M53" t="e">
        <f ca="1"/>
        <v>#VALUE!</v>
      </c>
      <c r="N53" t="e">
        <f ca="1"/>
        <v>#VALUE!</v>
      </c>
      <c r="O53" t="e">
        <f ca="1"/>
        <v>#VALUE!</v>
      </c>
      <c r="P53" t="e">
        <f ca="1"/>
        <v>#VALUE!</v>
      </c>
      <c r="Q53" t="e">
        <f ca="1"/>
        <v>#VALUE!</v>
      </c>
    </row>
    <row r="54" spans="1:17" x14ac:dyDescent="0.25">
      <c r="A54" t="str">
        <f ca="1"/>
        <v>DIHRX</v>
      </c>
      <c r="B54" t="e">
        <f ca="1"/>
        <v>#VALUE!</v>
      </c>
      <c r="C54" t="e">
        <f ca="1"/>
        <v>#VALUE!</v>
      </c>
      <c r="D54" t="e">
        <f ca="1"/>
        <v>#VALUE!</v>
      </c>
      <c r="E54" t="e">
        <f ca="1"/>
        <v>#VALUE!</v>
      </c>
      <c r="F54" t="e">
        <f ca="1"/>
        <v>#VALUE!</v>
      </c>
      <c r="G54" t="e">
        <f ca="1"/>
        <v>#VALUE!</v>
      </c>
      <c r="H54" t="e">
        <f ca="1"/>
        <v>#VALUE!</v>
      </c>
      <c r="I54" t="e">
        <f ca="1"/>
        <v>#VALUE!</v>
      </c>
      <c r="J54" t="e">
        <f ca="1"/>
        <v>#VALUE!</v>
      </c>
      <c r="K54" t="e">
        <f ca="1"/>
        <v>#VALUE!</v>
      </c>
      <c r="L54" t="e">
        <f ca="1"/>
        <v>#VALUE!</v>
      </c>
      <c r="M54" t="e">
        <f ca="1"/>
        <v>#VALUE!</v>
      </c>
      <c r="N54" t="e">
        <f ca="1"/>
        <v>#VALUE!</v>
      </c>
      <c r="O54" t="e">
        <f ca="1"/>
        <v>#VALUE!</v>
      </c>
      <c r="P54" t="e">
        <f ca="1"/>
        <v>#VALUE!</v>
      </c>
      <c r="Q54" t="e">
        <f ca="1"/>
        <v>#VALUE!</v>
      </c>
    </row>
    <row r="55" spans="1:17" x14ac:dyDescent="0.25">
      <c r="A55" t="str">
        <f ca="1"/>
        <v>DLTNX</v>
      </c>
      <c r="B55" t="e">
        <f ca="1"/>
        <v>#VALUE!</v>
      </c>
      <c r="C55" t="e">
        <f ca="1"/>
        <v>#VALUE!</v>
      </c>
      <c r="D55" t="e">
        <f ca="1"/>
        <v>#VALUE!</v>
      </c>
      <c r="E55" t="e">
        <f ca="1"/>
        <v>#VALUE!</v>
      </c>
      <c r="F55" t="e">
        <f ca="1"/>
        <v>#VALUE!</v>
      </c>
      <c r="G55" t="e">
        <f ca="1"/>
        <v>#VALUE!</v>
      </c>
      <c r="H55" t="e">
        <f ca="1"/>
        <v>#VALUE!</v>
      </c>
      <c r="I55" t="e">
        <f ca="1"/>
        <v>#VALUE!</v>
      </c>
      <c r="J55" t="e">
        <f ca="1"/>
        <v>#VALUE!</v>
      </c>
      <c r="K55" t="e">
        <f ca="1"/>
        <v>#VALUE!</v>
      </c>
      <c r="L55" t="e">
        <f ca="1"/>
        <v>#VALUE!</v>
      </c>
      <c r="M55" t="e">
        <f ca="1"/>
        <v>#VALUE!</v>
      </c>
      <c r="N55" t="e">
        <f ca="1"/>
        <v>#VALUE!</v>
      </c>
      <c r="O55" t="e">
        <f ca="1"/>
        <v>#VALUE!</v>
      </c>
      <c r="P55" t="e">
        <f ca="1"/>
        <v>#VALUE!</v>
      </c>
      <c r="Q55" t="e">
        <f ca="1"/>
        <v>#VALUE!</v>
      </c>
    </row>
    <row r="56" spans="1:17" x14ac:dyDescent="0.25">
      <c r="A56" t="str">
        <f ca="1"/>
        <v>DSFIX</v>
      </c>
      <c r="B56" t="e">
        <f ca="1"/>
        <v>#VALUE!</v>
      </c>
      <c r="C56" t="e">
        <f ca="1"/>
        <v>#VALUE!</v>
      </c>
      <c r="D56" t="e">
        <f ca="1"/>
        <v>#VALUE!</v>
      </c>
      <c r="E56" t="e">
        <f ca="1"/>
        <v>#VALUE!</v>
      </c>
      <c r="F56" t="e">
        <f ca="1"/>
        <v>#VALUE!</v>
      </c>
      <c r="G56" t="e">
        <f ca="1"/>
        <v>#VALUE!</v>
      </c>
      <c r="H56" t="e">
        <f ca="1"/>
        <v>#VALUE!</v>
      </c>
      <c r="I56" t="e">
        <f ca="1"/>
        <v>#VALUE!</v>
      </c>
      <c r="J56" t="e">
        <f ca="1"/>
        <v>#VALUE!</v>
      </c>
      <c r="K56" t="e">
        <f ca="1"/>
        <v>#VALUE!</v>
      </c>
      <c r="L56" t="e">
        <f ca="1"/>
        <v>#VALUE!</v>
      </c>
      <c r="M56" t="e">
        <f ca="1"/>
        <v>#VALUE!</v>
      </c>
      <c r="N56" t="e">
        <f ca="1"/>
        <v>#VALUE!</v>
      </c>
      <c r="O56" t="e">
        <f ca="1"/>
        <v>#VALUE!</v>
      </c>
      <c r="P56" t="e">
        <f ca="1"/>
        <v>#VALUE!</v>
      </c>
      <c r="Q56" t="e">
        <f ca="1"/>
        <v>#VALUE!</v>
      </c>
    </row>
    <row r="57" spans="1:17" x14ac:dyDescent="0.25">
      <c r="A57" t="str">
        <f ca="1"/>
        <v>DVOIX</v>
      </c>
      <c r="B57" t="e">
        <f ca="1"/>
        <v>#VALUE!</v>
      </c>
      <c r="C57" t="e">
        <f ca="1"/>
        <v>#VALUE!</v>
      </c>
      <c r="D57" t="e">
        <f ca="1"/>
        <v>#VALUE!</v>
      </c>
      <c r="E57" t="e">
        <f ca="1"/>
        <v>#VALUE!</v>
      </c>
      <c r="F57" t="e">
        <f ca="1"/>
        <v>#VALUE!</v>
      </c>
      <c r="G57" t="e">
        <f ca="1"/>
        <v>#VALUE!</v>
      </c>
      <c r="H57" t="e">
        <f ca="1"/>
        <v>#VALUE!</v>
      </c>
      <c r="I57" t="e">
        <f ca="1"/>
        <v>#VALUE!</v>
      </c>
      <c r="J57" t="e">
        <f ca="1"/>
        <v>#VALUE!</v>
      </c>
      <c r="K57" t="e">
        <f ca="1"/>
        <v>#VALUE!</v>
      </c>
      <c r="L57" t="e">
        <f ca="1"/>
        <v>#VALUE!</v>
      </c>
      <c r="M57" t="e">
        <f ca="1"/>
        <v>#VALUE!</v>
      </c>
      <c r="N57" t="e">
        <f ca="1"/>
        <v>#VALUE!</v>
      </c>
      <c r="O57" t="e">
        <f ca="1"/>
        <v>#VALUE!</v>
      </c>
      <c r="P57" t="e">
        <f ca="1"/>
        <v>#VALUE!</v>
      </c>
      <c r="Q57" t="e">
        <f ca="1"/>
        <v>#VALUE!</v>
      </c>
    </row>
    <row r="58" spans="1:17" x14ac:dyDescent="0.25">
      <c r="A58" t="str">
        <f ca="1"/>
        <v>DYGIX</v>
      </c>
      <c r="B58" t="e">
        <f ca="1"/>
        <v>#VALUE!</v>
      </c>
      <c r="C58" t="e">
        <f ca="1"/>
        <v>#VALUE!</v>
      </c>
      <c r="D58" t="e">
        <f ca="1"/>
        <v>#VALUE!</v>
      </c>
      <c r="E58" t="e">
        <f ca="1"/>
        <v>#VALUE!</v>
      </c>
      <c r="F58" t="e">
        <f ca="1"/>
        <v>#VALUE!</v>
      </c>
      <c r="G58" t="e">
        <f ca="1"/>
        <v>#VALUE!</v>
      </c>
      <c r="H58" t="e">
        <f ca="1"/>
        <v>#VALUE!</v>
      </c>
      <c r="I58" t="e">
        <f ca="1"/>
        <v>#VALUE!</v>
      </c>
      <c r="J58" t="e">
        <f ca="1"/>
        <v>#VALUE!</v>
      </c>
      <c r="K58" t="e">
        <f ca="1"/>
        <v>#VALUE!</v>
      </c>
      <c r="L58" t="e">
        <f ca="1"/>
        <v>#VALUE!</v>
      </c>
      <c r="M58" t="e">
        <f ca="1"/>
        <v>#VALUE!</v>
      </c>
      <c r="N58" t="e">
        <f ca="1"/>
        <v>#VALUE!</v>
      </c>
      <c r="O58" t="e">
        <f ca="1"/>
        <v>#VALUE!</v>
      </c>
      <c r="P58" t="e">
        <f ca="1"/>
        <v>#VALUE!</v>
      </c>
      <c r="Q58" t="e">
        <f ca="1"/>
        <v>#VALUE!</v>
      </c>
    </row>
    <row r="59" spans="1:17" x14ac:dyDescent="0.25">
      <c r="A59" t="str">
        <f ca="1"/>
        <v>EEM</v>
      </c>
      <c r="B59" t="str">
        <f ca="1"/>
        <v>etf</v>
      </c>
      <c r="C59" t="str">
        <f ca="1"/>
        <v>iShares MSCI Emerging Markets ETF</v>
      </c>
      <c r="D59" t="str">
        <f ca="1"/>
        <v>Emerging Markets Equity</v>
      </c>
      <c r="E59" t="str">
        <f ca="1"/>
        <v>^MSEMTR</v>
      </c>
      <c r="F59" t="str">
        <f ca="1"/>
        <v>MSCI Emerging Markets Total Return</v>
      </c>
      <c r="G59" t="str">
        <f ca="1"/>
        <v>MSCI EM NR USD</v>
      </c>
      <c r="H59">
        <f ca="1"/>
        <v>-7.2653999999999996E-2</v>
      </c>
      <c r="I59">
        <f ca="1"/>
        <v>5.7130000000000097E-3</v>
      </c>
      <c r="J59">
        <f ca="1"/>
        <v>6.4973000000000003E-2</v>
      </c>
      <c r="K59">
        <f ca="1"/>
        <v>-1.5532999999999991E-2</v>
      </c>
      <c r="L59">
        <f ca="1"/>
        <v>6.4973000000000003E-2</v>
      </c>
      <c r="M59">
        <f ca="1"/>
        <v>-1.5532999999999991E-2</v>
      </c>
      <c r="N59">
        <f ca="1"/>
        <v>-7.7881000000000006E-2</v>
      </c>
      <c r="O59">
        <f ca="1"/>
        <v>-3.4166000000000009E-2</v>
      </c>
      <c r="P59">
        <f ca="1"/>
        <v>4.0175000000000002E-2</v>
      </c>
      <c r="Q59">
        <f ca="1"/>
        <v>-6.9577E-2</v>
      </c>
    </row>
    <row r="60" spans="1:17" x14ac:dyDescent="0.25">
      <c r="A60" t="str">
        <f ca="1"/>
        <v>EFA</v>
      </c>
      <c r="B60" t="str">
        <f ca="1"/>
        <v>etf</v>
      </c>
      <c r="C60" t="str">
        <f ca="1"/>
        <v>iShares MSCI EAFE ETF</v>
      </c>
      <c r="D60" t="str">
        <f ca="1"/>
        <v>International Large-Cap Core</v>
      </c>
      <c r="E60" t="str">
        <f ca="1"/>
        <v>^MSACXUSNTR</v>
      </c>
      <c r="F60" t="str">
        <f ca="1"/>
        <v>MSCI ACWI Ex USA Net Total Return</v>
      </c>
      <c r="G60" t="str">
        <f ca="1"/>
        <v>MSCI EAFE NR USD</v>
      </c>
      <c r="H60">
        <f ca="1"/>
        <v>-8.3557999999999993E-2</v>
      </c>
      <c r="I60">
        <f ca="1"/>
        <v>-7.5769999999999865E-3</v>
      </c>
      <c r="J60">
        <f ca="1"/>
        <v>3.5101E-2</v>
      </c>
      <c r="K60">
        <f ca="1"/>
        <v>-2.0240000000000001E-2</v>
      </c>
      <c r="L60">
        <f ca="1"/>
        <v>3.5101E-2</v>
      </c>
      <c r="M60">
        <f ca="1"/>
        <v>-2.0240000000000001E-2</v>
      </c>
      <c r="N60">
        <f ca="1"/>
        <v>4.9657E-2</v>
      </c>
      <c r="O60">
        <f ca="1"/>
        <v>2.4775999999999999E-2</v>
      </c>
      <c r="P60">
        <f ca="1"/>
        <v>0.25873699999999999</v>
      </c>
      <c r="Q60">
        <f ca="1"/>
        <v>3.5955999999999988E-2</v>
      </c>
    </row>
    <row r="61" spans="1:17" x14ac:dyDescent="0.25">
      <c r="A61" t="str">
        <f ca="1"/>
        <v>EIFAX</v>
      </c>
      <c r="B61" t="e">
        <f ca="1"/>
        <v>#VALUE!</v>
      </c>
      <c r="C61" t="e">
        <f ca="1"/>
        <v>#VALUE!</v>
      </c>
      <c r="D61" t="e">
        <f ca="1"/>
        <v>#VALUE!</v>
      </c>
      <c r="E61" t="e">
        <f ca="1"/>
        <v>#VALUE!</v>
      </c>
      <c r="F61" t="e">
        <f ca="1"/>
        <v>#VALUE!</v>
      </c>
      <c r="G61" t="e">
        <f ca="1"/>
        <v>#VALUE!</v>
      </c>
      <c r="H61" t="e">
        <f ca="1"/>
        <v>#VALUE!</v>
      </c>
      <c r="I61" t="e">
        <f ca="1"/>
        <v>#VALUE!</v>
      </c>
      <c r="J61" t="e">
        <f ca="1"/>
        <v>#VALUE!</v>
      </c>
      <c r="K61" t="e">
        <f ca="1"/>
        <v>#VALUE!</v>
      </c>
      <c r="L61" t="e">
        <f ca="1"/>
        <v>#VALUE!</v>
      </c>
      <c r="M61" t="e">
        <f ca="1"/>
        <v>#VALUE!</v>
      </c>
      <c r="N61" t="e">
        <f ca="1"/>
        <v>#VALUE!</v>
      </c>
      <c r="O61" t="e">
        <f ca="1"/>
        <v>#VALUE!</v>
      </c>
      <c r="P61" t="e">
        <f ca="1"/>
        <v>#VALUE!</v>
      </c>
      <c r="Q61" t="e">
        <f ca="1"/>
        <v>#VALUE!</v>
      </c>
    </row>
    <row r="62" spans="1:17" x14ac:dyDescent="0.25">
      <c r="A62" t="str">
        <f ca="1"/>
        <v>EIGMX</v>
      </c>
      <c r="B62" t="e">
        <f ca="1"/>
        <v>#VALUE!</v>
      </c>
      <c r="C62" t="e">
        <f ca="1"/>
        <v>#VALUE!</v>
      </c>
      <c r="D62" t="e">
        <f ca="1"/>
        <v>#VALUE!</v>
      </c>
      <c r="E62" t="e">
        <f ca="1"/>
        <v>#VALUE!</v>
      </c>
      <c r="F62" t="e">
        <f ca="1"/>
        <v>#VALUE!</v>
      </c>
      <c r="G62" t="e">
        <f ca="1"/>
        <v>#VALUE!</v>
      </c>
      <c r="H62" t="e">
        <f ca="1"/>
        <v>#VALUE!</v>
      </c>
      <c r="I62" t="e">
        <f ca="1"/>
        <v>#VALUE!</v>
      </c>
      <c r="J62" t="e">
        <f ca="1"/>
        <v>#VALUE!</v>
      </c>
      <c r="K62" t="e">
        <f ca="1"/>
        <v>#VALUE!</v>
      </c>
      <c r="L62" t="e">
        <f ca="1"/>
        <v>#VALUE!</v>
      </c>
      <c r="M62" t="e">
        <f ca="1"/>
        <v>#VALUE!</v>
      </c>
      <c r="N62" t="e">
        <f ca="1"/>
        <v>#VALUE!</v>
      </c>
      <c r="O62" t="e">
        <f ca="1"/>
        <v>#VALUE!</v>
      </c>
      <c r="P62" t="e">
        <f ca="1"/>
        <v>#VALUE!</v>
      </c>
      <c r="Q62" t="e">
        <f ca="1"/>
        <v>#VALUE!</v>
      </c>
    </row>
    <row r="63" spans="1:17" x14ac:dyDescent="0.25">
      <c r="A63" t="str">
        <f ca="1"/>
        <v>EIISX</v>
      </c>
      <c r="B63" t="e">
        <f ca="1"/>
        <v>#VALUE!</v>
      </c>
      <c r="C63" t="e">
        <f ca="1"/>
        <v>#VALUE!</v>
      </c>
      <c r="D63" t="e">
        <f ca="1"/>
        <v>#VALUE!</v>
      </c>
      <c r="E63" t="e">
        <f ca="1"/>
        <v>#VALUE!</v>
      </c>
      <c r="F63" t="e">
        <f ca="1"/>
        <v>#VALUE!</v>
      </c>
      <c r="G63" t="e">
        <f ca="1"/>
        <v>#VALUE!</v>
      </c>
      <c r="H63" t="e">
        <f ca="1"/>
        <v>#VALUE!</v>
      </c>
      <c r="I63" t="e">
        <f ca="1"/>
        <v>#VALUE!</v>
      </c>
      <c r="J63" t="e">
        <f ca="1"/>
        <v>#VALUE!</v>
      </c>
      <c r="K63" t="e">
        <f ca="1"/>
        <v>#VALUE!</v>
      </c>
      <c r="L63" t="e">
        <f ca="1"/>
        <v>#VALUE!</v>
      </c>
      <c r="M63" t="e">
        <f ca="1"/>
        <v>#VALUE!</v>
      </c>
      <c r="N63" t="e">
        <f ca="1"/>
        <v>#VALUE!</v>
      </c>
      <c r="O63" t="e">
        <f ca="1"/>
        <v>#VALUE!</v>
      </c>
      <c r="P63" t="e">
        <f ca="1"/>
        <v>#VALUE!</v>
      </c>
      <c r="Q63" t="e">
        <f ca="1"/>
        <v>#VALUE!</v>
      </c>
    </row>
    <row r="64" spans="1:17" x14ac:dyDescent="0.25">
      <c r="A64" t="str">
        <f ca="1"/>
        <v>EIPCX</v>
      </c>
      <c r="B64" t="e">
        <f ca="1"/>
        <v>#VALUE!</v>
      </c>
      <c r="C64" t="e">
        <f ca="1"/>
        <v>#VALUE!</v>
      </c>
      <c r="D64" t="e">
        <f ca="1"/>
        <v>#VALUE!</v>
      </c>
      <c r="E64" t="e">
        <f ca="1"/>
        <v>#VALUE!</v>
      </c>
      <c r="F64" t="e">
        <f ca="1"/>
        <v>#VALUE!</v>
      </c>
      <c r="G64" t="e">
        <f ca="1"/>
        <v>#VALUE!</v>
      </c>
      <c r="H64" t="e">
        <f ca="1"/>
        <v>#VALUE!</v>
      </c>
      <c r="I64" t="e">
        <f ca="1"/>
        <v>#VALUE!</v>
      </c>
      <c r="J64" t="e">
        <f ca="1"/>
        <v>#VALUE!</v>
      </c>
      <c r="K64" t="e">
        <f ca="1"/>
        <v>#VALUE!</v>
      </c>
      <c r="L64" t="e">
        <f ca="1"/>
        <v>#VALUE!</v>
      </c>
      <c r="M64" t="e">
        <f ca="1"/>
        <v>#VALUE!</v>
      </c>
      <c r="N64" t="e">
        <f ca="1"/>
        <v>#VALUE!</v>
      </c>
      <c r="O64" t="e">
        <f ca="1"/>
        <v>#VALUE!</v>
      </c>
      <c r="P64" t="e">
        <f ca="1"/>
        <v>#VALUE!</v>
      </c>
      <c r="Q64" t="e">
        <f ca="1"/>
        <v>#VALUE!</v>
      </c>
    </row>
    <row r="65" spans="1:17" x14ac:dyDescent="0.25">
      <c r="A65" t="str">
        <f ca="1"/>
        <v>EMB</v>
      </c>
      <c r="B65" t="str">
        <f ca="1"/>
        <v>etf</v>
      </c>
      <c r="C65" t="str">
        <f ca="1"/>
        <v>iShares JPMorgan USD Emerging Markets Bond ETF</v>
      </c>
      <c r="D65" t="str">
        <f ca="1"/>
        <v>Emerging Markets Bond</v>
      </c>
      <c r="E65" t="str">
        <f ca="1"/>
        <v>^BBEMUSDATR</v>
      </c>
      <c r="F65" t="str">
        <f ca="1"/>
        <v>Bloomberg EM USD Aggregate</v>
      </c>
      <c r="G65" t="str">
        <f ca="1"/>
        <v>JPM EMBI Global Core TR USD</v>
      </c>
      <c r="H65">
        <f ca="1"/>
        <v>-2.8662E-2</v>
      </c>
      <c r="I65">
        <f ca="1"/>
        <v>-1.3998E-2</v>
      </c>
      <c r="J65">
        <f ca="1"/>
        <v>5.5391999999999997E-2</v>
      </c>
      <c r="K65">
        <f ca="1"/>
        <v>-1.0421E-2</v>
      </c>
      <c r="L65">
        <f ca="1"/>
        <v>5.5391999999999997E-2</v>
      </c>
      <c r="M65">
        <f ca="1"/>
        <v>-1.0421E-2</v>
      </c>
      <c r="N65">
        <f ca="1"/>
        <v>-5.0337E-2</v>
      </c>
      <c r="O65">
        <f ca="1"/>
        <v>-3.5567000000000001E-2</v>
      </c>
      <c r="P65">
        <f ca="1"/>
        <v>-2.1246000000000001E-2</v>
      </c>
      <c r="Q65">
        <f ca="1"/>
        <v>-5.3366999999999998E-2</v>
      </c>
    </row>
    <row r="66" spans="1:17" x14ac:dyDescent="0.25">
      <c r="A66" t="str">
        <f ca="1"/>
        <v>ESGE</v>
      </c>
      <c r="B66" t="str">
        <f ca="1"/>
        <v>etf</v>
      </c>
      <c r="C66" t="str">
        <f ca="1"/>
        <v>iShares ESG Aware MSCI EM ETF</v>
      </c>
      <c r="D66" t="str">
        <f ca="1"/>
        <v>Emerging Markets Equity</v>
      </c>
      <c r="E66" t="str">
        <f ca="1"/>
        <v>^MSEMTR</v>
      </c>
      <c r="F66" t="str">
        <f ca="1"/>
        <v>MSCI Emerging Markets Total Return</v>
      </c>
      <c r="G66" t="str">
        <f ca="1"/>
        <v>MSCI EM EXTENDED ESG FOCUS NR USD</v>
      </c>
      <c r="H66">
        <f ca="1"/>
        <v>-6.8106E-2</v>
      </c>
      <c r="I66">
        <f ca="1"/>
        <v>1.0261000000000006E-2</v>
      </c>
      <c r="J66">
        <f ca="1"/>
        <v>6.6355999999999998E-2</v>
      </c>
      <c r="K66">
        <f ca="1"/>
        <v>-1.4149999999999996E-2</v>
      </c>
      <c r="L66">
        <f ca="1"/>
        <v>6.6355999999999998E-2</v>
      </c>
      <c r="M66">
        <f ca="1"/>
        <v>-1.4149999999999996E-2</v>
      </c>
      <c r="N66">
        <f ca="1"/>
        <v>-9.3589000000000006E-2</v>
      </c>
      <c r="O66">
        <f ca="1"/>
        <v>-4.9874000000000009E-2</v>
      </c>
      <c r="P66">
        <f ca="1"/>
        <v>4.4595999999999997E-2</v>
      </c>
      <c r="Q66">
        <f ca="1"/>
        <v>-6.5156000000000006E-2</v>
      </c>
    </row>
    <row r="67" spans="1:17" x14ac:dyDescent="0.25">
      <c r="A67" t="str">
        <f ca="1"/>
        <v>ESIIX</v>
      </c>
      <c r="B67" t="e">
        <f ca="1"/>
        <v>#VALUE!</v>
      </c>
      <c r="C67" t="e">
        <f ca="1"/>
        <v>#VALUE!</v>
      </c>
      <c r="D67" t="e">
        <f ca="1"/>
        <v>#VALUE!</v>
      </c>
      <c r="E67" t="e">
        <f ca="1"/>
        <v>#VALUE!</v>
      </c>
      <c r="F67" t="e">
        <f ca="1"/>
        <v>#VALUE!</v>
      </c>
      <c r="G67" t="e">
        <f ca="1"/>
        <v>#VALUE!</v>
      </c>
      <c r="H67" t="e">
        <f ca="1"/>
        <v>#VALUE!</v>
      </c>
      <c r="I67" t="e">
        <f ca="1"/>
        <v>#VALUE!</v>
      </c>
      <c r="J67" t="e">
        <f ca="1"/>
        <v>#VALUE!</v>
      </c>
      <c r="K67" t="e">
        <f ca="1"/>
        <v>#VALUE!</v>
      </c>
      <c r="L67" t="e">
        <f ca="1"/>
        <v>#VALUE!</v>
      </c>
      <c r="M67" t="e">
        <f ca="1"/>
        <v>#VALUE!</v>
      </c>
      <c r="N67" t="e">
        <f ca="1"/>
        <v>#VALUE!</v>
      </c>
      <c r="O67" t="e">
        <f ca="1"/>
        <v>#VALUE!</v>
      </c>
      <c r="P67" t="e">
        <f ca="1"/>
        <v>#VALUE!</v>
      </c>
      <c r="Q67" t="e">
        <f ca="1"/>
        <v>#VALUE!</v>
      </c>
    </row>
    <row r="68" spans="1:17" x14ac:dyDescent="0.25">
      <c r="A68" t="str">
        <f ca="1"/>
        <v>FBND</v>
      </c>
      <c r="B68" t="str">
        <f ca="1"/>
        <v>etf</v>
      </c>
      <c r="C68" t="str">
        <f ca="1"/>
        <v>Fidelity Total Bond ETF</v>
      </c>
      <c r="D68" t="str">
        <f ca="1"/>
        <v>US Aggregate Bond</v>
      </c>
      <c r="E68" t="str">
        <f ca="1"/>
        <v>^BBUSATR</v>
      </c>
      <c r="F68" t="str">
        <f ca="1"/>
        <v>Bloomberg US Aggregate</v>
      </c>
      <c r="G68" t="str">
        <f ca="1"/>
        <v>Bloomberg US Agg Bond TR USD</v>
      </c>
      <c r="H68">
        <f ca="1"/>
        <v>-2.8656000000000001E-2</v>
      </c>
      <c r="I68">
        <f ca="1"/>
        <v>1.9609999999999975E-3</v>
      </c>
      <c r="J68">
        <f ca="1"/>
        <v>2.1232000000000001E-2</v>
      </c>
      <c r="K68">
        <f ca="1"/>
        <v>8.7300000000000016E-3</v>
      </c>
      <c r="L68">
        <f ca="1"/>
        <v>2.1232000000000001E-2</v>
      </c>
      <c r="M68">
        <f ca="1"/>
        <v>8.7300000000000016E-3</v>
      </c>
      <c r="N68">
        <f ca="1"/>
        <v>-4.6032999999999998E-2</v>
      </c>
      <c r="O68">
        <f ca="1"/>
        <v>2.4495999999999997E-2</v>
      </c>
      <c r="P68">
        <f ca="1"/>
        <v>3.9294999999999997E-2</v>
      </c>
      <c r="Q68">
        <f ca="1"/>
        <v>5.5460999999999996E-2</v>
      </c>
    </row>
    <row r="69" spans="1:17" x14ac:dyDescent="0.25">
      <c r="A69" t="str">
        <f ca="1"/>
        <v>FCNTX</v>
      </c>
      <c r="B69" t="e">
        <f ca="1"/>
        <v>#VALUE!</v>
      </c>
      <c r="C69" t="e">
        <f ca="1"/>
        <v>#VALUE!</v>
      </c>
      <c r="D69" t="e">
        <f ca="1"/>
        <v>#VALUE!</v>
      </c>
      <c r="E69" t="e">
        <f ca="1"/>
        <v>#VALUE!</v>
      </c>
      <c r="F69" t="e">
        <f ca="1"/>
        <v>#VALUE!</v>
      </c>
      <c r="G69" t="e">
        <f ca="1"/>
        <v>#VALUE!</v>
      </c>
      <c r="H69" t="e">
        <f ca="1"/>
        <v>#VALUE!</v>
      </c>
      <c r="I69" t="e">
        <f ca="1"/>
        <v>#VALUE!</v>
      </c>
      <c r="J69" t="e">
        <f ca="1"/>
        <v>#VALUE!</v>
      </c>
      <c r="K69" t="e">
        <f ca="1"/>
        <v>#VALUE!</v>
      </c>
      <c r="L69" t="e">
        <f ca="1"/>
        <v>#VALUE!</v>
      </c>
      <c r="M69" t="e">
        <f ca="1"/>
        <v>#VALUE!</v>
      </c>
      <c r="N69" t="e">
        <f ca="1"/>
        <v>#VALUE!</v>
      </c>
      <c r="O69" t="e">
        <f ca="1"/>
        <v>#VALUE!</v>
      </c>
      <c r="P69" t="e">
        <f ca="1"/>
        <v>#VALUE!</v>
      </c>
      <c r="Q69" t="e">
        <f ca="1"/>
        <v>#VALUE!</v>
      </c>
    </row>
    <row r="70" spans="1:17" x14ac:dyDescent="0.25">
      <c r="A70" t="str">
        <f ca="1"/>
        <v>FEGIX</v>
      </c>
      <c r="B70" t="e">
        <f ca="1"/>
        <v>#VALUE!</v>
      </c>
      <c r="C70" t="e">
        <f ca="1"/>
        <v>#VALUE!</v>
      </c>
      <c r="D70" t="e">
        <f ca="1"/>
        <v>#VALUE!</v>
      </c>
      <c r="E70" t="e">
        <f ca="1"/>
        <v>#VALUE!</v>
      </c>
      <c r="F70" t="e">
        <f ca="1"/>
        <v>#VALUE!</v>
      </c>
      <c r="G70" t="e">
        <f ca="1"/>
        <v>#VALUE!</v>
      </c>
      <c r="H70" t="e">
        <f ca="1"/>
        <v>#VALUE!</v>
      </c>
      <c r="I70" t="e">
        <f ca="1"/>
        <v>#VALUE!</v>
      </c>
      <c r="J70" t="e">
        <f ca="1"/>
        <v>#VALUE!</v>
      </c>
      <c r="K70" t="e">
        <f ca="1"/>
        <v>#VALUE!</v>
      </c>
      <c r="L70" t="e">
        <f ca="1"/>
        <v>#VALUE!</v>
      </c>
      <c r="M70" t="e">
        <f ca="1"/>
        <v>#VALUE!</v>
      </c>
      <c r="N70" t="e">
        <f ca="1"/>
        <v>#VALUE!</v>
      </c>
      <c r="O70" t="e">
        <f ca="1"/>
        <v>#VALUE!</v>
      </c>
      <c r="P70" t="e">
        <f ca="1"/>
        <v>#VALUE!</v>
      </c>
      <c r="Q70" t="e">
        <f ca="1"/>
        <v>#VALUE!</v>
      </c>
    </row>
    <row r="71" spans="1:17" x14ac:dyDescent="0.25">
      <c r="A71" t="str">
        <f ca="1"/>
        <v>FEMKX</v>
      </c>
      <c r="B71" t="e">
        <f ca="1"/>
        <v>#VALUE!</v>
      </c>
      <c r="C71" t="e">
        <f ca="1"/>
        <v>#VALUE!</v>
      </c>
      <c r="D71" t="e">
        <f ca="1"/>
        <v>#VALUE!</v>
      </c>
      <c r="E71" t="e">
        <f ca="1"/>
        <v>#VALUE!</v>
      </c>
      <c r="F71" t="e">
        <f ca="1"/>
        <v>#VALUE!</v>
      </c>
      <c r="G71" t="e">
        <f ca="1"/>
        <v>#VALUE!</v>
      </c>
      <c r="H71" t="e">
        <f ca="1"/>
        <v>#VALUE!</v>
      </c>
      <c r="I71" t="e">
        <f ca="1"/>
        <v>#VALUE!</v>
      </c>
      <c r="J71" t="e">
        <f ca="1"/>
        <v>#VALUE!</v>
      </c>
      <c r="K71" t="e">
        <f ca="1"/>
        <v>#VALUE!</v>
      </c>
      <c r="L71" t="e">
        <f ca="1"/>
        <v>#VALUE!</v>
      </c>
      <c r="M71" t="e">
        <f ca="1"/>
        <v>#VALUE!</v>
      </c>
      <c r="N71" t="e">
        <f ca="1"/>
        <v>#VALUE!</v>
      </c>
      <c r="O71" t="e">
        <f ca="1"/>
        <v>#VALUE!</v>
      </c>
      <c r="P71" t="e">
        <f ca="1"/>
        <v>#VALUE!</v>
      </c>
      <c r="Q71" t="e">
        <f ca="1"/>
        <v>#VALUE!</v>
      </c>
    </row>
    <row r="72" spans="1:17" x14ac:dyDescent="0.25">
      <c r="A72" t="str">
        <f ca="1"/>
        <v>FGUMX</v>
      </c>
      <c r="B72" t="e">
        <f ca="1"/>
        <v>#VALUE!</v>
      </c>
      <c r="C72" t="e">
        <f ca="1"/>
        <v>#VALUE!</v>
      </c>
      <c r="D72" t="e">
        <f ca="1"/>
        <v>#VALUE!</v>
      </c>
      <c r="E72" t="e">
        <f ca="1"/>
        <v>#VALUE!</v>
      </c>
      <c r="F72" t="e">
        <f ca="1"/>
        <v>#VALUE!</v>
      </c>
      <c r="G72" t="e">
        <f ca="1"/>
        <v>#VALUE!</v>
      </c>
      <c r="H72" t="e">
        <f ca="1"/>
        <v>#VALUE!</v>
      </c>
      <c r="I72" t="e">
        <f ca="1"/>
        <v>#VALUE!</v>
      </c>
      <c r="J72" t="e">
        <f ca="1"/>
        <v>#VALUE!</v>
      </c>
      <c r="K72" t="e">
        <f ca="1"/>
        <v>#VALUE!</v>
      </c>
      <c r="L72" t="e">
        <f ca="1"/>
        <v>#VALUE!</v>
      </c>
      <c r="M72" t="e">
        <f ca="1"/>
        <v>#VALUE!</v>
      </c>
      <c r="N72" t="e">
        <f ca="1"/>
        <v>#VALUE!</v>
      </c>
      <c r="O72" t="e">
        <f ca="1"/>
        <v>#VALUE!</v>
      </c>
      <c r="P72" t="e">
        <f ca="1"/>
        <v>#VALUE!</v>
      </c>
      <c r="Q72" t="e">
        <f ca="1"/>
        <v>#VALUE!</v>
      </c>
    </row>
    <row r="73" spans="1:17" x14ac:dyDescent="0.25">
      <c r="A73" t="str">
        <f ca="1"/>
        <v>FIADX</v>
      </c>
      <c r="B73" t="e">
        <f ca="1"/>
        <v>#VALUE!</v>
      </c>
      <c r="C73" t="e">
        <f ca="1"/>
        <v>#VALUE!</v>
      </c>
      <c r="D73" t="e">
        <f ca="1"/>
        <v>#VALUE!</v>
      </c>
      <c r="E73" t="e">
        <f ca="1"/>
        <v>#VALUE!</v>
      </c>
      <c r="F73" t="e">
        <f ca="1"/>
        <v>#VALUE!</v>
      </c>
      <c r="G73" t="e">
        <f ca="1"/>
        <v>#VALUE!</v>
      </c>
      <c r="H73" t="e">
        <f ca="1"/>
        <v>#VALUE!</v>
      </c>
      <c r="I73" t="e">
        <f ca="1"/>
        <v>#VALUE!</v>
      </c>
      <c r="J73" t="e">
        <f ca="1"/>
        <v>#VALUE!</v>
      </c>
      <c r="K73" t="e">
        <f ca="1"/>
        <v>#VALUE!</v>
      </c>
      <c r="L73" t="e">
        <f ca="1"/>
        <v>#VALUE!</v>
      </c>
      <c r="M73" t="e">
        <f ca="1"/>
        <v>#VALUE!</v>
      </c>
      <c r="N73" t="e">
        <f ca="1"/>
        <v>#VALUE!</v>
      </c>
      <c r="O73" t="e">
        <f ca="1"/>
        <v>#VALUE!</v>
      </c>
      <c r="P73" t="e">
        <f ca="1"/>
        <v>#VALUE!</v>
      </c>
      <c r="Q73" t="e">
        <f ca="1"/>
        <v>#VALUE!</v>
      </c>
    </row>
    <row r="74" spans="1:17" x14ac:dyDescent="0.25">
      <c r="A74" t="str">
        <f ca="1"/>
        <v>FIDGX</v>
      </c>
      <c r="B74" t="e">
        <f ca="1"/>
        <v>#VALUE!</v>
      </c>
      <c r="C74" t="e">
        <f ca="1"/>
        <v>#VALUE!</v>
      </c>
      <c r="D74" t="e">
        <f ca="1"/>
        <v>#VALUE!</v>
      </c>
      <c r="E74" t="e">
        <f ca="1"/>
        <v>#VALUE!</v>
      </c>
      <c r="F74" t="e">
        <f ca="1"/>
        <v>#VALUE!</v>
      </c>
      <c r="G74" t="e">
        <f ca="1"/>
        <v>#VALUE!</v>
      </c>
      <c r="H74" t="e">
        <f ca="1"/>
        <v>#VALUE!</v>
      </c>
      <c r="I74" t="e">
        <f ca="1"/>
        <v>#VALUE!</v>
      </c>
      <c r="J74" t="e">
        <f ca="1"/>
        <v>#VALUE!</v>
      </c>
      <c r="K74" t="e">
        <f ca="1"/>
        <v>#VALUE!</v>
      </c>
      <c r="L74" t="e">
        <f ca="1"/>
        <v>#VALUE!</v>
      </c>
      <c r="M74" t="e">
        <f ca="1"/>
        <v>#VALUE!</v>
      </c>
      <c r="N74" t="e">
        <f ca="1"/>
        <v>#VALUE!</v>
      </c>
      <c r="O74" t="e">
        <f ca="1"/>
        <v>#VALUE!</v>
      </c>
      <c r="P74" t="e">
        <f ca="1"/>
        <v>#VALUE!</v>
      </c>
      <c r="Q74" t="e">
        <f ca="1"/>
        <v>#VALUE!</v>
      </c>
    </row>
    <row r="75" spans="1:17" x14ac:dyDescent="0.25">
      <c r="A75" t="str">
        <f ca="1"/>
        <v>FIJEX</v>
      </c>
      <c r="B75" t="e">
        <f ca="1"/>
        <v>#VALUE!</v>
      </c>
      <c r="C75" t="e">
        <f ca="1"/>
        <v>#VALUE!</v>
      </c>
      <c r="D75" t="e">
        <f ca="1"/>
        <v>#VALUE!</v>
      </c>
      <c r="E75" t="e">
        <f ca="1"/>
        <v>#VALUE!</v>
      </c>
      <c r="F75" t="e">
        <f ca="1"/>
        <v>#VALUE!</v>
      </c>
      <c r="G75" t="e">
        <f ca="1"/>
        <v>#VALUE!</v>
      </c>
      <c r="H75" t="e">
        <f ca="1"/>
        <v>#VALUE!</v>
      </c>
      <c r="I75" t="e">
        <f ca="1"/>
        <v>#VALUE!</v>
      </c>
      <c r="J75" t="e">
        <f ca="1"/>
        <v>#VALUE!</v>
      </c>
      <c r="K75" t="e">
        <f ca="1"/>
        <v>#VALUE!</v>
      </c>
      <c r="L75" t="e">
        <f ca="1"/>
        <v>#VALUE!</v>
      </c>
      <c r="M75" t="e">
        <f ca="1"/>
        <v>#VALUE!</v>
      </c>
      <c r="N75" t="e">
        <f ca="1"/>
        <v>#VALUE!</v>
      </c>
      <c r="O75" t="e">
        <f ca="1"/>
        <v>#VALUE!</v>
      </c>
      <c r="P75" t="e">
        <f ca="1"/>
        <v>#VALUE!</v>
      </c>
      <c r="Q75" t="e">
        <f ca="1"/>
        <v>#VALUE!</v>
      </c>
    </row>
    <row r="76" spans="1:17" x14ac:dyDescent="0.25">
      <c r="A76" t="str">
        <f ca="1"/>
        <v>FIKQX</v>
      </c>
      <c r="B76" t="e">
        <f ca="1"/>
        <v>#VALUE!</v>
      </c>
      <c r="C76" t="e">
        <f ca="1"/>
        <v>#VALUE!</v>
      </c>
      <c r="D76" t="e">
        <f ca="1"/>
        <v>#VALUE!</v>
      </c>
      <c r="E76" t="e">
        <f ca="1"/>
        <v>#VALUE!</v>
      </c>
      <c r="F76" t="e">
        <f ca="1"/>
        <v>#VALUE!</v>
      </c>
      <c r="G76" t="e">
        <f ca="1"/>
        <v>#VALUE!</v>
      </c>
      <c r="H76" t="e">
        <f ca="1"/>
        <v>#VALUE!</v>
      </c>
      <c r="I76" t="e">
        <f ca="1"/>
        <v>#VALUE!</v>
      </c>
      <c r="J76" t="e">
        <f ca="1"/>
        <v>#VALUE!</v>
      </c>
      <c r="K76" t="e">
        <f ca="1"/>
        <v>#VALUE!</v>
      </c>
      <c r="L76" t="e">
        <f ca="1"/>
        <v>#VALUE!</v>
      </c>
      <c r="M76" t="e">
        <f ca="1"/>
        <v>#VALUE!</v>
      </c>
      <c r="N76" t="e">
        <f ca="1"/>
        <v>#VALUE!</v>
      </c>
      <c r="O76" t="e">
        <f ca="1"/>
        <v>#VALUE!</v>
      </c>
      <c r="P76" t="e">
        <f ca="1"/>
        <v>#VALUE!</v>
      </c>
      <c r="Q76" t="e">
        <f ca="1"/>
        <v>#VALUE!</v>
      </c>
    </row>
    <row r="77" spans="1:17" x14ac:dyDescent="0.25">
      <c r="A77" t="str">
        <f ca="1"/>
        <v>FISPX</v>
      </c>
      <c r="B77" t="e">
        <f ca="1"/>
        <v>#VALUE!</v>
      </c>
      <c r="C77" t="e">
        <f ca="1"/>
        <v>#VALUE!</v>
      </c>
      <c r="D77" t="e">
        <f ca="1"/>
        <v>#VALUE!</v>
      </c>
      <c r="E77" t="e">
        <f ca="1"/>
        <v>#VALUE!</v>
      </c>
      <c r="F77" t="e">
        <f ca="1"/>
        <v>#VALUE!</v>
      </c>
      <c r="G77" t="e">
        <f ca="1"/>
        <v>#VALUE!</v>
      </c>
      <c r="H77" t="e">
        <f ca="1"/>
        <v>#VALUE!</v>
      </c>
      <c r="I77" t="e">
        <f ca="1"/>
        <v>#VALUE!</v>
      </c>
      <c r="J77" t="e">
        <f ca="1"/>
        <v>#VALUE!</v>
      </c>
      <c r="K77" t="e">
        <f ca="1"/>
        <v>#VALUE!</v>
      </c>
      <c r="L77" t="e">
        <f ca="1"/>
        <v>#VALUE!</v>
      </c>
      <c r="M77" t="e">
        <f ca="1"/>
        <v>#VALUE!</v>
      </c>
      <c r="N77" t="e">
        <f ca="1"/>
        <v>#VALUE!</v>
      </c>
      <c r="O77" t="e">
        <f ca="1"/>
        <v>#VALUE!</v>
      </c>
      <c r="P77" t="e">
        <f ca="1"/>
        <v>#VALUE!</v>
      </c>
      <c r="Q77" t="e">
        <f ca="1"/>
        <v>#VALUE!</v>
      </c>
    </row>
    <row r="78" spans="1:17" x14ac:dyDescent="0.25">
      <c r="A78" t="str">
        <f ca="1"/>
        <v>FISVX</v>
      </c>
      <c r="B78" t="e">
        <f ca="1"/>
        <v>#VALUE!</v>
      </c>
      <c r="C78" t="e">
        <f ca="1"/>
        <v>#VALUE!</v>
      </c>
      <c r="D78" t="e">
        <f ca="1"/>
        <v>#VALUE!</v>
      </c>
      <c r="E78" t="e">
        <f ca="1"/>
        <v>#VALUE!</v>
      </c>
      <c r="F78" t="e">
        <f ca="1"/>
        <v>#VALUE!</v>
      </c>
      <c r="G78" t="e">
        <f ca="1"/>
        <v>#VALUE!</v>
      </c>
      <c r="H78" t="e">
        <f ca="1"/>
        <v>#VALUE!</v>
      </c>
      <c r="I78" t="e">
        <f ca="1"/>
        <v>#VALUE!</v>
      </c>
      <c r="J78" t="e">
        <f ca="1"/>
        <v>#VALUE!</v>
      </c>
      <c r="K78" t="e">
        <f ca="1"/>
        <v>#VALUE!</v>
      </c>
      <c r="L78" t="e">
        <f ca="1"/>
        <v>#VALUE!</v>
      </c>
      <c r="M78" t="e">
        <f ca="1"/>
        <v>#VALUE!</v>
      </c>
      <c r="N78" t="e">
        <f ca="1"/>
        <v>#VALUE!</v>
      </c>
      <c r="O78" t="e">
        <f ca="1"/>
        <v>#VALUE!</v>
      </c>
      <c r="P78" t="e">
        <f ca="1"/>
        <v>#VALUE!</v>
      </c>
      <c r="Q78" t="e">
        <f ca="1"/>
        <v>#VALUE!</v>
      </c>
    </row>
    <row r="79" spans="1:17" x14ac:dyDescent="0.25">
      <c r="A79" t="str">
        <f ca="1"/>
        <v>FITLX</v>
      </c>
      <c r="B79" t="e">
        <f ca="1"/>
        <v>#VALUE!</v>
      </c>
      <c r="C79" t="e">
        <f ca="1"/>
        <v>#VALUE!</v>
      </c>
      <c r="D79" t="e">
        <f ca="1"/>
        <v>#VALUE!</v>
      </c>
      <c r="E79" t="e">
        <f ca="1"/>
        <v>#VALUE!</v>
      </c>
      <c r="F79" t="e">
        <f ca="1"/>
        <v>#VALUE!</v>
      </c>
      <c r="G79" t="e">
        <f ca="1"/>
        <v>#VALUE!</v>
      </c>
      <c r="H79" t="e">
        <f ca="1"/>
        <v>#VALUE!</v>
      </c>
      <c r="I79" t="e">
        <f ca="1"/>
        <v>#VALUE!</v>
      </c>
      <c r="J79" t="e">
        <f ca="1"/>
        <v>#VALUE!</v>
      </c>
      <c r="K79" t="e">
        <f ca="1"/>
        <v>#VALUE!</v>
      </c>
      <c r="L79" t="e">
        <f ca="1"/>
        <v>#VALUE!</v>
      </c>
      <c r="M79" t="e">
        <f ca="1"/>
        <v>#VALUE!</v>
      </c>
      <c r="N79" t="e">
        <f ca="1"/>
        <v>#VALUE!</v>
      </c>
      <c r="O79" t="e">
        <f ca="1"/>
        <v>#VALUE!</v>
      </c>
      <c r="P79" t="e">
        <f ca="1"/>
        <v>#VALUE!</v>
      </c>
      <c r="Q79" t="e">
        <f ca="1"/>
        <v>#VALUE!</v>
      </c>
    </row>
    <row r="80" spans="1:17" x14ac:dyDescent="0.25">
      <c r="A80" t="str">
        <f ca="1"/>
        <v>FKEMX</v>
      </c>
      <c r="B80" t="e">
        <f ca="1"/>
        <v>#VALUE!</v>
      </c>
      <c r="C80" t="e">
        <f ca="1"/>
        <v>#VALUE!</v>
      </c>
      <c r="D80" t="e">
        <f ca="1"/>
        <v>#VALUE!</v>
      </c>
      <c r="E80" t="e">
        <f ca="1"/>
        <v>#VALUE!</v>
      </c>
      <c r="F80" t="e">
        <f ca="1"/>
        <v>#VALUE!</v>
      </c>
      <c r="G80" t="e">
        <f ca="1"/>
        <v>#VALUE!</v>
      </c>
      <c r="H80" t="e">
        <f ca="1"/>
        <v>#VALUE!</v>
      </c>
      <c r="I80" t="e">
        <f ca="1"/>
        <v>#VALUE!</v>
      </c>
      <c r="J80" t="e">
        <f ca="1"/>
        <v>#VALUE!</v>
      </c>
      <c r="K80" t="e">
        <f ca="1"/>
        <v>#VALUE!</v>
      </c>
      <c r="L80" t="e">
        <f ca="1"/>
        <v>#VALUE!</v>
      </c>
      <c r="M80" t="e">
        <f ca="1"/>
        <v>#VALUE!</v>
      </c>
      <c r="N80" t="e">
        <f ca="1"/>
        <v>#VALUE!</v>
      </c>
      <c r="O80" t="e">
        <f ca="1"/>
        <v>#VALUE!</v>
      </c>
      <c r="P80" t="e">
        <f ca="1"/>
        <v>#VALUE!</v>
      </c>
      <c r="Q80" t="e">
        <f ca="1"/>
        <v>#VALUE!</v>
      </c>
    </row>
    <row r="81" spans="1:17" x14ac:dyDescent="0.25">
      <c r="A81" t="str">
        <f ca="1"/>
        <v>FLBDX</v>
      </c>
      <c r="B81" t="e">
        <f ca="1"/>
        <v>#VALUE!</v>
      </c>
      <c r="C81" t="e">
        <f ca="1"/>
        <v>#VALUE!</v>
      </c>
      <c r="D81" t="e">
        <f ca="1"/>
        <v>#VALUE!</v>
      </c>
      <c r="E81" t="e">
        <f ca="1"/>
        <v>#VALUE!</v>
      </c>
      <c r="F81" t="e">
        <f ca="1"/>
        <v>#VALUE!</v>
      </c>
      <c r="G81" t="e">
        <f ca="1"/>
        <v>#VALUE!</v>
      </c>
      <c r="H81" t="e">
        <f ca="1"/>
        <v>#VALUE!</v>
      </c>
      <c r="I81" t="e">
        <f ca="1"/>
        <v>#VALUE!</v>
      </c>
      <c r="J81" t="e">
        <f ca="1"/>
        <v>#VALUE!</v>
      </c>
      <c r="K81" t="e">
        <f ca="1"/>
        <v>#VALUE!</v>
      </c>
      <c r="L81" t="e">
        <f ca="1"/>
        <v>#VALUE!</v>
      </c>
      <c r="M81" t="e">
        <f ca="1"/>
        <v>#VALUE!</v>
      </c>
      <c r="N81" t="e">
        <f ca="1"/>
        <v>#VALUE!</v>
      </c>
      <c r="O81" t="e">
        <f ca="1"/>
        <v>#VALUE!</v>
      </c>
      <c r="P81" t="e">
        <f ca="1"/>
        <v>#VALUE!</v>
      </c>
      <c r="Q81" t="e">
        <f ca="1"/>
        <v>#VALUE!</v>
      </c>
    </row>
    <row r="82" spans="1:17" x14ac:dyDescent="0.25">
      <c r="A82" t="str">
        <f ca="1"/>
        <v>FLCGX</v>
      </c>
      <c r="B82" t="e">
        <f ca="1"/>
        <v>#VALUE!</v>
      </c>
      <c r="C82" t="e">
        <f ca="1"/>
        <v>#VALUE!</v>
      </c>
      <c r="D82" t="e">
        <f ca="1"/>
        <v>#VALUE!</v>
      </c>
      <c r="E82" t="e">
        <f ca="1"/>
        <v>#VALUE!</v>
      </c>
      <c r="F82" t="e">
        <f ca="1"/>
        <v>#VALUE!</v>
      </c>
      <c r="G82" t="e">
        <f ca="1"/>
        <v>#VALUE!</v>
      </c>
      <c r="H82" t="e">
        <f ca="1"/>
        <v>#VALUE!</v>
      </c>
      <c r="I82" t="e">
        <f ca="1"/>
        <v>#VALUE!</v>
      </c>
      <c r="J82" t="e">
        <f ca="1"/>
        <v>#VALUE!</v>
      </c>
      <c r="K82" t="e">
        <f ca="1"/>
        <v>#VALUE!</v>
      </c>
      <c r="L82" t="e">
        <f ca="1"/>
        <v>#VALUE!</v>
      </c>
      <c r="M82" t="e">
        <f ca="1"/>
        <v>#VALUE!</v>
      </c>
      <c r="N82" t="e">
        <f ca="1"/>
        <v>#VALUE!</v>
      </c>
      <c r="O82" t="e">
        <f ca="1"/>
        <v>#VALUE!</v>
      </c>
      <c r="P82" t="e">
        <f ca="1"/>
        <v>#VALUE!</v>
      </c>
      <c r="Q82" t="e">
        <f ca="1"/>
        <v>#VALUE!</v>
      </c>
    </row>
    <row r="83" spans="1:17" x14ac:dyDescent="0.25">
      <c r="A83" t="str">
        <f ca="1"/>
        <v>FLDFX</v>
      </c>
      <c r="B83" t="e">
        <f ca="1"/>
        <v>#VALUE!</v>
      </c>
      <c r="C83" t="e">
        <f ca="1"/>
        <v>#VALUE!</v>
      </c>
      <c r="D83" t="e">
        <f ca="1"/>
        <v>#VALUE!</v>
      </c>
      <c r="E83" t="e">
        <f ca="1"/>
        <v>#VALUE!</v>
      </c>
      <c r="F83" t="e">
        <f ca="1"/>
        <v>#VALUE!</v>
      </c>
      <c r="G83" t="e">
        <f ca="1"/>
        <v>#VALUE!</v>
      </c>
      <c r="H83" t="e">
        <f ca="1"/>
        <v>#VALUE!</v>
      </c>
      <c r="I83" t="e">
        <f ca="1"/>
        <v>#VALUE!</v>
      </c>
      <c r="J83" t="e">
        <f ca="1"/>
        <v>#VALUE!</v>
      </c>
      <c r="K83" t="e">
        <f ca="1"/>
        <v>#VALUE!</v>
      </c>
      <c r="L83" t="e">
        <f ca="1"/>
        <v>#VALUE!</v>
      </c>
      <c r="M83" t="e">
        <f ca="1"/>
        <v>#VALUE!</v>
      </c>
      <c r="N83" t="e">
        <f ca="1"/>
        <v>#VALUE!</v>
      </c>
      <c r="O83" t="e">
        <f ca="1"/>
        <v>#VALUE!</v>
      </c>
      <c r="P83" t="e">
        <f ca="1"/>
        <v>#VALUE!</v>
      </c>
      <c r="Q83" t="e">
        <f ca="1"/>
        <v>#VALUE!</v>
      </c>
    </row>
    <row r="84" spans="1:17" x14ac:dyDescent="0.25">
      <c r="A84" t="str">
        <f ca="1"/>
        <v>FLDGX</v>
      </c>
      <c r="B84" t="e">
        <f ca="1"/>
        <v>#VALUE!</v>
      </c>
      <c r="C84" t="e">
        <f ca="1"/>
        <v>#VALUE!</v>
      </c>
      <c r="D84" t="e">
        <f ca="1"/>
        <v>#VALUE!</v>
      </c>
      <c r="E84" t="e">
        <f ca="1"/>
        <v>#VALUE!</v>
      </c>
      <c r="F84" t="e">
        <f ca="1"/>
        <v>#VALUE!</v>
      </c>
      <c r="G84" t="e">
        <f ca="1"/>
        <v>#VALUE!</v>
      </c>
      <c r="H84" t="e">
        <f ca="1"/>
        <v>#VALUE!</v>
      </c>
      <c r="I84" t="e">
        <f ca="1"/>
        <v>#VALUE!</v>
      </c>
      <c r="J84" t="e">
        <f ca="1"/>
        <v>#VALUE!</v>
      </c>
      <c r="K84" t="e">
        <f ca="1"/>
        <v>#VALUE!</v>
      </c>
      <c r="L84" t="e">
        <f ca="1"/>
        <v>#VALUE!</v>
      </c>
      <c r="M84" t="e">
        <f ca="1"/>
        <v>#VALUE!</v>
      </c>
      <c r="N84" t="e">
        <f ca="1"/>
        <v>#VALUE!</v>
      </c>
      <c r="O84" t="e">
        <f ca="1"/>
        <v>#VALUE!</v>
      </c>
      <c r="P84" t="e">
        <f ca="1"/>
        <v>#VALUE!</v>
      </c>
      <c r="Q84" t="e">
        <f ca="1"/>
        <v>#VALUE!</v>
      </c>
    </row>
    <row r="85" spans="1:17" x14ac:dyDescent="0.25">
      <c r="A85" t="str">
        <f ca="1"/>
        <v>FLDOX</v>
      </c>
      <c r="B85" t="e">
        <f ca="1"/>
        <v>#VALUE!</v>
      </c>
      <c r="C85" t="e">
        <f ca="1"/>
        <v>#VALUE!</v>
      </c>
      <c r="D85" t="e">
        <f ca="1"/>
        <v>#VALUE!</v>
      </c>
      <c r="E85" t="e">
        <f ca="1"/>
        <v>#VALUE!</v>
      </c>
      <c r="F85" t="e">
        <f ca="1"/>
        <v>#VALUE!</v>
      </c>
      <c r="G85" t="e">
        <f ca="1"/>
        <v>#VALUE!</v>
      </c>
      <c r="H85" t="e">
        <f ca="1"/>
        <v>#VALUE!</v>
      </c>
      <c r="I85" t="e">
        <f ca="1"/>
        <v>#VALUE!</v>
      </c>
      <c r="J85" t="e">
        <f ca="1"/>
        <v>#VALUE!</v>
      </c>
      <c r="K85" t="e">
        <f ca="1"/>
        <v>#VALUE!</v>
      </c>
      <c r="L85" t="e">
        <f ca="1"/>
        <v>#VALUE!</v>
      </c>
      <c r="M85" t="e">
        <f ca="1"/>
        <v>#VALUE!</v>
      </c>
      <c r="N85" t="e">
        <f ca="1"/>
        <v>#VALUE!</v>
      </c>
      <c r="O85" t="e">
        <f ca="1"/>
        <v>#VALUE!</v>
      </c>
      <c r="P85" t="e">
        <f ca="1"/>
        <v>#VALUE!</v>
      </c>
      <c r="Q85" t="e">
        <f ca="1"/>
        <v>#VALUE!</v>
      </c>
    </row>
    <row r="86" spans="1:17" x14ac:dyDescent="0.25">
      <c r="A86" t="str">
        <f ca="1"/>
        <v>FLFGX</v>
      </c>
      <c r="B86" t="e">
        <f ca="1"/>
        <v>#VALUE!</v>
      </c>
      <c r="C86" t="e">
        <f ca="1"/>
        <v>#VALUE!</v>
      </c>
      <c r="D86" t="e">
        <f ca="1"/>
        <v>#VALUE!</v>
      </c>
      <c r="E86" t="e">
        <f ca="1"/>
        <v>#VALUE!</v>
      </c>
      <c r="F86" t="e">
        <f ca="1"/>
        <v>#VALUE!</v>
      </c>
      <c r="G86" t="e">
        <f ca="1"/>
        <v>#VALUE!</v>
      </c>
      <c r="H86" t="e">
        <f ca="1"/>
        <v>#VALUE!</v>
      </c>
      <c r="I86" t="e">
        <f ca="1"/>
        <v>#VALUE!</v>
      </c>
      <c r="J86" t="e">
        <f ca="1"/>
        <v>#VALUE!</v>
      </c>
      <c r="K86" t="e">
        <f ca="1"/>
        <v>#VALUE!</v>
      </c>
      <c r="L86" t="e">
        <f ca="1"/>
        <v>#VALUE!</v>
      </c>
      <c r="M86" t="e">
        <f ca="1"/>
        <v>#VALUE!</v>
      </c>
      <c r="N86" t="e">
        <f ca="1"/>
        <v>#VALUE!</v>
      </c>
      <c r="O86" t="e">
        <f ca="1"/>
        <v>#VALUE!</v>
      </c>
      <c r="P86" t="e">
        <f ca="1"/>
        <v>#VALUE!</v>
      </c>
      <c r="Q86" t="e">
        <f ca="1"/>
        <v>#VALUE!</v>
      </c>
    </row>
    <row r="87" spans="1:17" x14ac:dyDescent="0.25">
      <c r="A87" t="str">
        <f ca="1"/>
        <v>FLMFX</v>
      </c>
      <c r="B87" t="e">
        <f ca="1"/>
        <v>#VALUE!</v>
      </c>
      <c r="C87" t="e">
        <f ca="1"/>
        <v>#VALUE!</v>
      </c>
      <c r="D87" t="e">
        <f ca="1"/>
        <v>#VALUE!</v>
      </c>
      <c r="E87" t="e">
        <f ca="1"/>
        <v>#VALUE!</v>
      </c>
      <c r="F87" t="e">
        <f ca="1"/>
        <v>#VALUE!</v>
      </c>
      <c r="G87" t="e">
        <f ca="1"/>
        <v>#VALUE!</v>
      </c>
      <c r="H87" t="e">
        <f ca="1"/>
        <v>#VALUE!</v>
      </c>
      <c r="I87" t="e">
        <f ca="1"/>
        <v>#VALUE!</v>
      </c>
      <c r="J87" t="e">
        <f ca="1"/>
        <v>#VALUE!</v>
      </c>
      <c r="K87" t="e">
        <f ca="1"/>
        <v>#VALUE!</v>
      </c>
      <c r="L87" t="e">
        <f ca="1"/>
        <v>#VALUE!</v>
      </c>
      <c r="M87" t="e">
        <f ca="1"/>
        <v>#VALUE!</v>
      </c>
      <c r="N87" t="e">
        <f ca="1"/>
        <v>#VALUE!</v>
      </c>
      <c r="O87" t="e">
        <f ca="1"/>
        <v>#VALUE!</v>
      </c>
      <c r="P87" t="e">
        <f ca="1"/>
        <v>#VALUE!</v>
      </c>
      <c r="Q87" t="e">
        <f ca="1"/>
        <v>#VALUE!</v>
      </c>
    </row>
    <row r="88" spans="1:17" x14ac:dyDescent="0.25">
      <c r="A88" t="str">
        <f ca="1"/>
        <v>FLMIX</v>
      </c>
      <c r="B88" t="e">
        <f ca="1"/>
        <v>#VALUE!</v>
      </c>
      <c r="C88" t="e">
        <f ca="1"/>
        <v>#VALUE!</v>
      </c>
      <c r="D88" t="e">
        <f ca="1"/>
        <v>#VALUE!</v>
      </c>
      <c r="E88" t="e">
        <f ca="1"/>
        <v>#VALUE!</v>
      </c>
      <c r="F88" t="e">
        <f ca="1"/>
        <v>#VALUE!</v>
      </c>
      <c r="G88" t="e">
        <f ca="1"/>
        <v>#VALUE!</v>
      </c>
      <c r="H88" t="e">
        <f ca="1"/>
        <v>#VALUE!</v>
      </c>
      <c r="I88" t="e">
        <f ca="1"/>
        <v>#VALUE!</v>
      </c>
      <c r="J88" t="e">
        <f ca="1"/>
        <v>#VALUE!</v>
      </c>
      <c r="K88" t="e">
        <f ca="1"/>
        <v>#VALUE!</v>
      </c>
      <c r="L88" t="e">
        <f ca="1"/>
        <v>#VALUE!</v>
      </c>
      <c r="M88" t="e">
        <f ca="1"/>
        <v>#VALUE!</v>
      </c>
      <c r="N88" t="e">
        <f ca="1"/>
        <v>#VALUE!</v>
      </c>
      <c r="O88" t="e">
        <f ca="1"/>
        <v>#VALUE!</v>
      </c>
      <c r="P88" t="e">
        <f ca="1"/>
        <v>#VALUE!</v>
      </c>
      <c r="Q88" t="e">
        <f ca="1"/>
        <v>#VALUE!</v>
      </c>
    </row>
    <row r="89" spans="1:17" x14ac:dyDescent="0.25">
      <c r="A89" t="str">
        <f ca="1"/>
        <v>FLRUX</v>
      </c>
      <c r="B89" t="e">
        <f ca="1"/>
        <v>#VALUE!</v>
      </c>
      <c r="C89" t="e">
        <f ca="1"/>
        <v>#VALUE!</v>
      </c>
      <c r="D89" t="e">
        <f ca="1"/>
        <v>#VALUE!</v>
      </c>
      <c r="E89" t="e">
        <f ca="1"/>
        <v>#VALUE!</v>
      </c>
      <c r="F89" t="e">
        <f ca="1"/>
        <v>#VALUE!</v>
      </c>
      <c r="G89" t="e">
        <f ca="1"/>
        <v>#VALUE!</v>
      </c>
      <c r="H89" t="e">
        <f ca="1"/>
        <v>#VALUE!</v>
      </c>
      <c r="I89" t="e">
        <f ca="1"/>
        <v>#VALUE!</v>
      </c>
      <c r="J89" t="e">
        <f ca="1"/>
        <v>#VALUE!</v>
      </c>
      <c r="K89" t="e">
        <f ca="1"/>
        <v>#VALUE!</v>
      </c>
      <c r="L89" t="e">
        <f ca="1"/>
        <v>#VALUE!</v>
      </c>
      <c r="M89" t="e">
        <f ca="1"/>
        <v>#VALUE!</v>
      </c>
      <c r="N89" t="e">
        <f ca="1"/>
        <v>#VALUE!</v>
      </c>
      <c r="O89" t="e">
        <f ca="1"/>
        <v>#VALUE!</v>
      </c>
      <c r="P89" t="e">
        <f ca="1"/>
        <v>#VALUE!</v>
      </c>
      <c r="Q89" t="e">
        <f ca="1"/>
        <v>#VALUE!</v>
      </c>
    </row>
    <row r="90" spans="1:17" x14ac:dyDescent="0.25">
      <c r="A90" t="str">
        <f ca="1"/>
        <v>FLSPX</v>
      </c>
      <c r="B90" t="e">
        <f ca="1"/>
        <v>#VALUE!</v>
      </c>
      <c r="C90" t="e">
        <f ca="1"/>
        <v>#VALUE!</v>
      </c>
      <c r="D90" t="e">
        <f ca="1"/>
        <v>#VALUE!</v>
      </c>
      <c r="E90" t="e">
        <f ca="1"/>
        <v>#VALUE!</v>
      </c>
      <c r="F90" t="e">
        <f ca="1"/>
        <v>#VALUE!</v>
      </c>
      <c r="G90" t="e">
        <f ca="1"/>
        <v>#VALUE!</v>
      </c>
      <c r="H90" t="e">
        <f ca="1"/>
        <v>#VALUE!</v>
      </c>
      <c r="I90" t="e">
        <f ca="1"/>
        <v>#VALUE!</v>
      </c>
      <c r="J90" t="e">
        <f ca="1"/>
        <v>#VALUE!</v>
      </c>
      <c r="K90" t="e">
        <f ca="1"/>
        <v>#VALUE!</v>
      </c>
      <c r="L90" t="e">
        <f ca="1"/>
        <v>#VALUE!</v>
      </c>
      <c r="M90" t="e">
        <f ca="1"/>
        <v>#VALUE!</v>
      </c>
      <c r="N90" t="e">
        <f ca="1"/>
        <v>#VALUE!</v>
      </c>
      <c r="O90" t="e">
        <f ca="1"/>
        <v>#VALUE!</v>
      </c>
      <c r="P90" t="e">
        <f ca="1"/>
        <v>#VALUE!</v>
      </c>
      <c r="Q90" t="e">
        <f ca="1"/>
        <v>#VALUE!</v>
      </c>
    </row>
    <row r="91" spans="1:17" x14ac:dyDescent="0.25">
      <c r="A91" t="str">
        <f ca="1"/>
        <v>FMCSX</v>
      </c>
      <c r="B91" t="e">
        <f ca="1"/>
        <v>#VALUE!</v>
      </c>
      <c r="C91" t="e">
        <f ca="1"/>
        <v>#VALUE!</v>
      </c>
      <c r="D91" t="e">
        <f ca="1"/>
        <v>#VALUE!</v>
      </c>
      <c r="E91" t="e">
        <f ca="1"/>
        <v>#VALUE!</v>
      </c>
      <c r="F91" t="e">
        <f ca="1"/>
        <v>#VALUE!</v>
      </c>
      <c r="G91" t="e">
        <f ca="1"/>
        <v>#VALUE!</v>
      </c>
      <c r="H91" t="e">
        <f ca="1"/>
        <v>#VALUE!</v>
      </c>
      <c r="I91" t="e">
        <f ca="1"/>
        <v>#VALUE!</v>
      </c>
      <c r="J91" t="e">
        <f ca="1"/>
        <v>#VALUE!</v>
      </c>
      <c r="K91" t="e">
        <f ca="1"/>
        <v>#VALUE!</v>
      </c>
      <c r="L91" t="e">
        <f ca="1"/>
        <v>#VALUE!</v>
      </c>
      <c r="M91" t="e">
        <f ca="1"/>
        <v>#VALUE!</v>
      </c>
      <c r="N91" t="e">
        <f ca="1"/>
        <v>#VALUE!</v>
      </c>
      <c r="O91" t="e">
        <f ca="1"/>
        <v>#VALUE!</v>
      </c>
      <c r="P91" t="e">
        <f ca="1"/>
        <v>#VALUE!</v>
      </c>
      <c r="Q91" t="e">
        <f ca="1"/>
        <v>#VALUE!</v>
      </c>
    </row>
    <row r="92" spans="1:17" x14ac:dyDescent="0.25">
      <c r="A92" t="str">
        <f ca="1"/>
        <v>FNDSX</v>
      </c>
      <c r="B92" t="e">
        <f ca="1"/>
        <v>#VALUE!</v>
      </c>
      <c r="C92" t="e">
        <f ca="1"/>
        <v>#VALUE!</v>
      </c>
      <c r="D92" t="e">
        <f ca="1"/>
        <v>#VALUE!</v>
      </c>
      <c r="E92" t="e">
        <f ca="1"/>
        <v>#VALUE!</v>
      </c>
      <c r="F92" t="e">
        <f ca="1"/>
        <v>#VALUE!</v>
      </c>
      <c r="G92" t="e">
        <f ca="1"/>
        <v>#VALUE!</v>
      </c>
      <c r="H92" t="e">
        <f ca="1"/>
        <v>#VALUE!</v>
      </c>
      <c r="I92" t="e">
        <f ca="1"/>
        <v>#VALUE!</v>
      </c>
      <c r="J92" t="e">
        <f ca="1"/>
        <v>#VALUE!</v>
      </c>
      <c r="K92" t="e">
        <f ca="1"/>
        <v>#VALUE!</v>
      </c>
      <c r="L92" t="e">
        <f ca="1"/>
        <v>#VALUE!</v>
      </c>
      <c r="M92" t="e">
        <f ca="1"/>
        <v>#VALUE!</v>
      </c>
      <c r="N92" t="e">
        <f ca="1"/>
        <v>#VALUE!</v>
      </c>
      <c r="O92" t="e">
        <f ca="1"/>
        <v>#VALUE!</v>
      </c>
      <c r="P92" t="e">
        <f ca="1"/>
        <v>#VALUE!</v>
      </c>
      <c r="Q92" t="e">
        <f ca="1"/>
        <v>#VALUE!</v>
      </c>
    </row>
    <row r="93" spans="1:17" x14ac:dyDescent="0.25">
      <c r="A93" t="str">
        <f ca="1"/>
        <v>FNWFX</v>
      </c>
      <c r="B93" t="e">
        <f ca="1"/>
        <v>#VALUE!</v>
      </c>
      <c r="C93" t="e">
        <f ca="1"/>
        <v>#VALUE!</v>
      </c>
      <c r="D93" t="e">
        <f ca="1"/>
        <v>#VALUE!</v>
      </c>
      <c r="E93" t="e">
        <f ca="1"/>
        <v>#VALUE!</v>
      </c>
      <c r="F93" t="e">
        <f ca="1"/>
        <v>#VALUE!</v>
      </c>
      <c r="G93" t="e">
        <f ca="1"/>
        <v>#VALUE!</v>
      </c>
      <c r="H93" t="e">
        <f ca="1"/>
        <v>#VALUE!</v>
      </c>
      <c r="I93" t="e">
        <f ca="1"/>
        <v>#VALUE!</v>
      </c>
      <c r="J93" t="e">
        <f ca="1"/>
        <v>#VALUE!</v>
      </c>
      <c r="K93" t="e">
        <f ca="1"/>
        <v>#VALUE!</v>
      </c>
      <c r="L93" t="e">
        <f ca="1"/>
        <v>#VALUE!</v>
      </c>
      <c r="M93" t="e">
        <f ca="1"/>
        <v>#VALUE!</v>
      </c>
      <c r="N93" t="e">
        <f ca="1"/>
        <v>#VALUE!</v>
      </c>
      <c r="O93" t="e">
        <f ca="1"/>
        <v>#VALUE!</v>
      </c>
      <c r="P93" t="e">
        <f ca="1"/>
        <v>#VALUE!</v>
      </c>
      <c r="Q93" t="e">
        <f ca="1"/>
        <v>#VALUE!</v>
      </c>
    </row>
    <row r="94" spans="1:17" x14ac:dyDescent="0.25">
      <c r="A94" t="str">
        <f ca="1"/>
        <v>FPACX</v>
      </c>
      <c r="B94" t="e">
        <f ca="1"/>
        <v>#VALUE!</v>
      </c>
      <c r="C94" t="e">
        <f ca="1"/>
        <v>#VALUE!</v>
      </c>
      <c r="D94" t="e">
        <f ca="1"/>
        <v>#VALUE!</v>
      </c>
      <c r="E94" t="e">
        <f ca="1"/>
        <v>#VALUE!</v>
      </c>
      <c r="F94" t="e">
        <f ca="1"/>
        <v>#VALUE!</v>
      </c>
      <c r="G94" t="e">
        <f ca="1"/>
        <v>#VALUE!</v>
      </c>
      <c r="H94" t="e">
        <f ca="1"/>
        <v>#VALUE!</v>
      </c>
      <c r="I94" t="e">
        <f ca="1"/>
        <v>#VALUE!</v>
      </c>
      <c r="J94" t="e">
        <f ca="1"/>
        <v>#VALUE!</v>
      </c>
      <c r="K94" t="e">
        <f ca="1"/>
        <v>#VALUE!</v>
      </c>
      <c r="L94" t="e">
        <f ca="1"/>
        <v>#VALUE!</v>
      </c>
      <c r="M94" t="e">
        <f ca="1"/>
        <v>#VALUE!</v>
      </c>
      <c r="N94" t="e">
        <f ca="1"/>
        <v>#VALUE!</v>
      </c>
      <c r="O94" t="e">
        <f ca="1"/>
        <v>#VALUE!</v>
      </c>
      <c r="P94" t="e">
        <f ca="1"/>
        <v>#VALUE!</v>
      </c>
      <c r="Q94" t="e">
        <f ca="1"/>
        <v>#VALUE!</v>
      </c>
    </row>
    <row r="95" spans="1:17" x14ac:dyDescent="0.25">
      <c r="A95" t="str">
        <f ca="1"/>
        <v>FPADX</v>
      </c>
      <c r="B95" t="e">
        <f ca="1"/>
        <v>#VALUE!</v>
      </c>
      <c r="C95" t="e">
        <f ca="1"/>
        <v>#VALUE!</v>
      </c>
      <c r="D95" t="e">
        <f ca="1"/>
        <v>#VALUE!</v>
      </c>
      <c r="E95" t="e">
        <f ca="1"/>
        <v>#VALUE!</v>
      </c>
      <c r="F95" t="e">
        <f ca="1"/>
        <v>#VALUE!</v>
      </c>
      <c r="G95" t="e">
        <f ca="1"/>
        <v>#VALUE!</v>
      </c>
      <c r="H95" t="e">
        <f ca="1"/>
        <v>#VALUE!</v>
      </c>
      <c r="I95" t="e">
        <f ca="1"/>
        <v>#VALUE!</v>
      </c>
      <c r="J95" t="e">
        <f ca="1"/>
        <v>#VALUE!</v>
      </c>
      <c r="K95" t="e">
        <f ca="1"/>
        <v>#VALUE!</v>
      </c>
      <c r="L95" t="e">
        <f ca="1"/>
        <v>#VALUE!</v>
      </c>
      <c r="M95" t="e">
        <f ca="1"/>
        <v>#VALUE!</v>
      </c>
      <c r="N95" t="e">
        <f ca="1"/>
        <v>#VALUE!</v>
      </c>
      <c r="O95" t="e">
        <f ca="1"/>
        <v>#VALUE!</v>
      </c>
      <c r="P95" t="e">
        <f ca="1"/>
        <v>#VALUE!</v>
      </c>
      <c r="Q95" t="e">
        <f ca="1"/>
        <v>#VALUE!</v>
      </c>
    </row>
    <row r="96" spans="1:17" x14ac:dyDescent="0.25">
      <c r="A96" t="str">
        <f ca="1"/>
        <v>FSMAX</v>
      </c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F96" t="e">
        <f ca="1"/>
        <v>#VALUE!</v>
      </c>
      <c r="G96" t="e">
        <f ca="1"/>
        <v>#VALUE!</v>
      </c>
      <c r="H96" t="e">
        <f ca="1"/>
        <v>#VALUE!</v>
      </c>
      <c r="I96" t="e">
        <f ca="1"/>
        <v>#VALUE!</v>
      </c>
      <c r="J96" t="e">
        <f ca="1"/>
        <v>#VALUE!</v>
      </c>
      <c r="K96" t="e">
        <f ca="1"/>
        <v>#VALUE!</v>
      </c>
      <c r="L96" t="e">
        <f ca="1"/>
        <v>#VALUE!</v>
      </c>
      <c r="M96" t="e">
        <f ca="1"/>
        <v>#VALUE!</v>
      </c>
      <c r="N96" t="e">
        <f ca="1"/>
        <v>#VALUE!</v>
      </c>
      <c r="O96" t="e">
        <f ca="1"/>
        <v>#VALUE!</v>
      </c>
      <c r="P96" t="e">
        <f ca="1"/>
        <v>#VALUE!</v>
      </c>
      <c r="Q96" t="e">
        <f ca="1"/>
        <v>#VALUE!</v>
      </c>
    </row>
    <row r="97" spans="1:17" x14ac:dyDescent="0.25">
      <c r="A97" t="str">
        <f ca="1"/>
        <v>FSPGX</v>
      </c>
      <c r="B97" t="e">
        <f ca="1"/>
        <v>#VALUE!</v>
      </c>
      <c r="C97" t="e">
        <f ca="1"/>
        <v>#VALUE!</v>
      </c>
      <c r="D97" t="e">
        <f ca="1"/>
        <v>#VALUE!</v>
      </c>
      <c r="E97" t="e">
        <f ca="1"/>
        <v>#VALUE!</v>
      </c>
      <c r="F97" t="e">
        <f ca="1"/>
        <v>#VALUE!</v>
      </c>
      <c r="G97" t="e">
        <f ca="1"/>
        <v>#VALUE!</v>
      </c>
      <c r="H97" t="e">
        <f ca="1"/>
        <v>#VALUE!</v>
      </c>
      <c r="I97" t="e">
        <f ca="1"/>
        <v>#VALUE!</v>
      </c>
      <c r="J97" t="e">
        <f ca="1"/>
        <v>#VALUE!</v>
      </c>
      <c r="K97" t="e">
        <f ca="1"/>
        <v>#VALUE!</v>
      </c>
      <c r="L97" t="e">
        <f ca="1"/>
        <v>#VALUE!</v>
      </c>
      <c r="M97" t="e">
        <f ca="1"/>
        <v>#VALUE!</v>
      </c>
      <c r="N97" t="e">
        <f ca="1"/>
        <v>#VALUE!</v>
      </c>
      <c r="O97" t="e">
        <f ca="1"/>
        <v>#VALUE!</v>
      </c>
      <c r="P97" t="e">
        <f ca="1"/>
        <v>#VALUE!</v>
      </c>
      <c r="Q97" t="e">
        <f ca="1"/>
        <v>#VALUE!</v>
      </c>
    </row>
    <row r="98" spans="1:17" x14ac:dyDescent="0.25">
      <c r="A98" t="str">
        <f ca="1"/>
        <v>FSPSX</v>
      </c>
      <c r="B98" t="e">
        <f ca="1"/>
        <v>#VALUE!</v>
      </c>
      <c r="C98" t="e">
        <f ca="1"/>
        <v>#VALUE!</v>
      </c>
      <c r="D98" t="e">
        <f ca="1"/>
        <v>#VALUE!</v>
      </c>
      <c r="E98" t="e">
        <f ca="1"/>
        <v>#VALUE!</v>
      </c>
      <c r="F98" t="e">
        <f ca="1"/>
        <v>#VALUE!</v>
      </c>
      <c r="G98" t="e">
        <f ca="1"/>
        <v>#VALUE!</v>
      </c>
      <c r="H98" t="e">
        <f ca="1"/>
        <v>#VALUE!</v>
      </c>
      <c r="I98" t="e">
        <f ca="1"/>
        <v>#VALUE!</v>
      </c>
      <c r="J98" t="e">
        <f ca="1"/>
        <v>#VALUE!</v>
      </c>
      <c r="K98" t="e">
        <f ca="1"/>
        <v>#VALUE!</v>
      </c>
      <c r="L98" t="e">
        <f ca="1"/>
        <v>#VALUE!</v>
      </c>
      <c r="M98" t="e">
        <f ca="1"/>
        <v>#VALUE!</v>
      </c>
      <c r="N98" t="e">
        <f ca="1"/>
        <v>#VALUE!</v>
      </c>
      <c r="O98" t="e">
        <f ca="1"/>
        <v>#VALUE!</v>
      </c>
      <c r="P98" t="e">
        <f ca="1"/>
        <v>#VALUE!</v>
      </c>
      <c r="Q98" t="e">
        <f ca="1"/>
        <v>#VALUE!</v>
      </c>
    </row>
    <row r="99" spans="1:17" x14ac:dyDescent="0.25">
      <c r="A99" t="str">
        <f ca="1"/>
        <v>GDX</v>
      </c>
      <c r="B99" t="str">
        <f ca="1"/>
        <v>etf</v>
      </c>
      <c r="C99" t="str">
        <f ca="1"/>
        <v>VanEck Gold Miners ETF</v>
      </c>
      <c r="D99" t="str">
        <f ca="1"/>
        <v>Metals Equity</v>
      </c>
      <c r="E99" t="str">
        <f ca="1"/>
        <v>^MSWMMTR</v>
      </c>
      <c r="F99" t="str">
        <f ca="1"/>
        <v>MSCI World Metals &amp; Mining Total Return</v>
      </c>
      <c r="G99" t="str">
        <f ca="1"/>
        <v>NYSE Arca Gold Miners TR USD</v>
      </c>
      <c r="H99">
        <f ca="1"/>
        <v>-0.138457</v>
      </c>
      <c r="I99">
        <f ca="1"/>
        <v>4.6210000000000001E-2</v>
      </c>
      <c r="J99">
        <f ca="1"/>
        <v>0.106309</v>
      </c>
      <c r="K99">
        <f ca="1"/>
        <v>0.22878199999999999</v>
      </c>
      <c r="L99">
        <f ca="1"/>
        <v>0.106309</v>
      </c>
      <c r="M99">
        <f ca="1"/>
        <v>0.22878199999999999</v>
      </c>
      <c r="N99">
        <f ca="1"/>
        <v>0.107249</v>
      </c>
      <c r="O99">
        <f ca="1"/>
        <v>7.478499999999999E-2</v>
      </c>
      <c r="P99">
        <f ca="1"/>
        <v>0.23885799999999999</v>
      </c>
      <c r="Q99">
        <f ca="1"/>
        <v>-0.2366</v>
      </c>
    </row>
    <row r="100" spans="1:17" x14ac:dyDescent="0.25">
      <c r="A100" t="str">
        <f ca="1"/>
        <v>GERAX</v>
      </c>
      <c r="B100" t="e">
        <f ca="1"/>
        <v>#VALUE!</v>
      </c>
      <c r="C100" t="e">
        <f ca="1"/>
        <v>#VALUE!</v>
      </c>
      <c r="D100" t="e">
        <f ca="1"/>
        <v>#VALUE!</v>
      </c>
      <c r="E100" t="e">
        <f ca="1"/>
        <v>#VALUE!</v>
      </c>
      <c r="F100" t="e">
        <f ca="1"/>
        <v>#VALUE!</v>
      </c>
      <c r="G100" t="e">
        <f ca="1"/>
        <v>#VALUE!</v>
      </c>
      <c r="H100" t="e">
        <f ca="1"/>
        <v>#VALUE!</v>
      </c>
      <c r="I100" t="e">
        <f ca="1"/>
        <v>#VALUE!</v>
      </c>
      <c r="J100" t="e">
        <f ca="1"/>
        <v>#VALUE!</v>
      </c>
      <c r="K100" t="e">
        <f ca="1"/>
        <v>#VALUE!</v>
      </c>
      <c r="L100" t="e">
        <f ca="1"/>
        <v>#VALUE!</v>
      </c>
      <c r="M100" t="e">
        <f ca="1"/>
        <v>#VALUE!</v>
      </c>
      <c r="N100" t="e">
        <f ca="1"/>
        <v>#VALUE!</v>
      </c>
      <c r="O100" t="e">
        <f ca="1"/>
        <v>#VALUE!</v>
      </c>
      <c r="P100" t="e">
        <f ca="1"/>
        <v>#VALUE!</v>
      </c>
      <c r="Q100" t="e">
        <f ca="1"/>
        <v>#VALUE!</v>
      </c>
    </row>
    <row r="101" spans="1:17" x14ac:dyDescent="0.25">
      <c r="A101" t="str">
        <f ca="1"/>
        <v>GERIX</v>
      </c>
      <c r="B101" t="e">
        <f ca="1"/>
        <v>#VALUE!</v>
      </c>
      <c r="C101" t="e">
        <f ca="1"/>
        <v>#VALUE!</v>
      </c>
      <c r="D101" t="e">
        <f ca="1"/>
        <v>#VALUE!</v>
      </c>
      <c r="E101" t="e">
        <f ca="1"/>
        <v>#VALUE!</v>
      </c>
      <c r="F101" t="e">
        <f ca="1"/>
        <v>#VALUE!</v>
      </c>
      <c r="G101" t="e">
        <f ca="1"/>
        <v>#VALUE!</v>
      </c>
      <c r="H101" t="e">
        <f ca="1"/>
        <v>#VALUE!</v>
      </c>
      <c r="I101" t="e">
        <f ca="1"/>
        <v>#VALUE!</v>
      </c>
      <c r="J101" t="e">
        <f ca="1"/>
        <v>#VALUE!</v>
      </c>
      <c r="K101" t="e">
        <f ca="1"/>
        <v>#VALUE!</v>
      </c>
      <c r="L101" t="e">
        <f ca="1"/>
        <v>#VALUE!</v>
      </c>
      <c r="M101" t="e">
        <f ca="1"/>
        <v>#VALUE!</v>
      </c>
      <c r="N101" t="e">
        <f ca="1"/>
        <v>#VALUE!</v>
      </c>
      <c r="O101" t="e">
        <f ca="1"/>
        <v>#VALUE!</v>
      </c>
      <c r="P101" t="e">
        <f ca="1"/>
        <v>#VALUE!</v>
      </c>
      <c r="Q101" t="e">
        <f ca="1"/>
        <v>#VALUE!</v>
      </c>
    </row>
    <row r="102" spans="1:17" x14ac:dyDescent="0.25">
      <c r="A102" t="str">
        <f ca="1"/>
        <v>GERUX</v>
      </c>
      <c r="B102" t="e">
        <f ca="1"/>
        <v>#VALUE!</v>
      </c>
      <c r="C102" t="e">
        <f ca="1"/>
        <v>#VALUE!</v>
      </c>
      <c r="D102" t="e">
        <f ca="1"/>
        <v>#VALUE!</v>
      </c>
      <c r="E102" t="e">
        <f ca="1"/>
        <v>#VALUE!</v>
      </c>
      <c r="F102" t="e">
        <f ca="1"/>
        <v>#VALUE!</v>
      </c>
      <c r="G102" t="e">
        <f ca="1"/>
        <v>#VALUE!</v>
      </c>
      <c r="H102" t="e">
        <f ca="1"/>
        <v>#VALUE!</v>
      </c>
      <c r="I102" t="e">
        <f ca="1"/>
        <v>#VALUE!</v>
      </c>
      <c r="J102" t="e">
        <f ca="1"/>
        <v>#VALUE!</v>
      </c>
      <c r="K102" t="e">
        <f ca="1"/>
        <v>#VALUE!</v>
      </c>
      <c r="L102" t="e">
        <f ca="1"/>
        <v>#VALUE!</v>
      </c>
      <c r="M102" t="e">
        <f ca="1"/>
        <v>#VALUE!</v>
      </c>
      <c r="N102" t="e">
        <f ca="1"/>
        <v>#VALUE!</v>
      </c>
      <c r="O102" t="e">
        <f ca="1"/>
        <v>#VALUE!</v>
      </c>
      <c r="P102" t="e">
        <f ca="1"/>
        <v>#VALUE!</v>
      </c>
      <c r="Q102" t="e">
        <f ca="1"/>
        <v>#VALUE!</v>
      </c>
    </row>
    <row r="103" spans="1:17" x14ac:dyDescent="0.25">
      <c r="A103" t="str">
        <f ca="1"/>
        <v>GIBIX</v>
      </c>
      <c r="B103" t="e">
        <f ca="1"/>
        <v>#VALUE!</v>
      </c>
      <c r="C103" t="e">
        <f ca="1"/>
        <v>#VALUE!</v>
      </c>
      <c r="D103" t="e">
        <f ca="1"/>
        <v>#VALUE!</v>
      </c>
      <c r="E103" t="e">
        <f ca="1"/>
        <v>#VALUE!</v>
      </c>
      <c r="F103" t="e">
        <f ca="1"/>
        <v>#VALUE!</v>
      </c>
      <c r="G103" t="e">
        <f ca="1"/>
        <v>#VALUE!</v>
      </c>
      <c r="H103" t="e">
        <f ca="1"/>
        <v>#VALUE!</v>
      </c>
      <c r="I103" t="e">
        <f ca="1"/>
        <v>#VALUE!</v>
      </c>
      <c r="J103" t="e">
        <f ca="1"/>
        <v>#VALUE!</v>
      </c>
      <c r="K103" t="e">
        <f ca="1"/>
        <v>#VALUE!</v>
      </c>
      <c r="L103" t="e">
        <f ca="1"/>
        <v>#VALUE!</v>
      </c>
      <c r="M103" t="e">
        <f ca="1"/>
        <v>#VALUE!</v>
      </c>
      <c r="N103" t="e">
        <f ca="1"/>
        <v>#VALUE!</v>
      </c>
      <c r="O103" t="e">
        <f ca="1"/>
        <v>#VALUE!</v>
      </c>
      <c r="P103" t="e">
        <f ca="1"/>
        <v>#VALUE!</v>
      </c>
      <c r="Q103" t="e">
        <f ca="1"/>
        <v>#VALUE!</v>
      </c>
    </row>
    <row r="104" spans="1:17" x14ac:dyDescent="0.25">
      <c r="A104" t="str">
        <f ca="1"/>
        <v>GIOAX</v>
      </c>
      <c r="B104" t="e">
        <f ca="1"/>
        <v>#VALUE!</v>
      </c>
      <c r="C104" t="e">
        <f ca="1"/>
        <v>#VALUE!</v>
      </c>
      <c r="D104" t="e">
        <f ca="1"/>
        <v>#VALUE!</v>
      </c>
      <c r="E104" t="e">
        <f ca="1"/>
        <v>#VALUE!</v>
      </c>
      <c r="F104" t="e">
        <f ca="1"/>
        <v>#VALUE!</v>
      </c>
      <c r="G104" t="e">
        <f ca="1"/>
        <v>#VALUE!</v>
      </c>
      <c r="H104" t="e">
        <f ca="1"/>
        <v>#VALUE!</v>
      </c>
      <c r="I104" t="e">
        <f ca="1"/>
        <v>#VALUE!</v>
      </c>
      <c r="J104" t="e">
        <f ca="1"/>
        <v>#VALUE!</v>
      </c>
      <c r="K104" t="e">
        <f ca="1"/>
        <v>#VALUE!</v>
      </c>
      <c r="L104" t="e">
        <f ca="1"/>
        <v>#VALUE!</v>
      </c>
      <c r="M104" t="e">
        <f ca="1"/>
        <v>#VALUE!</v>
      </c>
      <c r="N104" t="e">
        <f ca="1"/>
        <v>#VALUE!</v>
      </c>
      <c r="O104" t="e">
        <f ca="1"/>
        <v>#VALUE!</v>
      </c>
      <c r="P104" t="e">
        <f ca="1"/>
        <v>#VALUE!</v>
      </c>
      <c r="Q104" t="e">
        <f ca="1"/>
        <v>#VALUE!</v>
      </c>
    </row>
    <row r="105" spans="1:17" x14ac:dyDescent="0.25">
      <c r="A105" t="str">
        <f ca="1"/>
        <v>GIRPX</v>
      </c>
      <c r="B105" t="e">
        <f ca="1"/>
        <v>#VALUE!</v>
      </c>
      <c r="C105" t="e">
        <f ca="1"/>
        <v>#VALUE!</v>
      </c>
      <c r="D105" t="e">
        <f ca="1"/>
        <v>#VALUE!</v>
      </c>
      <c r="E105" t="e">
        <f ca="1"/>
        <v>#VALUE!</v>
      </c>
      <c r="F105" t="e">
        <f ca="1"/>
        <v>#VALUE!</v>
      </c>
      <c r="G105" t="e">
        <f ca="1"/>
        <v>#VALUE!</v>
      </c>
      <c r="H105" t="e">
        <f ca="1"/>
        <v>#VALUE!</v>
      </c>
      <c r="I105" t="e">
        <f ca="1"/>
        <v>#VALUE!</v>
      </c>
      <c r="J105" t="e">
        <f ca="1"/>
        <v>#VALUE!</v>
      </c>
      <c r="K105" t="e">
        <f ca="1"/>
        <v>#VALUE!</v>
      </c>
      <c r="L105" t="e">
        <f ca="1"/>
        <v>#VALUE!</v>
      </c>
      <c r="M105" t="e">
        <f ca="1"/>
        <v>#VALUE!</v>
      </c>
      <c r="N105" t="e">
        <f ca="1"/>
        <v>#VALUE!</v>
      </c>
      <c r="O105" t="e">
        <f ca="1"/>
        <v>#VALUE!</v>
      </c>
      <c r="P105" t="e">
        <f ca="1"/>
        <v>#VALUE!</v>
      </c>
      <c r="Q105" t="e">
        <f ca="1"/>
        <v>#VALUE!</v>
      </c>
    </row>
    <row r="106" spans="1:17" x14ac:dyDescent="0.25">
      <c r="A106" t="str">
        <f ca="1"/>
        <v>GLSOX</v>
      </c>
      <c r="B106" t="e">
        <f ca="1"/>
        <v>#VALUE!</v>
      </c>
      <c r="C106" t="e">
        <f ca="1"/>
        <v>#VALUE!</v>
      </c>
      <c r="D106" t="e">
        <f ca="1"/>
        <v>#VALUE!</v>
      </c>
      <c r="E106" t="e">
        <f ca="1"/>
        <v>#VALUE!</v>
      </c>
      <c r="F106" t="e">
        <f ca="1"/>
        <v>#VALUE!</v>
      </c>
      <c r="G106" t="e">
        <f ca="1"/>
        <v>#VALUE!</v>
      </c>
      <c r="H106" t="e">
        <f ca="1"/>
        <v>#VALUE!</v>
      </c>
      <c r="I106" t="e">
        <f ca="1"/>
        <v>#VALUE!</v>
      </c>
      <c r="J106" t="e">
        <f ca="1"/>
        <v>#VALUE!</v>
      </c>
      <c r="K106" t="e">
        <f ca="1"/>
        <v>#VALUE!</v>
      </c>
      <c r="L106" t="e">
        <f ca="1"/>
        <v>#VALUE!</v>
      </c>
      <c r="M106" t="e">
        <f ca="1"/>
        <v>#VALUE!</v>
      </c>
      <c r="N106" t="e">
        <f ca="1"/>
        <v>#VALUE!</v>
      </c>
      <c r="O106" t="e">
        <f ca="1"/>
        <v>#VALUE!</v>
      </c>
      <c r="P106" t="e">
        <f ca="1"/>
        <v>#VALUE!</v>
      </c>
      <c r="Q106" t="e">
        <f ca="1"/>
        <v>#VALUE!</v>
      </c>
    </row>
    <row r="107" spans="1:17" x14ac:dyDescent="0.25">
      <c r="A107" t="str">
        <f ca="1"/>
        <v>GQGIX</v>
      </c>
      <c r="B107" t="e">
        <f ca="1"/>
        <v>#VALUE!</v>
      </c>
      <c r="C107" t="e">
        <f ca="1"/>
        <v>#VALUE!</v>
      </c>
      <c r="D107" t="e">
        <f ca="1"/>
        <v>#VALUE!</v>
      </c>
      <c r="E107" t="e">
        <f ca="1"/>
        <v>#VALUE!</v>
      </c>
      <c r="F107" t="e">
        <f ca="1"/>
        <v>#VALUE!</v>
      </c>
      <c r="G107" t="e">
        <f ca="1"/>
        <v>#VALUE!</v>
      </c>
      <c r="H107" t="e">
        <f ca="1"/>
        <v>#VALUE!</v>
      </c>
      <c r="I107" t="e">
        <f ca="1"/>
        <v>#VALUE!</v>
      </c>
      <c r="J107" t="e">
        <f ca="1"/>
        <v>#VALUE!</v>
      </c>
      <c r="K107" t="e">
        <f ca="1"/>
        <v>#VALUE!</v>
      </c>
      <c r="L107" t="e">
        <f ca="1"/>
        <v>#VALUE!</v>
      </c>
      <c r="M107" t="e">
        <f ca="1"/>
        <v>#VALUE!</v>
      </c>
      <c r="N107" t="e">
        <f ca="1"/>
        <v>#VALUE!</v>
      </c>
      <c r="O107" t="e">
        <f ca="1"/>
        <v>#VALUE!</v>
      </c>
      <c r="P107" t="e">
        <f ca="1"/>
        <v>#VALUE!</v>
      </c>
      <c r="Q107" t="e">
        <f ca="1"/>
        <v>#VALUE!</v>
      </c>
    </row>
    <row r="108" spans="1:17" x14ac:dyDescent="0.25">
      <c r="A108" t="str">
        <f ca="1"/>
        <v>GRIFX</v>
      </c>
      <c r="B108" t="e">
        <f ca="1"/>
        <v>#VALUE!</v>
      </c>
      <c r="C108" t="e">
        <f ca="1"/>
        <v>#VALUE!</v>
      </c>
      <c r="D108" t="e">
        <f ca="1"/>
        <v>#VALUE!</v>
      </c>
      <c r="E108" t="e">
        <f ca="1"/>
        <v>#VALUE!</v>
      </c>
      <c r="F108" t="e">
        <f ca="1"/>
        <v>#VALUE!</v>
      </c>
      <c r="G108" t="e">
        <f ca="1"/>
        <v>#VALUE!</v>
      </c>
      <c r="H108" t="e">
        <f ca="1"/>
        <v>#VALUE!</v>
      </c>
      <c r="I108" t="e">
        <f ca="1"/>
        <v>#VALUE!</v>
      </c>
      <c r="J108" t="e">
        <f ca="1"/>
        <v>#VALUE!</v>
      </c>
      <c r="K108" t="e">
        <f ca="1"/>
        <v>#VALUE!</v>
      </c>
      <c r="L108" t="e">
        <f ca="1"/>
        <v>#VALUE!</v>
      </c>
      <c r="M108" t="e">
        <f ca="1"/>
        <v>#VALUE!</v>
      </c>
      <c r="N108" t="e">
        <f ca="1"/>
        <v>#VALUE!</v>
      </c>
      <c r="O108" t="e">
        <f ca="1"/>
        <v>#VALUE!</v>
      </c>
      <c r="P108" t="e">
        <f ca="1"/>
        <v>#VALUE!</v>
      </c>
      <c r="Q108" t="e">
        <f ca="1"/>
        <v>#VALUE!</v>
      </c>
    </row>
    <row r="109" spans="1:17" x14ac:dyDescent="0.25">
      <c r="A109" t="str">
        <f ca="1"/>
        <v>GSIMX</v>
      </c>
      <c r="B109" t="e">
        <f ca="1"/>
        <v>#VALUE!</v>
      </c>
      <c r="C109" t="e">
        <f ca="1"/>
        <v>#VALUE!</v>
      </c>
      <c r="D109" t="e">
        <f ca="1"/>
        <v>#VALUE!</v>
      </c>
      <c r="E109" t="e">
        <f ca="1"/>
        <v>#VALUE!</v>
      </c>
      <c r="F109" t="e">
        <f ca="1"/>
        <v>#VALUE!</v>
      </c>
      <c r="G109" t="e">
        <f ca="1"/>
        <v>#VALUE!</v>
      </c>
      <c r="H109" t="e">
        <f ca="1"/>
        <v>#VALUE!</v>
      </c>
      <c r="I109" t="e">
        <f ca="1"/>
        <v>#VALUE!</v>
      </c>
      <c r="J109" t="e">
        <f ca="1"/>
        <v>#VALUE!</v>
      </c>
      <c r="K109" t="e">
        <f ca="1"/>
        <v>#VALUE!</v>
      </c>
      <c r="L109" t="e">
        <f ca="1"/>
        <v>#VALUE!</v>
      </c>
      <c r="M109" t="e">
        <f ca="1"/>
        <v>#VALUE!</v>
      </c>
      <c r="N109" t="e">
        <f ca="1"/>
        <v>#VALUE!</v>
      </c>
      <c r="O109" t="e">
        <f ca="1"/>
        <v>#VALUE!</v>
      </c>
      <c r="P109" t="e">
        <f ca="1"/>
        <v>#VALUE!</v>
      </c>
      <c r="Q109" t="e">
        <f ca="1"/>
        <v>#VALUE!</v>
      </c>
    </row>
    <row r="110" spans="1:17" x14ac:dyDescent="0.25">
      <c r="A110" t="str">
        <f ca="1"/>
        <v>GSINX</v>
      </c>
      <c r="B110" t="e">
        <f ca="1"/>
        <v>#VALUE!</v>
      </c>
      <c r="C110" t="e">
        <f ca="1"/>
        <v>#VALUE!</v>
      </c>
      <c r="D110" t="e">
        <f ca="1"/>
        <v>#VALUE!</v>
      </c>
      <c r="E110" t="e">
        <f ca="1"/>
        <v>#VALUE!</v>
      </c>
      <c r="F110" t="e">
        <f ca="1"/>
        <v>#VALUE!</v>
      </c>
      <c r="G110" t="e">
        <f ca="1"/>
        <v>#VALUE!</v>
      </c>
      <c r="H110" t="e">
        <f ca="1"/>
        <v>#VALUE!</v>
      </c>
      <c r="I110" t="e">
        <f ca="1"/>
        <v>#VALUE!</v>
      </c>
      <c r="J110" t="e">
        <f ca="1"/>
        <v>#VALUE!</v>
      </c>
      <c r="K110" t="e">
        <f ca="1"/>
        <v>#VALUE!</v>
      </c>
      <c r="L110" t="e">
        <f ca="1"/>
        <v>#VALUE!</v>
      </c>
      <c r="M110" t="e">
        <f ca="1"/>
        <v>#VALUE!</v>
      </c>
      <c r="N110" t="e">
        <f ca="1"/>
        <v>#VALUE!</v>
      </c>
      <c r="O110" t="e">
        <f ca="1"/>
        <v>#VALUE!</v>
      </c>
      <c r="P110" t="e">
        <f ca="1"/>
        <v>#VALUE!</v>
      </c>
      <c r="Q110" t="e">
        <f ca="1"/>
        <v>#VALUE!</v>
      </c>
    </row>
    <row r="111" spans="1:17" x14ac:dyDescent="0.25">
      <c r="A111" t="str">
        <f ca="1"/>
        <v>GSZIX</v>
      </c>
      <c r="B111" t="e">
        <f ca="1"/>
        <v>#VALUE!</v>
      </c>
      <c r="C111" t="e">
        <f ca="1"/>
        <v>#VALUE!</v>
      </c>
      <c r="D111" t="e">
        <f ca="1"/>
        <v>#VALUE!</v>
      </c>
      <c r="E111" t="e">
        <f ca="1"/>
        <v>#VALUE!</v>
      </c>
      <c r="F111" t="e">
        <f ca="1"/>
        <v>#VALUE!</v>
      </c>
      <c r="G111" t="e">
        <f ca="1"/>
        <v>#VALUE!</v>
      </c>
      <c r="H111" t="e">
        <f ca="1"/>
        <v>#VALUE!</v>
      </c>
      <c r="I111" t="e">
        <f ca="1"/>
        <v>#VALUE!</v>
      </c>
      <c r="J111" t="e">
        <f ca="1"/>
        <v>#VALUE!</v>
      </c>
      <c r="K111" t="e">
        <f ca="1"/>
        <v>#VALUE!</v>
      </c>
      <c r="L111" t="e">
        <f ca="1"/>
        <v>#VALUE!</v>
      </c>
      <c r="M111" t="e">
        <f ca="1"/>
        <v>#VALUE!</v>
      </c>
      <c r="N111" t="e">
        <f ca="1"/>
        <v>#VALUE!</v>
      </c>
      <c r="O111" t="e">
        <f ca="1"/>
        <v>#VALUE!</v>
      </c>
      <c r="P111" t="e">
        <f ca="1"/>
        <v>#VALUE!</v>
      </c>
      <c r="Q111" t="e">
        <f ca="1"/>
        <v>#VALUE!</v>
      </c>
    </row>
    <row r="112" spans="1:17" x14ac:dyDescent="0.25">
      <c r="A112" t="str">
        <f ca="1"/>
        <v>GTSOX</v>
      </c>
      <c r="B112" t="e">
        <f ca="1"/>
        <v>#VALUE!</v>
      </c>
      <c r="C112" t="e">
        <f ca="1"/>
        <v>#VALUE!</v>
      </c>
      <c r="D112" t="e">
        <f ca="1"/>
        <v>#VALUE!</v>
      </c>
      <c r="E112" t="e">
        <f ca="1"/>
        <v>#VALUE!</v>
      </c>
      <c r="F112" t="e">
        <f ca="1"/>
        <v>#VALUE!</v>
      </c>
      <c r="G112" t="e">
        <f ca="1"/>
        <v>#VALUE!</v>
      </c>
      <c r="H112" t="e">
        <f ca="1"/>
        <v>#VALUE!</v>
      </c>
      <c r="I112" t="e">
        <f ca="1"/>
        <v>#VALUE!</v>
      </c>
      <c r="J112" t="e">
        <f ca="1"/>
        <v>#VALUE!</v>
      </c>
      <c r="K112" t="e">
        <f ca="1"/>
        <v>#VALUE!</v>
      </c>
      <c r="L112" t="e">
        <f ca="1"/>
        <v>#VALUE!</v>
      </c>
      <c r="M112" t="e">
        <f ca="1"/>
        <v>#VALUE!</v>
      </c>
      <c r="N112" t="e">
        <f ca="1"/>
        <v>#VALUE!</v>
      </c>
      <c r="O112" t="e">
        <f ca="1"/>
        <v>#VALUE!</v>
      </c>
      <c r="P112" t="e">
        <f ca="1"/>
        <v>#VALUE!</v>
      </c>
      <c r="Q112" t="e">
        <f ca="1"/>
        <v>#VALUE!</v>
      </c>
    </row>
    <row r="113" spans="1:17" x14ac:dyDescent="0.25">
      <c r="A113" t="str">
        <f ca="1"/>
        <v>HGIYX</v>
      </c>
      <c r="B113" t="e">
        <f ca="1"/>
        <v>#VALUE!</v>
      </c>
      <c r="C113" t="e">
        <f ca="1"/>
        <v>#VALUE!</v>
      </c>
      <c r="D113" t="e">
        <f ca="1"/>
        <v>#VALUE!</v>
      </c>
      <c r="E113" t="e">
        <f ca="1"/>
        <v>#VALUE!</v>
      </c>
      <c r="F113" t="e">
        <f ca="1"/>
        <v>#VALUE!</v>
      </c>
      <c r="G113" t="e">
        <f ca="1"/>
        <v>#VALUE!</v>
      </c>
      <c r="H113" t="e">
        <f ca="1"/>
        <v>#VALUE!</v>
      </c>
      <c r="I113" t="e">
        <f ca="1"/>
        <v>#VALUE!</v>
      </c>
      <c r="J113" t="e">
        <f ca="1"/>
        <v>#VALUE!</v>
      </c>
      <c r="K113" t="e">
        <f ca="1"/>
        <v>#VALUE!</v>
      </c>
      <c r="L113" t="e">
        <f ca="1"/>
        <v>#VALUE!</v>
      </c>
      <c r="M113" t="e">
        <f ca="1"/>
        <v>#VALUE!</v>
      </c>
      <c r="N113" t="e">
        <f ca="1"/>
        <v>#VALUE!</v>
      </c>
      <c r="O113" t="e">
        <f ca="1"/>
        <v>#VALUE!</v>
      </c>
      <c r="P113" t="e">
        <f ca="1"/>
        <v>#VALUE!</v>
      </c>
      <c r="Q113" t="e">
        <f ca="1"/>
        <v>#VALUE!</v>
      </c>
    </row>
    <row r="114" spans="1:17" x14ac:dyDescent="0.25">
      <c r="A114" t="str">
        <f ca="1"/>
        <v>HIEMX</v>
      </c>
      <c r="B114" t="e">
        <f ca="1"/>
        <v>#VALUE!</v>
      </c>
      <c r="C114" t="e">
        <f ca="1"/>
        <v>#VALUE!</v>
      </c>
      <c r="D114" t="e">
        <f ca="1"/>
        <v>#VALUE!</v>
      </c>
      <c r="E114" t="e">
        <f ca="1"/>
        <v>#VALUE!</v>
      </c>
      <c r="F114" t="e">
        <f ca="1"/>
        <v>#VALUE!</v>
      </c>
      <c r="G114" t="e">
        <f ca="1"/>
        <v>#VALUE!</v>
      </c>
      <c r="H114" t="e">
        <f ca="1"/>
        <v>#VALUE!</v>
      </c>
      <c r="I114" t="e">
        <f ca="1"/>
        <v>#VALUE!</v>
      </c>
      <c r="J114" t="e">
        <f ca="1"/>
        <v>#VALUE!</v>
      </c>
      <c r="K114" t="e">
        <f ca="1"/>
        <v>#VALUE!</v>
      </c>
      <c r="L114" t="e">
        <f ca="1"/>
        <v>#VALUE!</v>
      </c>
      <c r="M114" t="e">
        <f ca="1"/>
        <v>#VALUE!</v>
      </c>
      <c r="N114" t="e">
        <f ca="1"/>
        <v>#VALUE!</v>
      </c>
      <c r="O114" t="e">
        <f ca="1"/>
        <v>#VALUE!</v>
      </c>
      <c r="P114" t="e">
        <f ca="1"/>
        <v>#VALUE!</v>
      </c>
      <c r="Q114" t="e">
        <f ca="1"/>
        <v>#VALUE!</v>
      </c>
    </row>
    <row r="115" spans="1:17" x14ac:dyDescent="0.25">
      <c r="A115" t="str">
        <f ca="1"/>
        <v>HLIPX</v>
      </c>
      <c r="B115" t="e">
        <f ca="1"/>
        <v>#VALUE!</v>
      </c>
      <c r="C115" t="e">
        <f ca="1"/>
        <v>#VALUE!</v>
      </c>
      <c r="D115" t="e">
        <f ca="1"/>
        <v>#VALUE!</v>
      </c>
      <c r="E115" t="e">
        <f ca="1"/>
        <v>#VALUE!</v>
      </c>
      <c r="F115" t="e">
        <f ca="1"/>
        <v>#VALUE!</v>
      </c>
      <c r="G115" t="e">
        <f ca="1"/>
        <v>#VALUE!</v>
      </c>
      <c r="H115" t="e">
        <f ca="1"/>
        <v>#VALUE!</v>
      </c>
      <c r="I115" t="e">
        <f ca="1"/>
        <v>#VALUE!</v>
      </c>
      <c r="J115" t="e">
        <f ca="1"/>
        <v>#VALUE!</v>
      </c>
      <c r="K115" t="e">
        <f ca="1"/>
        <v>#VALUE!</v>
      </c>
      <c r="L115" t="e">
        <f ca="1"/>
        <v>#VALUE!</v>
      </c>
      <c r="M115" t="e">
        <f ca="1"/>
        <v>#VALUE!</v>
      </c>
      <c r="N115" t="e">
        <f ca="1"/>
        <v>#VALUE!</v>
      </c>
      <c r="O115" t="e">
        <f ca="1"/>
        <v>#VALUE!</v>
      </c>
      <c r="P115" t="e">
        <f ca="1"/>
        <v>#VALUE!</v>
      </c>
      <c r="Q115" t="e">
        <f ca="1"/>
        <v>#VALUE!</v>
      </c>
    </row>
    <row r="116" spans="1:17" x14ac:dyDescent="0.25">
      <c r="A116" t="str">
        <f ca="1"/>
        <v>HOBIX</v>
      </c>
      <c r="B116" t="e">
        <f ca="1"/>
        <v>#VALUE!</v>
      </c>
      <c r="C116" t="e">
        <f ca="1"/>
        <v>#VALUE!</v>
      </c>
      <c r="D116" t="e">
        <f ca="1"/>
        <v>#VALUE!</v>
      </c>
      <c r="E116" t="e">
        <f ca="1"/>
        <v>#VALUE!</v>
      </c>
      <c r="F116" t="e">
        <f ca="1"/>
        <v>#VALUE!</v>
      </c>
      <c r="G116" t="e">
        <f ca="1"/>
        <v>#VALUE!</v>
      </c>
      <c r="H116" t="e">
        <f ca="1"/>
        <v>#VALUE!</v>
      </c>
      <c r="I116" t="e">
        <f ca="1"/>
        <v>#VALUE!</v>
      </c>
      <c r="J116" t="e">
        <f ca="1"/>
        <v>#VALUE!</v>
      </c>
      <c r="K116" t="e">
        <f ca="1"/>
        <v>#VALUE!</v>
      </c>
      <c r="L116" t="e">
        <f ca="1"/>
        <v>#VALUE!</v>
      </c>
      <c r="M116" t="e">
        <f ca="1"/>
        <v>#VALUE!</v>
      </c>
      <c r="N116" t="e">
        <f ca="1"/>
        <v>#VALUE!</v>
      </c>
      <c r="O116" t="e">
        <f ca="1"/>
        <v>#VALUE!</v>
      </c>
      <c r="P116" t="e">
        <f ca="1"/>
        <v>#VALUE!</v>
      </c>
      <c r="Q116" t="e">
        <f ca="1"/>
        <v>#VALUE!</v>
      </c>
    </row>
    <row r="117" spans="1:17" x14ac:dyDescent="0.25">
      <c r="A117" t="str">
        <f ca="1"/>
        <v>HRSMX</v>
      </c>
      <c r="B117" t="e">
        <f ca="1"/>
        <v>#VALUE!</v>
      </c>
      <c r="C117" t="e">
        <f ca="1"/>
        <v>#VALUE!</v>
      </c>
      <c r="D117" t="e">
        <f ca="1"/>
        <v>#VALUE!</v>
      </c>
      <c r="E117" t="e">
        <f ca="1"/>
        <v>#VALUE!</v>
      </c>
      <c r="F117" t="e">
        <f ca="1"/>
        <v>#VALUE!</v>
      </c>
      <c r="G117" t="e">
        <f ca="1"/>
        <v>#VALUE!</v>
      </c>
      <c r="H117" t="e">
        <f ca="1"/>
        <v>#VALUE!</v>
      </c>
      <c r="I117" t="e">
        <f ca="1"/>
        <v>#VALUE!</v>
      </c>
      <c r="J117" t="e">
        <f ca="1"/>
        <v>#VALUE!</v>
      </c>
      <c r="K117" t="e">
        <f ca="1"/>
        <v>#VALUE!</v>
      </c>
      <c r="L117" t="e">
        <f ca="1"/>
        <v>#VALUE!</v>
      </c>
      <c r="M117" t="e">
        <f ca="1"/>
        <v>#VALUE!</v>
      </c>
      <c r="N117" t="e">
        <f ca="1"/>
        <v>#VALUE!</v>
      </c>
      <c r="O117" t="e">
        <f ca="1"/>
        <v>#VALUE!</v>
      </c>
      <c r="P117" t="e">
        <f ca="1"/>
        <v>#VALUE!</v>
      </c>
      <c r="Q117" t="e">
        <f ca="1"/>
        <v>#VALUE!</v>
      </c>
    </row>
    <row r="118" spans="1:17" x14ac:dyDescent="0.25">
      <c r="A118" t="str">
        <f ca="1"/>
        <v>HYG</v>
      </c>
      <c r="B118" t="str">
        <f ca="1"/>
        <v>etf</v>
      </c>
      <c r="C118" t="str">
        <f ca="1"/>
        <v>iShares iBoxx $ High Yield Corporate Bond ETF</v>
      </c>
      <c r="D118" t="str">
        <f ca="1"/>
        <v>US High Yield Bond</v>
      </c>
      <c r="E118" t="str">
        <f ca="1"/>
        <v>^BBUSCOHYTR</v>
      </c>
      <c r="F118" t="str">
        <f ca="1"/>
        <v>Bloomberg US Corporate High Yield</v>
      </c>
      <c r="G118" t="str">
        <f ca="1"/>
        <v>Markit iBoxx Liquid High Yield TR USD</v>
      </c>
      <c r="H118">
        <f ca="1"/>
        <v>-1.14E-3</v>
      </c>
      <c r="I118">
        <f ca="1"/>
        <v>-2.8879999999999999E-3</v>
      </c>
      <c r="J118">
        <f ca="1"/>
        <v>7.9677999999999999E-2</v>
      </c>
      <c r="K118">
        <f ca="1"/>
        <v>-2.2569999999999951E-3</v>
      </c>
      <c r="L118">
        <f ca="1"/>
        <v>7.9677999999999999E-2</v>
      </c>
      <c r="M118">
        <f ca="1"/>
        <v>-2.2569999999999951E-3</v>
      </c>
      <c r="N118">
        <f ca="1"/>
        <v>7.1773000000000003E-2</v>
      </c>
      <c r="O118">
        <f ca="1"/>
        <v>-1.8299999999999997E-2</v>
      </c>
      <c r="P118">
        <f ca="1"/>
        <v>0.161716</v>
      </c>
      <c r="Q118">
        <f ca="1"/>
        <v>-6.7520999999999998E-2</v>
      </c>
    </row>
    <row r="119" spans="1:17" x14ac:dyDescent="0.25">
      <c r="A119" t="str">
        <f ca="1"/>
        <v>HYLB</v>
      </c>
      <c r="B119" t="str">
        <f ca="1"/>
        <v>etf</v>
      </c>
      <c r="C119" t="str">
        <f ca="1"/>
        <v>Xtrackers USD High Yld Corporate Bd ETF</v>
      </c>
      <c r="D119" t="str">
        <f ca="1"/>
        <v>US High Yield Bond</v>
      </c>
      <c r="E119" t="str">
        <f ca="1"/>
        <v>^BBUSCOHYTR</v>
      </c>
      <c r="F119" t="str">
        <f ca="1"/>
        <v>Bloomberg US Corporate High Yield</v>
      </c>
      <c r="G119" t="str">
        <f ca="1"/>
        <v>Solactive USD HY Corp Total Mkt TR USD</v>
      </c>
      <c r="H119">
        <f ca="1"/>
        <v>-1.2880000000000001E-3</v>
      </c>
      <c r="I119">
        <f ca="1"/>
        <v>-3.0360000000000001E-3</v>
      </c>
      <c r="J119">
        <f ca="1"/>
        <v>8.1412999999999999E-2</v>
      </c>
      <c r="K119">
        <f ca="1"/>
        <v>-5.2199999999999469E-4</v>
      </c>
      <c r="L119">
        <f ca="1"/>
        <v>8.1412999999999999E-2</v>
      </c>
      <c r="M119">
        <f ca="1"/>
        <v>-5.2199999999999469E-4</v>
      </c>
      <c r="N119">
        <f ca="1"/>
        <v>8.0438999999999997E-2</v>
      </c>
      <c r="O119">
        <f ca="1"/>
        <v>-9.6340000000000037E-3</v>
      </c>
      <c r="P119">
        <f ca="1"/>
        <v>0.17949200000000001</v>
      </c>
      <c r="Q119">
        <f ca="1"/>
        <v>-4.9744999999999984E-2</v>
      </c>
    </row>
    <row r="120" spans="1:17" x14ac:dyDescent="0.25">
      <c r="A120" t="str">
        <f ca="1"/>
        <v>HYMB</v>
      </c>
      <c r="B120" t="str">
        <f ca="1"/>
        <v>etf</v>
      </c>
      <c r="C120" t="str">
        <f ca="1"/>
        <v>SPDR Nuveen Bloomberg High Yield Municipal Bd ETF</v>
      </c>
      <c r="D120" t="str">
        <f ca="1"/>
        <v>US High Yield Municipal Bond</v>
      </c>
      <c r="E120" t="str">
        <f ca="1"/>
        <v>^BMBHYTR</v>
      </c>
      <c r="F120" t="str">
        <f ca="1"/>
        <v>Bloomberg Municipal Bond High Yield</v>
      </c>
      <c r="G120" t="str">
        <f ca="1"/>
        <v>Bloomberg Municipal Yield TR USDU</v>
      </c>
      <c r="H120">
        <f ca="1"/>
        <v>-1.2357E-2</v>
      </c>
      <c r="I120">
        <f ca="1"/>
        <v>-1.5460000000000005E-3</v>
      </c>
      <c r="J120">
        <f ca="1"/>
        <v>5.5130999999999999E-2</v>
      </c>
      <c r="K120">
        <f ca="1"/>
        <v>-8.0479999999999996E-3</v>
      </c>
      <c r="L120">
        <f ca="1"/>
        <v>5.5130999999999999E-2</v>
      </c>
      <c r="M120">
        <f ca="1"/>
        <v>-8.0479999999999996E-3</v>
      </c>
      <c r="N120">
        <f ca="1"/>
        <v>-4.0023000000000003E-2</v>
      </c>
      <c r="O120">
        <f ca="1"/>
        <v>-4.8994000000000003E-2</v>
      </c>
      <c r="P120">
        <f ca="1"/>
        <v>4.7252000000000002E-2</v>
      </c>
      <c r="Q120">
        <f ca="1"/>
        <v>-9.3250999999999987E-2</v>
      </c>
    </row>
    <row r="121" spans="1:17" x14ac:dyDescent="0.25">
      <c r="A121" t="str">
        <f ca="1"/>
        <v>ICEIX</v>
      </c>
      <c r="B121" t="e">
        <f ca="1"/>
        <v>#VALUE!</v>
      </c>
      <c r="C121" t="e">
        <f ca="1"/>
        <v>#VALUE!</v>
      </c>
      <c r="D121" t="e">
        <f ca="1"/>
        <v>#VALUE!</v>
      </c>
      <c r="E121" t="e">
        <f ca="1"/>
        <v>#VALUE!</v>
      </c>
      <c r="F121" t="e">
        <f ca="1"/>
        <v>#VALUE!</v>
      </c>
      <c r="G121" t="e">
        <f ca="1"/>
        <v>#VALUE!</v>
      </c>
      <c r="H121" t="e">
        <f ca="1"/>
        <v>#VALUE!</v>
      </c>
      <c r="I121" t="e">
        <f ca="1"/>
        <v>#VALUE!</v>
      </c>
      <c r="J121" t="e">
        <f ca="1"/>
        <v>#VALUE!</v>
      </c>
      <c r="K121" t="e">
        <f ca="1"/>
        <v>#VALUE!</v>
      </c>
      <c r="L121" t="e">
        <f ca="1"/>
        <v>#VALUE!</v>
      </c>
      <c r="M121" t="e">
        <f ca="1"/>
        <v>#VALUE!</v>
      </c>
      <c r="N121" t="e">
        <f ca="1"/>
        <v>#VALUE!</v>
      </c>
      <c r="O121" t="e">
        <f ca="1"/>
        <v>#VALUE!</v>
      </c>
      <c r="P121" t="e">
        <f ca="1"/>
        <v>#VALUE!</v>
      </c>
      <c r="Q121" t="e">
        <f ca="1"/>
        <v>#VALUE!</v>
      </c>
    </row>
    <row r="122" spans="1:17" x14ac:dyDescent="0.25">
      <c r="A122" t="str">
        <f ca="1"/>
        <v>ICOW</v>
      </c>
      <c r="B122" t="str">
        <f ca="1"/>
        <v>etf</v>
      </c>
      <c r="C122" t="str">
        <f ca="1"/>
        <v>Pacer Developed Markets International Cash Cws 100</v>
      </c>
      <c r="D122" t="str">
        <f ca="1"/>
        <v>International Multi-Cap Value</v>
      </c>
      <c r="E122" t="str">
        <f ca="1"/>
        <v>^MSACXUSNTR</v>
      </c>
      <c r="F122" t="str">
        <f ca="1"/>
        <v>MSCI ACWI Ex USA Net Total Return</v>
      </c>
      <c r="G122" t="str">
        <f ca="1"/>
        <v>Pacer DM Internationl CashCows100 TR USD</v>
      </c>
      <c r="H122">
        <f ca="1"/>
        <v>-7.4021000000000003E-2</v>
      </c>
      <c r="I122">
        <f ca="1"/>
        <v>1.9600000000000034E-3</v>
      </c>
      <c r="J122">
        <f ca="1"/>
        <v>-2.5942E-2</v>
      </c>
      <c r="K122">
        <f ca="1"/>
        <v>-8.1282999999999994E-2</v>
      </c>
      <c r="L122">
        <f ca="1"/>
        <v>-2.5942E-2</v>
      </c>
      <c r="M122">
        <f ca="1"/>
        <v>-8.1282999999999994E-2</v>
      </c>
      <c r="N122">
        <f ca="1"/>
        <v>6.6755999999999996E-2</v>
      </c>
      <c r="O122">
        <f ca="1"/>
        <v>4.1874999999999996E-2</v>
      </c>
      <c r="P122">
        <f ca="1"/>
        <v>0.27582800000000002</v>
      </c>
      <c r="Q122">
        <f ca="1"/>
        <v>5.3047000000000011E-2</v>
      </c>
    </row>
    <row r="123" spans="1:17" x14ac:dyDescent="0.25">
      <c r="A123" t="str">
        <f ca="1"/>
        <v>IEF</v>
      </c>
      <c r="B123" t="str">
        <f ca="1"/>
        <v>etf</v>
      </c>
      <c r="C123" t="str">
        <f ca="1"/>
        <v>iShares 7-10 Year Treasury Bond ETF</v>
      </c>
      <c r="D123" t="str">
        <f ca="1"/>
        <v>US Government Bond</v>
      </c>
      <c r="E123" t="str">
        <f ca="1"/>
        <v>^BBUSTTR</v>
      </c>
      <c r="F123" t="str">
        <f ca="1"/>
        <v>Bloomberg US Treasury</v>
      </c>
      <c r="G123" t="str">
        <f ca="1"/>
        <v>ICE U.S. Treasury 7-10 Year Bond TR USD</v>
      </c>
      <c r="H123">
        <f ca="1"/>
        <v>-4.6030000000000001E-2</v>
      </c>
      <c r="I123">
        <f ca="1"/>
        <v>-1.4649000000000002E-2</v>
      </c>
      <c r="J123">
        <f ca="1"/>
        <v>-6.3530000000000001E-3</v>
      </c>
      <c r="K123">
        <f ca="1"/>
        <v>-1.213E-2</v>
      </c>
      <c r="L123">
        <f ca="1"/>
        <v>-6.3530000000000001E-3</v>
      </c>
      <c r="M123">
        <f ca="1"/>
        <v>-1.213E-2</v>
      </c>
      <c r="N123">
        <f ca="1"/>
        <v>-0.126274</v>
      </c>
      <c r="O123">
        <f ca="1"/>
        <v>-4.2389999999999997E-2</v>
      </c>
      <c r="P123">
        <f ca="1"/>
        <v>-7.0843000000000003E-2</v>
      </c>
      <c r="Q123">
        <f ca="1"/>
        <v>-3.7279000000000007E-2</v>
      </c>
    </row>
    <row r="124" spans="1:17" x14ac:dyDescent="0.25">
      <c r="A124" t="str">
        <f ca="1"/>
        <v>IEI</v>
      </c>
      <c r="B124" t="str">
        <f ca="1"/>
        <v>etf</v>
      </c>
      <c r="C124" t="str">
        <f ca="1"/>
        <v>iShares 3-7 Year Treasury Bond ETF</v>
      </c>
      <c r="D124" t="str">
        <f ca="1"/>
        <v>US Government Bond</v>
      </c>
      <c r="E124" t="str">
        <f ca="1"/>
        <v>^BBUSTTR</v>
      </c>
      <c r="F124" t="str">
        <f ca="1"/>
        <v>Bloomberg US Treasury</v>
      </c>
      <c r="G124" t="str">
        <f ca="1"/>
        <v>ICE U.S. Treasury 3-7 Year Bond TR USD</v>
      </c>
      <c r="H124">
        <f ca="1"/>
        <v>-2.3307999999999999E-2</v>
      </c>
      <c r="I124">
        <f ca="1"/>
        <v>8.0730000000000003E-3</v>
      </c>
      <c r="J124">
        <f ca="1"/>
        <v>1.814E-2</v>
      </c>
      <c r="K124">
        <f ca="1"/>
        <v>1.2362999999999999E-2</v>
      </c>
      <c r="L124">
        <f ca="1"/>
        <v>1.814E-2</v>
      </c>
      <c r="M124">
        <f ca="1"/>
        <v>1.2362999999999999E-2</v>
      </c>
      <c r="N124">
        <f ca="1"/>
        <v>-3.7978999999999999E-2</v>
      </c>
      <c r="O124">
        <f ca="1"/>
        <v>4.5905000000000001E-2</v>
      </c>
      <c r="P124">
        <f ca="1"/>
        <v>2.7179999999999999E-3</v>
      </c>
      <c r="Q124">
        <f ca="1"/>
        <v>3.6281999999999995E-2</v>
      </c>
    </row>
    <row r="125" spans="1:17" x14ac:dyDescent="0.25">
      <c r="A125" t="str">
        <f ca="1"/>
        <v>IEMG</v>
      </c>
      <c r="B125" t="str">
        <f ca="1"/>
        <v>etf</v>
      </c>
      <c r="C125" t="str">
        <f ca="1"/>
        <v>iShares Core MSCI Emerging Markets ETF</v>
      </c>
      <c r="D125" t="str">
        <f ca="1"/>
        <v>Emerging Markets Equity</v>
      </c>
      <c r="E125" t="str">
        <f ca="1"/>
        <v>^MSEMTR</v>
      </c>
      <c r="F125" t="str">
        <f ca="1"/>
        <v>MSCI Emerging Markets Total Return</v>
      </c>
      <c r="G125" t="str">
        <f ca="1"/>
        <v>MSCI EM IMI NR USD</v>
      </c>
      <c r="H125">
        <f ca="1"/>
        <v>-7.0640999999999995E-2</v>
      </c>
      <c r="I125">
        <f ca="1"/>
        <v>7.7260000000000106E-3</v>
      </c>
      <c r="J125">
        <f ca="1"/>
        <v>6.5074999999999994E-2</v>
      </c>
      <c r="K125">
        <f ca="1"/>
        <v>-1.5431E-2</v>
      </c>
      <c r="L125">
        <f ca="1"/>
        <v>6.5074999999999994E-2</v>
      </c>
      <c r="M125">
        <f ca="1"/>
        <v>-1.5431E-2</v>
      </c>
      <c r="N125">
        <f ca="1"/>
        <v>-4.8965000000000002E-2</v>
      </c>
      <c r="O125">
        <f ca="1"/>
        <v>-5.2500000000000047E-3</v>
      </c>
      <c r="P125">
        <f ca="1"/>
        <v>0.11428000000000001</v>
      </c>
      <c r="Q125">
        <f ca="1"/>
        <v>4.5280000000000042E-3</v>
      </c>
    </row>
    <row r="126" spans="1:17" x14ac:dyDescent="0.25">
      <c r="A126" t="str">
        <f ca="1"/>
        <v>IFAIX</v>
      </c>
      <c r="B126" t="e">
        <f ca="1"/>
        <v>#VALUE!</v>
      </c>
      <c r="C126" t="e">
        <f ca="1"/>
        <v>#VALUE!</v>
      </c>
      <c r="D126" t="e">
        <f ca="1"/>
        <v>#VALUE!</v>
      </c>
      <c r="E126" t="e">
        <f ca="1"/>
        <v>#VALUE!</v>
      </c>
      <c r="F126" t="e">
        <f ca="1"/>
        <v>#VALUE!</v>
      </c>
      <c r="G126" t="e">
        <f ca="1"/>
        <v>#VALUE!</v>
      </c>
      <c r="H126" t="e">
        <f ca="1"/>
        <v>#VALUE!</v>
      </c>
      <c r="I126" t="e">
        <f ca="1"/>
        <v>#VALUE!</v>
      </c>
      <c r="J126" t="e">
        <f ca="1"/>
        <v>#VALUE!</v>
      </c>
      <c r="K126" t="e">
        <f ca="1"/>
        <v>#VALUE!</v>
      </c>
      <c r="L126" t="e">
        <f ca="1"/>
        <v>#VALUE!</v>
      </c>
      <c r="M126" t="e">
        <f ca="1"/>
        <v>#VALUE!</v>
      </c>
      <c r="N126" t="e">
        <f ca="1"/>
        <v>#VALUE!</v>
      </c>
      <c r="O126" t="e">
        <f ca="1"/>
        <v>#VALUE!</v>
      </c>
      <c r="P126" t="e">
        <f ca="1"/>
        <v>#VALUE!</v>
      </c>
      <c r="Q126" t="e">
        <f ca="1"/>
        <v>#VALUE!</v>
      </c>
    </row>
    <row r="127" spans="1:17" x14ac:dyDescent="0.25">
      <c r="A127" t="str">
        <f ca="1"/>
        <v>IGE</v>
      </c>
      <c r="B127" t="str">
        <f ca="1"/>
        <v>etf</v>
      </c>
      <c r="C127" t="str">
        <f ca="1"/>
        <v>iShares North American Natural Resources ETF</v>
      </c>
      <c r="D127" t="str">
        <f ca="1"/>
        <v>Other</v>
      </c>
      <c r="E127" t="str">
        <f ca="1"/>
        <v>^SPXTR</v>
      </c>
      <c r="F127" t="str">
        <f ca="1"/>
        <v>S&amp;P 500 Total Return</v>
      </c>
      <c r="G127" t="str">
        <f ca="1"/>
        <v>S&amp;P North American Natural Resources TR</v>
      </c>
      <c r="H127">
        <f ca="1"/>
        <v>-2.4417999999999999E-2</v>
      </c>
      <c r="I127">
        <f ca="1"/>
        <v>-4.8509999999999998E-2</v>
      </c>
      <c r="J127">
        <f ca="1"/>
        <v>7.5627E-2</v>
      </c>
      <c r="K127">
        <f ca="1"/>
        <v>-0.17457</v>
      </c>
      <c r="L127">
        <f ca="1"/>
        <v>7.5627E-2</v>
      </c>
      <c r="M127">
        <f ca="1"/>
        <v>-0.17457</v>
      </c>
      <c r="N127">
        <f ca="1"/>
        <v>0.47843200000000002</v>
      </c>
      <c r="O127">
        <f ca="1"/>
        <v>0.18553000000000003</v>
      </c>
      <c r="P127">
        <f ca="1"/>
        <v>0.65822199999999997</v>
      </c>
      <c r="Q127">
        <f ca="1"/>
        <v>-0.311975</v>
      </c>
    </row>
    <row r="128" spans="1:17" x14ac:dyDescent="0.25">
      <c r="A128" t="str">
        <f ca="1"/>
        <v>IJR</v>
      </c>
      <c r="B128" t="str">
        <f ca="1"/>
        <v>etf</v>
      </c>
      <c r="C128" t="str">
        <f ca="1"/>
        <v>iShares Core S&amp;P Small-Cap ETF</v>
      </c>
      <c r="D128" t="str">
        <f ca="1"/>
        <v>US Small-Cap Core</v>
      </c>
      <c r="E128" t="str">
        <f ca="1"/>
        <v>^RUTTR</v>
      </c>
      <c r="F128" t="str">
        <f ca="1"/>
        <v>Russell 2000 Total Return</v>
      </c>
      <c r="G128" t="str">
        <f ca="1"/>
        <v>S&amp;P SmallCap 600 TR USD</v>
      </c>
      <c r="H128">
        <f ca="1"/>
        <v>-5.5700000000000003E-3</v>
      </c>
      <c r="I128">
        <f ca="1"/>
        <v>-8.9149999999999993E-3</v>
      </c>
      <c r="J128">
        <f ca="1"/>
        <v>8.6433999999999997E-2</v>
      </c>
      <c r="K128">
        <f ca="1"/>
        <v>-2.8944999999999999E-2</v>
      </c>
      <c r="L128">
        <f ca="1"/>
        <v>8.6433999999999997E-2</v>
      </c>
      <c r="M128">
        <f ca="1"/>
        <v>-2.8944999999999999E-2</v>
      </c>
      <c r="N128">
        <f ca="1"/>
        <v>5.6887E-2</v>
      </c>
      <c r="O128">
        <f ca="1"/>
        <v>1.9219E-2</v>
      </c>
      <c r="P128">
        <f ca="1"/>
        <v>0.48885499999999998</v>
      </c>
      <c r="Q128">
        <f ca="1"/>
        <v>5.959399999999998E-2</v>
      </c>
    </row>
    <row r="129" spans="1:17" x14ac:dyDescent="0.25">
      <c r="A129" t="str">
        <f ca="1"/>
        <v>IJS</v>
      </c>
      <c r="B129" t="str">
        <f ca="1"/>
        <v>etf</v>
      </c>
      <c r="C129" t="str">
        <f ca="1"/>
        <v>iShares S&amp;P Small-Cap 600 Value ETF</v>
      </c>
      <c r="D129" t="str">
        <f ca="1"/>
        <v>US Small-Cap Value</v>
      </c>
      <c r="E129" t="str">
        <f ca="1"/>
        <v>^RUJTR</v>
      </c>
      <c r="F129" t="str">
        <f ca="1"/>
        <v>Russell 2000 Value Total Return</v>
      </c>
      <c r="G129" t="str">
        <f ca="1"/>
        <v>S&amp;P SmallCap 600 Value TR USD</v>
      </c>
      <c r="H129">
        <f ca="1"/>
        <v>1.3598000000000001E-2</v>
      </c>
      <c r="I129">
        <f ca="1"/>
        <v>2.4229000000000001E-2</v>
      </c>
      <c r="J129">
        <f ca="1"/>
        <v>7.3446999999999998E-2</v>
      </c>
      <c r="K129">
        <f ca="1"/>
        <v>-7.0990000000000081E-3</v>
      </c>
      <c r="L129">
        <f ca="1"/>
        <v>7.3446999999999998E-2</v>
      </c>
      <c r="M129">
        <f ca="1"/>
        <v>-7.0990000000000081E-3</v>
      </c>
      <c r="N129">
        <f ca="1"/>
        <v>9.1685000000000003E-2</v>
      </c>
      <c r="O129">
        <f ca="1"/>
        <v>3.2296999999999999E-2</v>
      </c>
      <c r="P129">
        <f ca="1"/>
        <v>0.46244400000000002</v>
      </c>
      <c r="Q129">
        <f ca="1"/>
        <v>4.0588000000000013E-2</v>
      </c>
    </row>
    <row r="130" spans="1:17" x14ac:dyDescent="0.25">
      <c r="A130" t="str">
        <f ca="1"/>
        <v>ILCV</v>
      </c>
      <c r="B130" t="str">
        <f ca="1"/>
        <v>etf</v>
      </c>
      <c r="C130" t="str">
        <f ca="1"/>
        <v>iShares Morningstar Value ETF</v>
      </c>
      <c r="D130" t="str">
        <f ca="1"/>
        <v>US Large Cap Value</v>
      </c>
      <c r="E130" t="str">
        <f ca="1"/>
        <v>^RLVTR</v>
      </c>
      <c r="F130" t="str">
        <f ca="1"/>
        <v>Russell 1000 Value Total Return</v>
      </c>
      <c r="G130" t="str">
        <f ca="1"/>
        <v>Morningstar US LM Brd Value TR USD</v>
      </c>
      <c r="H130">
        <f ca="1"/>
        <v>-9.6710000000000008E-3</v>
      </c>
      <c r="I130">
        <f ca="1"/>
        <v>1.0137999999999999E-2</v>
      </c>
      <c r="J130">
        <f ca="1"/>
        <v>0.17030699999999999</v>
      </c>
      <c r="K130">
        <f ca="1"/>
        <v>2.6623999999999981E-2</v>
      </c>
      <c r="L130">
        <f ca="1"/>
        <v>0.17030699999999999</v>
      </c>
      <c r="M130">
        <f ca="1"/>
        <v>2.6623999999999981E-2</v>
      </c>
      <c r="N130">
        <f ca="1"/>
        <v>0.24557300000000001</v>
      </c>
      <c r="O130">
        <f ca="1"/>
        <v>6.6884000000000027E-2</v>
      </c>
      <c r="P130">
        <f ca="1"/>
        <v>0.56519799999999998</v>
      </c>
      <c r="Q130">
        <f ca="1"/>
        <v>4.8702999999999941E-2</v>
      </c>
    </row>
    <row r="131" spans="1:17" x14ac:dyDescent="0.25">
      <c r="A131" t="str">
        <f ca="1"/>
        <v>ISCG</v>
      </c>
      <c r="B131" t="str">
        <f ca="1"/>
        <v>etf</v>
      </c>
      <c r="C131" t="str">
        <f ca="1"/>
        <v>iShares Morningstar Small-Cap Growth ETF</v>
      </c>
      <c r="D131" t="str">
        <f ca="1"/>
        <v>US Small-Cap Growth</v>
      </c>
      <c r="E131" t="str">
        <f ca="1"/>
        <v>^RUOTR</v>
      </c>
      <c r="F131" t="str">
        <f ca="1"/>
        <v>Russell 2000 Growth Total Return</v>
      </c>
      <c r="G131" t="str">
        <f ca="1"/>
        <v>Morningstar US Small Brd Grt Ext TR USD</v>
      </c>
      <c r="H131">
        <f ca="1"/>
        <v>1.4312999999999999E-2</v>
      </c>
      <c r="I131">
        <f ca="1"/>
        <v>-2.7259999999999993E-3</v>
      </c>
      <c r="J131">
        <f ca="1"/>
        <v>0.133578</v>
      </c>
      <c r="K131">
        <f ca="1"/>
        <v>-1.7964000000000008E-2</v>
      </c>
      <c r="L131">
        <f ca="1"/>
        <v>0.133578</v>
      </c>
      <c r="M131">
        <f ca="1"/>
        <v>-1.7964000000000008E-2</v>
      </c>
      <c r="N131">
        <f ca="1"/>
        <v>2.2471000000000001E-2</v>
      </c>
      <c r="O131">
        <f ca="1"/>
        <v>1.6218000000000003E-2</v>
      </c>
      <c r="P131">
        <f ca="1"/>
        <v>0.44795099999999999</v>
      </c>
      <c r="Q131">
        <f ca="1"/>
        <v>5.4804999999999993E-2</v>
      </c>
    </row>
    <row r="132" spans="1:17" x14ac:dyDescent="0.25">
      <c r="A132" t="str">
        <f ca="1"/>
        <v>ISCV</v>
      </c>
      <c r="B132" t="str">
        <f ca="1"/>
        <v>etf</v>
      </c>
      <c r="C132" t="str">
        <f ca="1"/>
        <v>iShares Morningstar Small-Cap Value ETF</v>
      </c>
      <c r="D132" t="str">
        <f ca="1"/>
        <v>US Small-Cap Value</v>
      </c>
      <c r="E132" t="str">
        <f ca="1"/>
        <v>^RUJTR</v>
      </c>
      <c r="F132" t="str">
        <f ca="1"/>
        <v>Russell 2000 Value Total Return</v>
      </c>
      <c r="G132" t="str">
        <f ca="1"/>
        <v>Morningstar US Small Brd Val Ext TR USD</v>
      </c>
      <c r="H132">
        <f ca="1"/>
        <v>4.692E-3</v>
      </c>
      <c r="I132">
        <f ca="1"/>
        <v>1.5323E-2</v>
      </c>
      <c r="J132">
        <f ca="1"/>
        <v>9.3237E-2</v>
      </c>
      <c r="K132">
        <f ca="1"/>
        <v>1.2690999999999994E-2</v>
      </c>
      <c r="L132">
        <f ca="1"/>
        <v>9.3237E-2</v>
      </c>
      <c r="M132">
        <f ca="1"/>
        <v>1.2690999999999994E-2</v>
      </c>
      <c r="N132">
        <f ca="1"/>
        <v>0.13972599999999999</v>
      </c>
      <c r="O132">
        <f ca="1"/>
        <v>8.0337999999999993E-2</v>
      </c>
      <c r="P132">
        <f ca="1"/>
        <v>0.48416399999999998</v>
      </c>
      <c r="Q132">
        <f ca="1"/>
        <v>6.2307999999999975E-2</v>
      </c>
    </row>
    <row r="133" spans="1:17" x14ac:dyDescent="0.25">
      <c r="A133" t="str">
        <f ca="1"/>
        <v>ISTB</v>
      </c>
      <c r="B133" t="str">
        <f ca="1"/>
        <v>etf</v>
      </c>
      <c r="C133" t="str">
        <f ca="1"/>
        <v>iShares Core 1-5 Year USD Bond ETF</v>
      </c>
      <c r="D133" t="str">
        <f ca="1"/>
        <v>US Aggregate Bond</v>
      </c>
      <c r="E133" t="str">
        <f ca="1"/>
        <v>^BBUSATR</v>
      </c>
      <c r="F133" t="str">
        <f ca="1"/>
        <v>Bloomberg US Aggregate</v>
      </c>
      <c r="G133" t="str">
        <f ca="1"/>
        <v>Bloomberg US Universal 1-5 Years TR USD</v>
      </c>
      <c r="H133">
        <f ca="1"/>
        <v>-5.5519999999999996E-3</v>
      </c>
      <c r="I133">
        <f ca="1"/>
        <v>2.5064999999999997E-2</v>
      </c>
      <c r="J133">
        <f ca="1"/>
        <v>4.3721000000000003E-2</v>
      </c>
      <c r="K133">
        <f ca="1"/>
        <v>3.1219000000000004E-2</v>
      </c>
      <c r="L133">
        <f ca="1"/>
        <v>4.3721000000000003E-2</v>
      </c>
      <c r="M133">
        <f ca="1"/>
        <v>3.1219000000000004E-2</v>
      </c>
      <c r="N133">
        <f ca="1"/>
        <v>3.4716999999999998E-2</v>
      </c>
      <c r="O133">
        <f ca="1"/>
        <v>0.10524599999999999</v>
      </c>
      <c r="P133">
        <f ca="1"/>
        <v>7.6248999999999997E-2</v>
      </c>
      <c r="Q133">
        <f ca="1"/>
        <v>9.2414999999999997E-2</v>
      </c>
    </row>
    <row r="134" spans="1:17" x14ac:dyDescent="0.25">
      <c r="A134" t="str">
        <f ca="1"/>
        <v>IVE</v>
      </c>
      <c r="B134" t="str">
        <f ca="1"/>
        <v>etf</v>
      </c>
      <c r="C134" t="str">
        <f ca="1"/>
        <v>iShares S&amp;P 500 Value ETF</v>
      </c>
      <c r="D134" t="str">
        <f ca="1"/>
        <v>US Large Cap Value</v>
      </c>
      <c r="E134" t="str">
        <f ca="1"/>
        <v>^RLVTR</v>
      </c>
      <c r="F134" t="str">
        <f ca="1"/>
        <v>Russell 1000 Value Total Return</v>
      </c>
      <c r="G134" t="str">
        <f ca="1"/>
        <v>S&amp;P 500 Value TR USD</v>
      </c>
      <c r="H134">
        <f ca="1"/>
        <v>-2.6610999999999999E-2</v>
      </c>
      <c r="I134">
        <f ca="1"/>
        <v>-6.801999999999999E-3</v>
      </c>
      <c r="J134">
        <f ca="1"/>
        <v>0.120422</v>
      </c>
      <c r="K134">
        <f ca="1"/>
        <v>-2.3261000000000004E-2</v>
      </c>
      <c r="L134">
        <f ca="1"/>
        <v>0.120422</v>
      </c>
      <c r="M134">
        <f ca="1"/>
        <v>-2.3261000000000004E-2</v>
      </c>
      <c r="N134">
        <f ca="1"/>
        <v>0.29408600000000001</v>
      </c>
      <c r="O134">
        <f ca="1"/>
        <v>0.11539700000000003</v>
      </c>
      <c r="P134">
        <f ca="1"/>
        <v>0.63350600000000001</v>
      </c>
      <c r="Q134">
        <f ca="1"/>
        <v>0.11701099999999998</v>
      </c>
    </row>
    <row r="135" spans="1:17" x14ac:dyDescent="0.25">
      <c r="A135" t="str">
        <f ca="1"/>
        <v>IVHIX</v>
      </c>
      <c r="B135" t="e">
        <f ca="1"/>
        <v>#VALUE!</v>
      </c>
      <c r="C135" t="e">
        <f ca="1"/>
        <v>#VALUE!</v>
      </c>
      <c r="D135" t="e">
        <f ca="1"/>
        <v>#VALUE!</v>
      </c>
      <c r="E135" t="e">
        <f ca="1"/>
        <v>#VALUE!</v>
      </c>
      <c r="F135" t="e">
        <f ca="1"/>
        <v>#VALUE!</v>
      </c>
      <c r="G135" t="e">
        <f ca="1"/>
        <v>#VALUE!</v>
      </c>
      <c r="H135" t="e">
        <f ca="1"/>
        <v>#VALUE!</v>
      </c>
      <c r="I135" t="e">
        <f ca="1"/>
        <v>#VALUE!</v>
      </c>
      <c r="J135" t="e">
        <f ca="1"/>
        <v>#VALUE!</v>
      </c>
      <c r="K135" t="e">
        <f ca="1"/>
        <v>#VALUE!</v>
      </c>
      <c r="L135" t="e">
        <f ca="1"/>
        <v>#VALUE!</v>
      </c>
      <c r="M135" t="e">
        <f ca="1"/>
        <v>#VALUE!</v>
      </c>
      <c r="N135" t="e">
        <f ca="1"/>
        <v>#VALUE!</v>
      </c>
      <c r="O135" t="e">
        <f ca="1"/>
        <v>#VALUE!</v>
      </c>
      <c r="P135" t="e">
        <f ca="1"/>
        <v>#VALUE!</v>
      </c>
      <c r="Q135" t="e">
        <f ca="1"/>
        <v>#VALUE!</v>
      </c>
    </row>
    <row r="136" spans="1:17" x14ac:dyDescent="0.25">
      <c r="A136" t="str">
        <f ca="1"/>
        <v>IWF</v>
      </c>
      <c r="B136" t="str">
        <f ca="1"/>
        <v>etf</v>
      </c>
      <c r="C136" t="str">
        <f ca="1"/>
        <v>iShares Russell 1000 Growth</v>
      </c>
      <c r="D136" t="str">
        <f ca="1"/>
        <v>US Large Cap Growth</v>
      </c>
      <c r="E136" t="str">
        <f ca="1"/>
        <v>^RLGTR</v>
      </c>
      <c r="F136" t="str">
        <f ca="1"/>
        <v>Russell 1000 Growth Total Return</v>
      </c>
      <c r="G136" t="str">
        <f ca="1"/>
        <v>Russell 1000 Growth TR USD</v>
      </c>
      <c r="H136">
        <f ca="1"/>
        <v>7.0888000000000007E-2</v>
      </c>
      <c r="I136">
        <f ca="1"/>
        <v>1.8300000000000261E-4</v>
      </c>
      <c r="J136">
        <f ca="1"/>
        <v>0.331206</v>
      </c>
      <c r="K136">
        <f ca="1"/>
        <v>-2.3560000000000247E-3</v>
      </c>
      <c r="L136">
        <f ca="1"/>
        <v>0.331206</v>
      </c>
      <c r="M136">
        <f ca="1"/>
        <v>-2.3560000000000247E-3</v>
      </c>
      <c r="N136">
        <f ca="1"/>
        <v>0.34195999999999999</v>
      </c>
      <c r="O136">
        <f ca="1"/>
        <v>-6.3540000000000263E-3</v>
      </c>
      <c r="P136">
        <f ca="1"/>
        <v>1.3643190000000001</v>
      </c>
      <c r="Q136">
        <f ca="1"/>
        <v>-1.8316999999999917E-2</v>
      </c>
    </row>
    <row r="137" spans="1:17" x14ac:dyDescent="0.25">
      <c r="A137" t="str">
        <f ca="1"/>
        <v>IWN</v>
      </c>
      <c r="B137" t="str">
        <f ca="1"/>
        <v>etf</v>
      </c>
      <c r="C137" t="str">
        <f ca="1"/>
        <v>iShares Russell 2000 Value ETF</v>
      </c>
      <c r="D137" t="str">
        <f ca="1"/>
        <v>US Small-Cap Core</v>
      </c>
      <c r="E137" t="str">
        <f ca="1"/>
        <v>^RUTTR</v>
      </c>
      <c r="F137" t="str">
        <f ca="1"/>
        <v>Russell 2000 Total Return</v>
      </c>
      <c r="G137" t="str">
        <f ca="1"/>
        <v>Russell 2000 Value TR USD</v>
      </c>
      <c r="H137">
        <f ca="1"/>
        <v>-1.0956E-2</v>
      </c>
      <c r="I137">
        <f ca="1"/>
        <v>-1.4301000000000001E-2</v>
      </c>
      <c r="J137">
        <f ca="1"/>
        <v>7.6415999999999998E-2</v>
      </c>
      <c r="K137">
        <f ca="1"/>
        <v>-3.8962999999999998E-2</v>
      </c>
      <c r="L137">
        <f ca="1"/>
        <v>7.6415999999999998E-2</v>
      </c>
      <c r="M137">
        <f ca="1"/>
        <v>-3.8962999999999998E-2</v>
      </c>
      <c r="N137">
        <f ca="1"/>
        <v>5.1316000000000001E-2</v>
      </c>
      <c r="O137">
        <f ca="1"/>
        <v>1.3648E-2</v>
      </c>
      <c r="P137">
        <f ca="1"/>
        <v>0.40802699999999997</v>
      </c>
      <c r="Q137">
        <f ca="1"/>
        <v>-2.1234000000000031E-2</v>
      </c>
    </row>
    <row r="138" spans="1:17" x14ac:dyDescent="0.25">
      <c r="A138" t="str">
        <f ca="1"/>
        <v>IWO</v>
      </c>
      <c r="B138" t="str">
        <f ca="1"/>
        <v>etf</v>
      </c>
      <c r="C138" t="str">
        <f ca="1"/>
        <v>iShares Russell 2000 Growth ETF</v>
      </c>
      <c r="D138" t="str">
        <f ca="1"/>
        <v>US Small-Cap Growth</v>
      </c>
      <c r="E138" t="str">
        <f ca="1"/>
        <v>^RUOTR</v>
      </c>
      <c r="F138" t="str">
        <f ca="1"/>
        <v>Russell 2000 Growth Total Return</v>
      </c>
      <c r="G138" t="str">
        <f ca="1"/>
        <v>Russell 2000 Growth TR USD</v>
      </c>
      <c r="H138">
        <f ca="1"/>
        <v>1.6975000000000001E-2</v>
      </c>
      <c r="I138">
        <f ca="1"/>
        <v>-6.3999999999998086E-5</v>
      </c>
      <c r="J138">
        <f ca="1"/>
        <v>0.150425</v>
      </c>
      <c r="K138">
        <f ca="1"/>
        <v>-1.1170000000000069E-3</v>
      </c>
      <c r="L138">
        <f ca="1"/>
        <v>0.150425</v>
      </c>
      <c r="M138">
        <f ca="1"/>
        <v>-1.1170000000000069E-3</v>
      </c>
      <c r="N138">
        <f ca="1"/>
        <v>5.4770000000000001E-3</v>
      </c>
      <c r="O138">
        <f ca="1"/>
        <v>-7.7599999999999978E-4</v>
      </c>
      <c r="P138">
        <f ca="1"/>
        <v>0.38856499999999999</v>
      </c>
      <c r="Q138">
        <f ca="1"/>
        <v>-4.5810000000000017E-3</v>
      </c>
    </row>
    <row r="139" spans="1:17" x14ac:dyDescent="0.25">
      <c r="A139" t="str">
        <f ca="1"/>
        <v>IWP</v>
      </c>
      <c r="B139" t="str">
        <f ca="1"/>
        <v>etf</v>
      </c>
      <c r="C139" t="str">
        <f ca="1"/>
        <v>iShares Russell Mid-Cap Growth ETF</v>
      </c>
      <c r="D139" t="str">
        <f ca="1"/>
        <v>US Mid-Cap Growth</v>
      </c>
      <c r="E139" t="str">
        <f ca="1"/>
        <v>^RDGTR</v>
      </c>
      <c r="F139" t="str">
        <f ca="1"/>
        <v>Russell Midcap Growth Total Return</v>
      </c>
      <c r="G139" t="str">
        <f ca="1"/>
        <v>Russell Mid Cap Growth TR USD</v>
      </c>
      <c r="H139">
        <f ca="1"/>
        <v>8.1626000000000004E-2</v>
      </c>
      <c r="I139">
        <f ca="1"/>
        <v>2.1000000000000185E-4</v>
      </c>
      <c r="J139">
        <f ca="1"/>
        <v>0.21862000000000001</v>
      </c>
      <c r="K139">
        <f ca="1"/>
        <v>-2.4109999999999965E-3</v>
      </c>
      <c r="L139">
        <f ca="1"/>
        <v>0.21862000000000001</v>
      </c>
      <c r="M139">
        <f ca="1"/>
        <v>-2.4109999999999965E-3</v>
      </c>
      <c r="N139">
        <f ca="1"/>
        <v>0.11981899999999999</v>
      </c>
      <c r="O139">
        <f ca="1"/>
        <v>-6.3870000000000177E-3</v>
      </c>
      <c r="P139">
        <f ca="1"/>
        <v>0.70523400000000003</v>
      </c>
      <c r="Q139">
        <f ca="1"/>
        <v>-1.6106999999999982E-2</v>
      </c>
    </row>
    <row r="140" spans="1:17" x14ac:dyDescent="0.25">
      <c r="A140" t="str">
        <f ca="1"/>
        <v>JABNX</v>
      </c>
      <c r="B140" t="e">
        <f ca="1"/>
        <v>#VALUE!</v>
      </c>
      <c r="C140" t="e">
        <f ca="1"/>
        <v>#VALUE!</v>
      </c>
      <c r="D140" t="e">
        <f ca="1"/>
        <v>#VALUE!</v>
      </c>
      <c r="E140" t="e">
        <f ca="1"/>
        <v>#VALUE!</v>
      </c>
      <c r="F140" t="e">
        <f ca="1"/>
        <v>#VALUE!</v>
      </c>
      <c r="G140" t="e">
        <f ca="1"/>
        <v>#VALUE!</v>
      </c>
      <c r="H140" t="e">
        <f ca="1"/>
        <v>#VALUE!</v>
      </c>
      <c r="I140" t="e">
        <f ca="1"/>
        <v>#VALUE!</v>
      </c>
      <c r="J140" t="e">
        <f ca="1"/>
        <v>#VALUE!</v>
      </c>
      <c r="K140" t="e">
        <f ca="1"/>
        <v>#VALUE!</v>
      </c>
      <c r="L140" t="e">
        <f ca="1"/>
        <v>#VALUE!</v>
      </c>
      <c r="M140" t="e">
        <f ca="1"/>
        <v>#VALUE!</v>
      </c>
      <c r="N140" t="e">
        <f ca="1"/>
        <v>#VALUE!</v>
      </c>
      <c r="O140" t="e">
        <f ca="1"/>
        <v>#VALUE!</v>
      </c>
      <c r="P140" t="e">
        <f ca="1"/>
        <v>#VALUE!</v>
      </c>
      <c r="Q140" t="e">
        <f ca="1"/>
        <v>#VALUE!</v>
      </c>
    </row>
    <row r="141" spans="1:17" x14ac:dyDescent="0.25">
      <c r="A141" t="str">
        <f ca="1"/>
        <v>JEPI</v>
      </c>
      <c r="B141" t="str">
        <f ca="1"/>
        <v>etf</v>
      </c>
      <c r="C141" t="str">
        <f ca="1"/>
        <v>JPMorgan Equity Premium Income ETF</v>
      </c>
      <c r="D141" t="str">
        <f ca="1"/>
        <v>Alts</v>
      </c>
      <c r="E141" t="str">
        <f ca="1"/>
        <v>^PEATR</v>
      </c>
      <c r="F141" t="str">
        <f ca="1"/>
        <v>Private Equity Index Total Return</v>
      </c>
      <c r="G141" t="str">
        <f ca="1"/>
        <v>S&amp;P 500 TR USD</v>
      </c>
      <c r="H141">
        <f ca="1"/>
        <v>-7.3220000000000004E-3</v>
      </c>
      <c r="I141">
        <f ca="1"/>
        <v>1.7154000000000003E-2</v>
      </c>
      <c r="J141">
        <f ca="1"/>
        <v>0.12579099999999999</v>
      </c>
      <c r="K141">
        <f ca="1"/>
        <v>-0.162769</v>
      </c>
      <c r="L141">
        <f ca="1"/>
        <v>0.12579099999999999</v>
      </c>
      <c r="M141">
        <f ca="1"/>
        <v>-0.162769</v>
      </c>
      <c r="N141">
        <f ca="1"/>
        <v>0.19270499999999999</v>
      </c>
      <c r="O141">
        <f ca="1"/>
        <v>-6.6484999999999989E-2</v>
      </c>
      <c r="P141" t="str">
        <f ca="1"/>
        <v>ERR: NO DATA</v>
      </c>
      <c r="Q141" t="e">
        <f ca="1"/>
        <v>#VALUE!</v>
      </c>
    </row>
    <row r="142" spans="1:17" x14ac:dyDescent="0.25">
      <c r="A142" t="str">
        <f ca="1"/>
        <v>JEPIX</v>
      </c>
      <c r="B142" t="e">
        <f ca="1"/>
        <v>#VALUE!</v>
      </c>
      <c r="C142" t="e">
        <f ca="1"/>
        <v>#VALUE!</v>
      </c>
      <c r="D142" t="e">
        <f ca="1"/>
        <v>#VALUE!</v>
      </c>
      <c r="E142" t="e">
        <f ca="1"/>
        <v>#VALUE!</v>
      </c>
      <c r="F142" t="e">
        <f ca="1"/>
        <v>#VALUE!</v>
      </c>
      <c r="G142" t="e">
        <f ca="1"/>
        <v>#VALUE!</v>
      </c>
      <c r="H142" t="e">
        <f ca="1"/>
        <v>#VALUE!</v>
      </c>
      <c r="I142" t="e">
        <f ca="1"/>
        <v>#VALUE!</v>
      </c>
      <c r="J142" t="e">
        <f ca="1"/>
        <v>#VALUE!</v>
      </c>
      <c r="K142" t="e">
        <f ca="1"/>
        <v>#VALUE!</v>
      </c>
      <c r="L142" t="e">
        <f ca="1"/>
        <v>#VALUE!</v>
      </c>
      <c r="M142" t="e">
        <f ca="1"/>
        <v>#VALUE!</v>
      </c>
      <c r="N142" t="e">
        <f ca="1"/>
        <v>#VALUE!</v>
      </c>
      <c r="O142" t="e">
        <f ca="1"/>
        <v>#VALUE!</v>
      </c>
      <c r="P142" t="e">
        <f ca="1"/>
        <v>#VALUE!</v>
      </c>
      <c r="Q142" t="e">
        <f ca="1"/>
        <v>#VALUE!</v>
      </c>
    </row>
    <row r="143" spans="1:17" x14ac:dyDescent="0.25">
      <c r="A143" t="str">
        <f ca="1"/>
        <v>JGASX</v>
      </c>
      <c r="B143" t="e">
        <f ca="1"/>
        <v>#VALUE!</v>
      </c>
      <c r="C143" t="e">
        <f ca="1"/>
        <v>#VALUE!</v>
      </c>
      <c r="D143" t="e">
        <f ca="1"/>
        <v>#VALUE!</v>
      </c>
      <c r="E143" t="e">
        <f ca="1"/>
        <v>#VALUE!</v>
      </c>
      <c r="F143" t="e">
        <f ca="1"/>
        <v>#VALUE!</v>
      </c>
      <c r="G143" t="e">
        <f ca="1"/>
        <v>#VALUE!</v>
      </c>
      <c r="H143" t="e">
        <f ca="1"/>
        <v>#VALUE!</v>
      </c>
      <c r="I143" t="e">
        <f ca="1"/>
        <v>#VALUE!</v>
      </c>
      <c r="J143" t="e">
        <f ca="1"/>
        <v>#VALUE!</v>
      </c>
      <c r="K143" t="e">
        <f ca="1"/>
        <v>#VALUE!</v>
      </c>
      <c r="L143" t="e">
        <f ca="1"/>
        <v>#VALUE!</v>
      </c>
      <c r="M143" t="e">
        <f ca="1"/>
        <v>#VALUE!</v>
      </c>
      <c r="N143" t="e">
        <f ca="1"/>
        <v>#VALUE!</v>
      </c>
      <c r="O143" t="e">
        <f ca="1"/>
        <v>#VALUE!</v>
      </c>
      <c r="P143" t="e">
        <f ca="1"/>
        <v>#VALUE!</v>
      </c>
      <c r="Q143" t="e">
        <f ca="1"/>
        <v>#VALUE!</v>
      </c>
    </row>
    <row r="144" spans="1:17" x14ac:dyDescent="0.25">
      <c r="A144" t="str">
        <f ca="1"/>
        <v>JGSMX</v>
      </c>
      <c r="B144" t="e">
        <f ca="1"/>
        <v>#VALUE!</v>
      </c>
      <c r="C144" t="e">
        <f ca="1"/>
        <v>#VALUE!</v>
      </c>
      <c r="D144" t="e">
        <f ca="1"/>
        <v>#VALUE!</v>
      </c>
      <c r="E144" t="e">
        <f ca="1"/>
        <v>#VALUE!</v>
      </c>
      <c r="F144" t="e">
        <f ca="1"/>
        <v>#VALUE!</v>
      </c>
      <c r="G144" t="e">
        <f ca="1"/>
        <v>#VALUE!</v>
      </c>
      <c r="H144" t="e">
        <f ca="1"/>
        <v>#VALUE!</v>
      </c>
      <c r="I144" t="e">
        <f ca="1"/>
        <v>#VALUE!</v>
      </c>
      <c r="J144" t="e">
        <f ca="1"/>
        <v>#VALUE!</v>
      </c>
      <c r="K144" t="e">
        <f ca="1"/>
        <v>#VALUE!</v>
      </c>
      <c r="L144" t="e">
        <f ca="1"/>
        <v>#VALUE!</v>
      </c>
      <c r="M144" t="e">
        <f ca="1"/>
        <v>#VALUE!</v>
      </c>
      <c r="N144" t="e">
        <f ca="1"/>
        <v>#VALUE!</v>
      </c>
      <c r="O144" t="e">
        <f ca="1"/>
        <v>#VALUE!</v>
      </c>
      <c r="P144" t="e">
        <f ca="1"/>
        <v>#VALUE!</v>
      </c>
      <c r="Q144" t="e">
        <f ca="1"/>
        <v>#VALUE!</v>
      </c>
    </row>
    <row r="145" spans="1:17" x14ac:dyDescent="0.25">
      <c r="A145" t="str">
        <f ca="1"/>
        <v>JHAIX</v>
      </c>
      <c r="B145" t="e">
        <f ca="1"/>
        <v>#VALUE!</v>
      </c>
      <c r="C145" t="e">
        <f ca="1"/>
        <v>#VALUE!</v>
      </c>
      <c r="D145" t="e">
        <f ca="1"/>
        <v>#VALUE!</v>
      </c>
      <c r="E145" t="e">
        <f ca="1"/>
        <v>#VALUE!</v>
      </c>
      <c r="F145" t="e">
        <f ca="1"/>
        <v>#VALUE!</v>
      </c>
      <c r="G145" t="e">
        <f ca="1"/>
        <v>#VALUE!</v>
      </c>
      <c r="H145" t="e">
        <f ca="1"/>
        <v>#VALUE!</v>
      </c>
      <c r="I145" t="e">
        <f ca="1"/>
        <v>#VALUE!</v>
      </c>
      <c r="J145" t="e">
        <f ca="1"/>
        <v>#VALUE!</v>
      </c>
      <c r="K145" t="e">
        <f ca="1"/>
        <v>#VALUE!</v>
      </c>
      <c r="L145" t="e">
        <f ca="1"/>
        <v>#VALUE!</v>
      </c>
      <c r="M145" t="e">
        <f ca="1"/>
        <v>#VALUE!</v>
      </c>
      <c r="N145" t="e">
        <f ca="1"/>
        <v>#VALUE!</v>
      </c>
      <c r="O145" t="e">
        <f ca="1"/>
        <v>#VALUE!</v>
      </c>
      <c r="P145" t="e">
        <f ca="1"/>
        <v>#VALUE!</v>
      </c>
      <c r="Q145" t="e">
        <f ca="1"/>
        <v>#VALUE!</v>
      </c>
    </row>
    <row r="146" spans="1:17" x14ac:dyDescent="0.25">
      <c r="A146" t="str">
        <f ca="1"/>
        <v>JHEQX</v>
      </c>
      <c r="B146" t="e">
        <f ca="1"/>
        <v>#VALUE!</v>
      </c>
      <c r="C146" t="e">
        <f ca="1"/>
        <v>#VALUE!</v>
      </c>
      <c r="D146" t="e">
        <f ca="1"/>
        <v>#VALUE!</v>
      </c>
      <c r="E146" t="e">
        <f ca="1"/>
        <v>#VALUE!</v>
      </c>
      <c r="F146" t="e">
        <f ca="1"/>
        <v>#VALUE!</v>
      </c>
      <c r="G146" t="e">
        <f ca="1"/>
        <v>#VALUE!</v>
      </c>
      <c r="H146" t="e">
        <f ca="1"/>
        <v>#VALUE!</v>
      </c>
      <c r="I146" t="e">
        <f ca="1"/>
        <v>#VALUE!</v>
      </c>
      <c r="J146" t="e">
        <f ca="1"/>
        <v>#VALUE!</v>
      </c>
      <c r="K146" t="e">
        <f ca="1"/>
        <v>#VALUE!</v>
      </c>
      <c r="L146" t="e">
        <f ca="1"/>
        <v>#VALUE!</v>
      </c>
      <c r="M146" t="e">
        <f ca="1"/>
        <v>#VALUE!</v>
      </c>
      <c r="N146" t="e">
        <f ca="1"/>
        <v>#VALUE!</v>
      </c>
      <c r="O146" t="e">
        <f ca="1"/>
        <v>#VALUE!</v>
      </c>
      <c r="P146" t="e">
        <f ca="1"/>
        <v>#VALUE!</v>
      </c>
      <c r="Q146" t="e">
        <f ca="1"/>
        <v>#VALUE!</v>
      </c>
    </row>
    <row r="147" spans="1:17" x14ac:dyDescent="0.25">
      <c r="A147" t="str">
        <f ca="1"/>
        <v>JMGRX</v>
      </c>
      <c r="B147" t="e">
        <f ca="1"/>
        <v>#VALUE!</v>
      </c>
      <c r="C147" t="e">
        <f ca="1"/>
        <v>#VALUE!</v>
      </c>
      <c r="D147" t="e">
        <f ca="1"/>
        <v>#VALUE!</v>
      </c>
      <c r="E147" t="e">
        <f ca="1"/>
        <v>#VALUE!</v>
      </c>
      <c r="F147" t="e">
        <f ca="1"/>
        <v>#VALUE!</v>
      </c>
      <c r="G147" t="e">
        <f ca="1"/>
        <v>#VALUE!</v>
      </c>
      <c r="H147" t="e">
        <f ca="1"/>
        <v>#VALUE!</v>
      </c>
      <c r="I147" t="e">
        <f ca="1"/>
        <v>#VALUE!</v>
      </c>
      <c r="J147" t="e">
        <f ca="1"/>
        <v>#VALUE!</v>
      </c>
      <c r="K147" t="e">
        <f ca="1"/>
        <v>#VALUE!</v>
      </c>
      <c r="L147" t="e">
        <f ca="1"/>
        <v>#VALUE!</v>
      </c>
      <c r="M147" t="e">
        <f ca="1"/>
        <v>#VALUE!</v>
      </c>
      <c r="N147" t="e">
        <f ca="1"/>
        <v>#VALUE!</v>
      </c>
      <c r="O147" t="e">
        <f ca="1"/>
        <v>#VALUE!</v>
      </c>
      <c r="P147" t="e">
        <f ca="1"/>
        <v>#VALUE!</v>
      </c>
      <c r="Q147" t="e">
        <f ca="1"/>
        <v>#VALUE!</v>
      </c>
    </row>
    <row r="148" spans="1:17" x14ac:dyDescent="0.25">
      <c r="A148" t="str">
        <f ca="1"/>
        <v>JMSIX</v>
      </c>
      <c r="B148" t="e">
        <f ca="1"/>
        <v>#VALUE!</v>
      </c>
      <c r="C148" t="e">
        <f ca="1"/>
        <v>#VALUE!</v>
      </c>
      <c r="D148" t="e">
        <f ca="1"/>
        <v>#VALUE!</v>
      </c>
      <c r="E148" t="e">
        <f ca="1"/>
        <v>#VALUE!</v>
      </c>
      <c r="F148" t="e">
        <f ca="1"/>
        <v>#VALUE!</v>
      </c>
      <c r="G148" t="e">
        <f ca="1"/>
        <v>#VALUE!</v>
      </c>
      <c r="H148" t="e">
        <f ca="1"/>
        <v>#VALUE!</v>
      </c>
      <c r="I148" t="e">
        <f ca="1"/>
        <v>#VALUE!</v>
      </c>
      <c r="J148" t="e">
        <f ca="1"/>
        <v>#VALUE!</v>
      </c>
      <c r="K148" t="e">
        <f ca="1"/>
        <v>#VALUE!</v>
      </c>
      <c r="L148" t="e">
        <f ca="1"/>
        <v>#VALUE!</v>
      </c>
      <c r="M148" t="e">
        <f ca="1"/>
        <v>#VALUE!</v>
      </c>
      <c r="N148" t="e">
        <f ca="1"/>
        <v>#VALUE!</v>
      </c>
      <c r="O148" t="e">
        <f ca="1"/>
        <v>#VALUE!</v>
      </c>
      <c r="P148" t="e">
        <f ca="1"/>
        <v>#VALUE!</v>
      </c>
      <c r="Q148" t="e">
        <f ca="1"/>
        <v>#VALUE!</v>
      </c>
    </row>
    <row r="149" spans="1:17" x14ac:dyDescent="0.25">
      <c r="A149" t="str">
        <f ca="1"/>
        <v>JSCOX</v>
      </c>
      <c r="B149" t="e">
        <f ca="1"/>
        <v>#VALUE!</v>
      </c>
      <c r="C149" t="e">
        <f ca="1"/>
        <v>#VALUE!</v>
      </c>
      <c r="D149" t="e">
        <f ca="1"/>
        <v>#VALUE!</v>
      </c>
      <c r="E149" t="e">
        <f ca="1"/>
        <v>#VALUE!</v>
      </c>
      <c r="F149" t="e">
        <f ca="1"/>
        <v>#VALUE!</v>
      </c>
      <c r="G149" t="e">
        <f ca="1"/>
        <v>#VALUE!</v>
      </c>
      <c r="H149" t="e">
        <f ca="1"/>
        <v>#VALUE!</v>
      </c>
      <c r="I149" t="e">
        <f ca="1"/>
        <v>#VALUE!</v>
      </c>
      <c r="J149" t="e">
        <f ca="1"/>
        <v>#VALUE!</v>
      </c>
      <c r="K149" t="e">
        <f ca="1"/>
        <v>#VALUE!</v>
      </c>
      <c r="L149" t="e">
        <f ca="1"/>
        <v>#VALUE!</v>
      </c>
      <c r="M149" t="e">
        <f ca="1"/>
        <v>#VALUE!</v>
      </c>
      <c r="N149" t="e">
        <f ca="1"/>
        <v>#VALUE!</v>
      </c>
      <c r="O149" t="e">
        <f ca="1"/>
        <v>#VALUE!</v>
      </c>
      <c r="P149" t="e">
        <f ca="1"/>
        <v>#VALUE!</v>
      </c>
      <c r="Q149" t="e">
        <f ca="1"/>
        <v>#VALUE!</v>
      </c>
    </row>
    <row r="150" spans="1:17" x14ac:dyDescent="0.25">
      <c r="A150" t="str">
        <f ca="1"/>
        <v>JSCP</v>
      </c>
      <c r="B150" t="str">
        <f ca="1"/>
        <v>etf</v>
      </c>
      <c r="C150" t="str">
        <f ca="1"/>
        <v>JPMorgan Short Duration Core Plus ETF</v>
      </c>
      <c r="D150" t="str">
        <f ca="1"/>
        <v>US Short Term Bond</v>
      </c>
      <c r="E150" t="str">
        <f ca="1"/>
        <v>^BBUGCR13YT</v>
      </c>
      <c r="F150" t="str">
        <f ca="1"/>
        <v>Bloomberg US Government/Credit 1-3 Year</v>
      </c>
      <c r="G150" t="str">
        <f ca="1"/>
        <v>Bloomberg US Govt/Credit 1-5 Yr TR USD</v>
      </c>
      <c r="H150">
        <f ca="1"/>
        <v>-2.947E-3</v>
      </c>
      <c r="I150">
        <f ca="1"/>
        <v>-2.745E-3</v>
      </c>
      <c r="J150">
        <f ca="1"/>
        <v>5.0541000000000003E-2</v>
      </c>
      <c r="K150">
        <f ca="1"/>
        <v>6.9840000000000041E-3</v>
      </c>
      <c r="L150">
        <f ca="1"/>
        <v>5.0541000000000003E-2</v>
      </c>
      <c r="M150">
        <f ca="1"/>
        <v>6.9840000000000041E-3</v>
      </c>
      <c r="N150">
        <f ca="1"/>
        <v>5.1029999999999999E-2</v>
      </c>
      <c r="O150">
        <f ca="1"/>
        <v>-4.1000000000000064E-4</v>
      </c>
      <c r="P150" t="str">
        <f ca="1"/>
        <v>ERR: NO DATA</v>
      </c>
      <c r="Q150" t="e">
        <f ca="1"/>
        <v>#VALUE!</v>
      </c>
    </row>
    <row r="151" spans="1:17" x14ac:dyDescent="0.25">
      <c r="A151" t="str">
        <f ca="1"/>
        <v>JSMGX</v>
      </c>
      <c r="B151" t="e">
        <f ca="1"/>
        <v>#VALUE!</v>
      </c>
      <c r="C151" t="e">
        <f ca="1"/>
        <v>#VALUE!</v>
      </c>
      <c r="D151" t="e">
        <f ca="1"/>
        <v>#VALUE!</v>
      </c>
      <c r="E151" t="e">
        <f ca="1"/>
        <v>#VALUE!</v>
      </c>
      <c r="F151" t="e">
        <f ca="1"/>
        <v>#VALUE!</v>
      </c>
      <c r="G151" t="e">
        <f ca="1"/>
        <v>#VALUE!</v>
      </c>
      <c r="H151" t="e">
        <f ca="1"/>
        <v>#VALUE!</v>
      </c>
      <c r="I151" t="e">
        <f ca="1"/>
        <v>#VALUE!</v>
      </c>
      <c r="J151" t="e">
        <f ca="1"/>
        <v>#VALUE!</v>
      </c>
      <c r="K151" t="e">
        <f ca="1"/>
        <v>#VALUE!</v>
      </c>
      <c r="L151" t="e">
        <f ca="1"/>
        <v>#VALUE!</v>
      </c>
      <c r="M151" t="e">
        <f ca="1"/>
        <v>#VALUE!</v>
      </c>
      <c r="N151" t="e">
        <f ca="1"/>
        <v>#VALUE!</v>
      </c>
      <c r="O151" t="e">
        <f ca="1"/>
        <v>#VALUE!</v>
      </c>
      <c r="P151" t="e">
        <f ca="1"/>
        <v>#VALUE!</v>
      </c>
      <c r="Q151" t="e">
        <f ca="1"/>
        <v>#VALUE!</v>
      </c>
    </row>
    <row r="152" spans="1:17" x14ac:dyDescent="0.25">
      <c r="A152" t="str">
        <f ca="1"/>
        <v>JVASX</v>
      </c>
      <c r="B152" t="e">
        <f ca="1"/>
        <v>#VALUE!</v>
      </c>
      <c r="C152" t="e">
        <f ca="1"/>
        <v>#VALUE!</v>
      </c>
      <c r="D152" t="e">
        <f ca="1"/>
        <v>#VALUE!</v>
      </c>
      <c r="E152" t="e">
        <f ca="1"/>
        <v>#VALUE!</v>
      </c>
      <c r="F152" t="e">
        <f ca="1"/>
        <v>#VALUE!</v>
      </c>
      <c r="G152" t="e">
        <f ca="1"/>
        <v>#VALUE!</v>
      </c>
      <c r="H152" t="e">
        <f ca="1"/>
        <v>#VALUE!</v>
      </c>
      <c r="I152" t="e">
        <f ca="1"/>
        <v>#VALUE!</v>
      </c>
      <c r="J152" t="e">
        <f ca="1"/>
        <v>#VALUE!</v>
      </c>
      <c r="K152" t="e">
        <f ca="1"/>
        <v>#VALUE!</v>
      </c>
      <c r="L152" t="e">
        <f ca="1"/>
        <v>#VALUE!</v>
      </c>
      <c r="M152" t="e">
        <f ca="1"/>
        <v>#VALUE!</v>
      </c>
      <c r="N152" t="e">
        <f ca="1"/>
        <v>#VALUE!</v>
      </c>
      <c r="O152" t="e">
        <f ca="1"/>
        <v>#VALUE!</v>
      </c>
      <c r="P152" t="e">
        <f ca="1"/>
        <v>#VALUE!</v>
      </c>
      <c r="Q152" t="e">
        <f ca="1"/>
        <v>#VALUE!</v>
      </c>
    </row>
    <row r="153" spans="1:17" x14ac:dyDescent="0.25">
      <c r="A153" t="str">
        <f ca="1"/>
        <v>LASYX</v>
      </c>
      <c r="B153" t="e">
        <f ca="1"/>
        <v>#VALUE!</v>
      </c>
      <c r="C153" t="e">
        <f ca="1"/>
        <v>#VALUE!</v>
      </c>
      <c r="D153" t="e">
        <f ca="1"/>
        <v>#VALUE!</v>
      </c>
      <c r="E153" t="e">
        <f ca="1"/>
        <v>#VALUE!</v>
      </c>
      <c r="F153" t="e">
        <f ca="1"/>
        <v>#VALUE!</v>
      </c>
      <c r="G153" t="e">
        <f ca="1"/>
        <v>#VALUE!</v>
      </c>
      <c r="H153" t="e">
        <f ca="1"/>
        <v>#VALUE!</v>
      </c>
      <c r="I153" t="e">
        <f ca="1"/>
        <v>#VALUE!</v>
      </c>
      <c r="J153" t="e">
        <f ca="1"/>
        <v>#VALUE!</v>
      </c>
      <c r="K153" t="e">
        <f ca="1"/>
        <v>#VALUE!</v>
      </c>
      <c r="L153" t="e">
        <f ca="1"/>
        <v>#VALUE!</v>
      </c>
      <c r="M153" t="e">
        <f ca="1"/>
        <v>#VALUE!</v>
      </c>
      <c r="N153" t="e">
        <f ca="1"/>
        <v>#VALUE!</v>
      </c>
      <c r="O153" t="e">
        <f ca="1"/>
        <v>#VALUE!</v>
      </c>
      <c r="P153" t="e">
        <f ca="1"/>
        <v>#VALUE!</v>
      </c>
      <c r="Q153" t="e">
        <f ca="1"/>
        <v>#VALUE!</v>
      </c>
    </row>
    <row r="154" spans="1:17" x14ac:dyDescent="0.25">
      <c r="A154" t="str">
        <f ca="1"/>
        <v>LCRIX</v>
      </c>
      <c r="B154" t="e">
        <f ca="1"/>
        <v>#VALUE!</v>
      </c>
      <c r="C154" t="e">
        <f ca="1"/>
        <v>#VALUE!</v>
      </c>
      <c r="D154" t="e">
        <f ca="1"/>
        <v>#VALUE!</v>
      </c>
      <c r="E154" t="e">
        <f ca="1"/>
        <v>#VALUE!</v>
      </c>
      <c r="F154" t="e">
        <f ca="1"/>
        <v>#VALUE!</v>
      </c>
      <c r="G154" t="e">
        <f ca="1"/>
        <v>#VALUE!</v>
      </c>
      <c r="H154" t="e">
        <f ca="1"/>
        <v>#VALUE!</v>
      </c>
      <c r="I154" t="e">
        <f ca="1"/>
        <v>#VALUE!</v>
      </c>
      <c r="J154" t="e">
        <f ca="1"/>
        <v>#VALUE!</v>
      </c>
      <c r="K154" t="e">
        <f ca="1"/>
        <v>#VALUE!</v>
      </c>
      <c r="L154" t="e">
        <f ca="1"/>
        <v>#VALUE!</v>
      </c>
      <c r="M154" t="e">
        <f ca="1"/>
        <v>#VALUE!</v>
      </c>
      <c r="N154" t="e">
        <f ca="1"/>
        <v>#VALUE!</v>
      </c>
      <c r="O154" t="e">
        <f ca="1"/>
        <v>#VALUE!</v>
      </c>
      <c r="P154" t="e">
        <f ca="1"/>
        <v>#VALUE!</v>
      </c>
      <c r="Q154" t="e">
        <f ca="1"/>
        <v>#VALUE!</v>
      </c>
    </row>
    <row r="155" spans="1:17" x14ac:dyDescent="0.25">
      <c r="A155" t="str">
        <f ca="1"/>
        <v>LFRFX</v>
      </c>
      <c r="B155" t="e">
        <f ca="1"/>
        <v>#VALUE!</v>
      </c>
      <c r="C155" t="e">
        <f ca="1"/>
        <v>#VALUE!</v>
      </c>
      <c r="D155" t="e">
        <f ca="1"/>
        <v>#VALUE!</v>
      </c>
      <c r="E155" t="e">
        <f ca="1"/>
        <v>#VALUE!</v>
      </c>
      <c r="F155" t="e">
        <f ca="1"/>
        <v>#VALUE!</v>
      </c>
      <c r="G155" t="e">
        <f ca="1"/>
        <v>#VALUE!</v>
      </c>
      <c r="H155" t="e">
        <f ca="1"/>
        <v>#VALUE!</v>
      </c>
      <c r="I155" t="e">
        <f ca="1"/>
        <v>#VALUE!</v>
      </c>
      <c r="J155" t="e">
        <f ca="1"/>
        <v>#VALUE!</v>
      </c>
      <c r="K155" t="e">
        <f ca="1"/>
        <v>#VALUE!</v>
      </c>
      <c r="L155" t="e">
        <f ca="1"/>
        <v>#VALUE!</v>
      </c>
      <c r="M155" t="e">
        <f ca="1"/>
        <v>#VALUE!</v>
      </c>
      <c r="N155" t="e">
        <f ca="1"/>
        <v>#VALUE!</v>
      </c>
      <c r="O155" t="e">
        <f ca="1"/>
        <v>#VALUE!</v>
      </c>
      <c r="P155" t="e">
        <f ca="1"/>
        <v>#VALUE!</v>
      </c>
      <c r="Q155" t="e">
        <f ca="1"/>
        <v>#VALUE!</v>
      </c>
    </row>
    <row r="156" spans="1:17" x14ac:dyDescent="0.25">
      <c r="A156" t="str">
        <f ca="1"/>
        <v>LFRIX</v>
      </c>
      <c r="B156" t="e">
        <f ca="1"/>
        <v>#VALUE!</v>
      </c>
      <c r="C156" t="e">
        <f ca="1"/>
        <v>#VALUE!</v>
      </c>
      <c r="D156" t="e">
        <f ca="1"/>
        <v>#VALUE!</v>
      </c>
      <c r="E156" t="e">
        <f ca="1"/>
        <v>#VALUE!</v>
      </c>
      <c r="F156" t="e">
        <f ca="1"/>
        <v>#VALUE!</v>
      </c>
      <c r="G156" t="e">
        <f ca="1"/>
        <v>#VALUE!</v>
      </c>
      <c r="H156" t="e">
        <f ca="1"/>
        <v>#VALUE!</v>
      </c>
      <c r="I156" t="e">
        <f ca="1"/>
        <v>#VALUE!</v>
      </c>
      <c r="J156" t="e">
        <f ca="1"/>
        <v>#VALUE!</v>
      </c>
      <c r="K156" t="e">
        <f ca="1"/>
        <v>#VALUE!</v>
      </c>
      <c r="L156" t="e">
        <f ca="1"/>
        <v>#VALUE!</v>
      </c>
      <c r="M156" t="e">
        <f ca="1"/>
        <v>#VALUE!</v>
      </c>
      <c r="N156" t="e">
        <f ca="1"/>
        <v>#VALUE!</v>
      </c>
      <c r="O156" t="e">
        <f ca="1"/>
        <v>#VALUE!</v>
      </c>
      <c r="P156" t="e">
        <f ca="1"/>
        <v>#VALUE!</v>
      </c>
      <c r="Q156" t="e">
        <f ca="1"/>
        <v>#VALUE!</v>
      </c>
    </row>
    <row r="157" spans="1:17" x14ac:dyDescent="0.25">
      <c r="A157" t="str">
        <f ca="1"/>
        <v>LIT</v>
      </c>
      <c r="B157" t="str">
        <f ca="1"/>
        <v>etf</v>
      </c>
      <c r="C157" t="str">
        <f ca="1"/>
        <v>Global X Lithium &amp; Battery Tech ETF</v>
      </c>
      <c r="D157" t="str">
        <f ca="1"/>
        <v>Financials Equity</v>
      </c>
      <c r="E157" t="str">
        <f ca="1"/>
        <v>^SP15FINSTR</v>
      </c>
      <c r="F157" t="str">
        <f ca="1"/>
        <v>S&amp;P 1500 Financials (Sector) Total Return</v>
      </c>
      <c r="G157" t="str">
        <f ca="1"/>
        <v>Solactive Global Lithium TR USD</v>
      </c>
      <c r="H157">
        <f ca="1"/>
        <v>-6.1543E-2</v>
      </c>
      <c r="I157">
        <f ca="1"/>
        <v>-0.13075799999999999</v>
      </c>
      <c r="J157">
        <f ca="1"/>
        <v>-0.191856</v>
      </c>
      <c r="K157">
        <f ca="1"/>
        <v>-0.48968699999999998</v>
      </c>
      <c r="L157">
        <f ca="1"/>
        <v>-0.191856</v>
      </c>
      <c r="M157">
        <f ca="1"/>
        <v>-0.48968699999999998</v>
      </c>
      <c r="N157">
        <f ca="1"/>
        <v>-0.50278199999999995</v>
      </c>
      <c r="O157">
        <f ca="1"/>
        <v>-0.80490699999999993</v>
      </c>
      <c r="P157">
        <f ca="1"/>
        <v>0.54914399999999997</v>
      </c>
      <c r="Q157">
        <f ca="1"/>
        <v>-0.169404</v>
      </c>
    </row>
    <row r="158" spans="1:17" x14ac:dyDescent="0.25">
      <c r="A158" t="str">
        <f ca="1"/>
        <v>LQD</v>
      </c>
      <c r="B158" t="str">
        <f ca="1"/>
        <v>etf</v>
      </c>
      <c r="C158" t="str">
        <f ca="1"/>
        <v>iShares iBoxx $ Inv Grade Corporate Bond ETF</v>
      </c>
      <c r="D158" t="str">
        <f ca="1"/>
        <v>US Corporate Bond</v>
      </c>
      <c r="E158" t="str">
        <f ca="1"/>
        <v>^BBUSCOTR</v>
      </c>
      <c r="F158" t="str">
        <f ca="1"/>
        <v>Bloomberg US Corporate</v>
      </c>
      <c r="G158" t="str">
        <f ca="1"/>
        <v>Markit iBoxx Liquid IG TR USD</v>
      </c>
      <c r="H158">
        <f ca="1"/>
        <v>-4.0774999999999999E-2</v>
      </c>
      <c r="I158">
        <f ca="1"/>
        <v>-1.0421E-2</v>
      </c>
      <c r="J158">
        <f ca="1"/>
        <v>8.574E-3</v>
      </c>
      <c r="K158">
        <f ca="1"/>
        <v>-1.2676999999999999E-2</v>
      </c>
      <c r="L158">
        <f ca="1"/>
        <v>8.574E-3</v>
      </c>
      <c r="M158">
        <f ca="1"/>
        <v>-1.2676999999999999E-2</v>
      </c>
      <c r="N158">
        <f ca="1"/>
        <v>-9.4465999999999994E-2</v>
      </c>
      <c r="O158">
        <f ca="1"/>
        <v>-2.8038999999999994E-2</v>
      </c>
      <c r="P158">
        <f ca="1"/>
        <v>-1.3636000000000001E-2</v>
      </c>
      <c r="Q158">
        <f ca="1"/>
        <v>-2.8819999999999998E-2</v>
      </c>
    </row>
    <row r="159" spans="1:17" x14ac:dyDescent="0.25">
      <c r="A159" t="str">
        <f ca="1"/>
        <v>LSVQX</v>
      </c>
      <c r="B159" t="e">
        <f ca="1"/>
        <v>#VALUE!</v>
      </c>
      <c r="C159" t="e">
        <f ca="1"/>
        <v>#VALUE!</v>
      </c>
      <c r="D159" t="e">
        <f ca="1"/>
        <v>#VALUE!</v>
      </c>
      <c r="E159" t="e">
        <f ca="1"/>
        <v>#VALUE!</v>
      </c>
      <c r="F159" t="e">
        <f ca="1"/>
        <v>#VALUE!</v>
      </c>
      <c r="G159" t="e">
        <f ca="1"/>
        <v>#VALUE!</v>
      </c>
      <c r="H159" t="e">
        <f ca="1"/>
        <v>#VALUE!</v>
      </c>
      <c r="I159" t="e">
        <f ca="1"/>
        <v>#VALUE!</v>
      </c>
      <c r="J159" t="e">
        <f ca="1"/>
        <v>#VALUE!</v>
      </c>
      <c r="K159" t="e">
        <f ca="1"/>
        <v>#VALUE!</v>
      </c>
      <c r="L159" t="e">
        <f ca="1"/>
        <v>#VALUE!</v>
      </c>
      <c r="M159" t="e">
        <f ca="1"/>
        <v>#VALUE!</v>
      </c>
      <c r="N159" t="e">
        <f ca="1"/>
        <v>#VALUE!</v>
      </c>
      <c r="O159" t="e">
        <f ca="1"/>
        <v>#VALUE!</v>
      </c>
      <c r="P159" t="e">
        <f ca="1"/>
        <v>#VALUE!</v>
      </c>
      <c r="Q159" t="e">
        <f ca="1"/>
        <v>#VALUE!</v>
      </c>
    </row>
    <row r="160" spans="1:17" x14ac:dyDescent="0.25">
      <c r="A160" t="str">
        <f ca="1"/>
        <v>MALMX</v>
      </c>
      <c r="B160" t="e">
        <f ca="1"/>
        <v>#VALUE!</v>
      </c>
      <c r="C160" t="e">
        <f ca="1"/>
        <v>#VALUE!</v>
      </c>
      <c r="D160" t="e">
        <f ca="1"/>
        <v>#VALUE!</v>
      </c>
      <c r="E160" t="e">
        <f ca="1"/>
        <v>#VALUE!</v>
      </c>
      <c r="F160" t="e">
        <f ca="1"/>
        <v>#VALUE!</v>
      </c>
      <c r="G160" t="e">
        <f ca="1"/>
        <v>#VALUE!</v>
      </c>
      <c r="H160" t="e">
        <f ca="1"/>
        <v>#VALUE!</v>
      </c>
      <c r="I160" t="e">
        <f ca="1"/>
        <v>#VALUE!</v>
      </c>
      <c r="J160" t="e">
        <f ca="1"/>
        <v>#VALUE!</v>
      </c>
      <c r="K160" t="e">
        <f ca="1"/>
        <v>#VALUE!</v>
      </c>
      <c r="L160" t="e">
        <f ca="1"/>
        <v>#VALUE!</v>
      </c>
      <c r="M160" t="e">
        <f ca="1"/>
        <v>#VALUE!</v>
      </c>
      <c r="N160" t="e">
        <f ca="1"/>
        <v>#VALUE!</v>
      </c>
      <c r="O160" t="e">
        <f ca="1"/>
        <v>#VALUE!</v>
      </c>
      <c r="P160" t="e">
        <f ca="1"/>
        <v>#VALUE!</v>
      </c>
      <c r="Q160" t="e">
        <f ca="1"/>
        <v>#VALUE!</v>
      </c>
    </row>
    <row r="161" spans="1:17" x14ac:dyDescent="0.25">
      <c r="A161" t="str">
        <f ca="1"/>
        <v>MASFX</v>
      </c>
      <c r="B161" t="e">
        <f ca="1"/>
        <v>#VALUE!</v>
      </c>
      <c r="C161" t="e">
        <f ca="1"/>
        <v>#VALUE!</v>
      </c>
      <c r="D161" t="e">
        <f ca="1"/>
        <v>#VALUE!</v>
      </c>
      <c r="E161" t="e">
        <f ca="1"/>
        <v>#VALUE!</v>
      </c>
      <c r="F161" t="e">
        <f ca="1"/>
        <v>#VALUE!</v>
      </c>
      <c r="G161" t="e">
        <f ca="1"/>
        <v>#VALUE!</v>
      </c>
      <c r="H161" t="e">
        <f ca="1"/>
        <v>#VALUE!</v>
      </c>
      <c r="I161" t="e">
        <f ca="1"/>
        <v>#VALUE!</v>
      </c>
      <c r="J161" t="e">
        <f ca="1"/>
        <v>#VALUE!</v>
      </c>
      <c r="K161" t="e">
        <f ca="1"/>
        <v>#VALUE!</v>
      </c>
      <c r="L161" t="e">
        <f ca="1"/>
        <v>#VALUE!</v>
      </c>
      <c r="M161" t="e">
        <f ca="1"/>
        <v>#VALUE!</v>
      </c>
      <c r="N161" t="e">
        <f ca="1"/>
        <v>#VALUE!</v>
      </c>
      <c r="O161" t="e">
        <f ca="1"/>
        <v>#VALUE!</v>
      </c>
      <c r="P161" t="e">
        <f ca="1"/>
        <v>#VALUE!</v>
      </c>
      <c r="Q161" t="e">
        <f ca="1"/>
        <v>#VALUE!</v>
      </c>
    </row>
    <row r="162" spans="1:17" x14ac:dyDescent="0.25">
      <c r="A162" t="str">
        <f ca="1"/>
        <v>MBB</v>
      </c>
      <c r="B162" t="str">
        <f ca="1"/>
        <v>etf</v>
      </c>
      <c r="C162" t="str">
        <f ca="1"/>
        <v>iShares MBS ETF</v>
      </c>
      <c r="D162" t="str">
        <f ca="1"/>
        <v>US Mortgage Backed Bond</v>
      </c>
      <c r="E162" t="str">
        <f ca="1"/>
        <v>^BBUSMBSTR</v>
      </c>
      <c r="F162" t="str">
        <f ca="1"/>
        <v>Bloomberg US Mortgage Backed Securities</v>
      </c>
      <c r="G162" t="str">
        <f ca="1"/>
        <v>Bloomberg US MBS TR USD</v>
      </c>
      <c r="H162">
        <f ca="1"/>
        <v>-3.049E-2</v>
      </c>
      <c r="I162">
        <f ca="1"/>
        <v>1.0880000000000022E-3</v>
      </c>
      <c r="J162">
        <f ca="1"/>
        <v>1.3129999999999999E-2</v>
      </c>
      <c r="K162">
        <f ca="1"/>
        <v>1.1380000000000001E-3</v>
      </c>
      <c r="L162">
        <f ca="1"/>
        <v>1.3129999999999999E-2</v>
      </c>
      <c r="M162">
        <f ca="1"/>
        <v>1.1380000000000001E-3</v>
      </c>
      <c r="N162">
        <f ca="1"/>
        <v>-6.0997000000000003E-2</v>
      </c>
      <c r="O162">
        <f ca="1"/>
        <v>1.5009999999999954E-3</v>
      </c>
      <c r="P162">
        <f ca="1"/>
        <v>-3.6691000000000001E-2</v>
      </c>
      <c r="Q162">
        <f ca="1"/>
        <v>-3.4000000000000002E-4</v>
      </c>
    </row>
    <row r="163" spans="1:17" x14ac:dyDescent="0.25">
      <c r="A163" t="str">
        <f ca="1"/>
        <v>MBXIX</v>
      </c>
      <c r="B163" t="e">
        <f ca="1"/>
        <v>#VALUE!</v>
      </c>
      <c r="C163" t="e">
        <f ca="1"/>
        <v>#VALUE!</v>
      </c>
      <c r="D163" t="e">
        <f ca="1"/>
        <v>#VALUE!</v>
      </c>
      <c r="E163" t="e">
        <f ca="1"/>
        <v>#VALUE!</v>
      </c>
      <c r="F163" t="e">
        <f ca="1"/>
        <v>#VALUE!</v>
      </c>
      <c r="G163" t="e">
        <f ca="1"/>
        <v>#VALUE!</v>
      </c>
      <c r="H163" t="e">
        <f ca="1"/>
        <v>#VALUE!</v>
      </c>
      <c r="I163" t="e">
        <f ca="1"/>
        <v>#VALUE!</v>
      </c>
      <c r="J163" t="e">
        <f ca="1"/>
        <v>#VALUE!</v>
      </c>
      <c r="K163" t="e">
        <f ca="1"/>
        <v>#VALUE!</v>
      </c>
      <c r="L163" t="e">
        <f ca="1"/>
        <v>#VALUE!</v>
      </c>
      <c r="M163" t="e">
        <f ca="1"/>
        <v>#VALUE!</v>
      </c>
      <c r="N163" t="e">
        <f ca="1"/>
        <v>#VALUE!</v>
      </c>
      <c r="O163" t="e">
        <f ca="1"/>
        <v>#VALUE!</v>
      </c>
      <c r="P163" t="e">
        <f ca="1"/>
        <v>#VALUE!</v>
      </c>
      <c r="Q163" t="e">
        <f ca="1"/>
        <v>#VALUE!</v>
      </c>
    </row>
    <row r="164" spans="1:17" x14ac:dyDescent="0.25">
      <c r="A164" t="str">
        <f ca="1"/>
        <v>MCVIX</v>
      </c>
      <c r="B164" t="e">
        <f ca="1"/>
        <v>#VALUE!</v>
      </c>
      <c r="C164" t="e">
        <f ca="1"/>
        <v>#VALUE!</v>
      </c>
      <c r="D164" t="e">
        <f ca="1"/>
        <v>#VALUE!</v>
      </c>
      <c r="E164" t="e">
        <f ca="1"/>
        <v>#VALUE!</v>
      </c>
      <c r="F164" t="e">
        <f ca="1"/>
        <v>#VALUE!</v>
      </c>
      <c r="G164" t="e">
        <f ca="1"/>
        <v>#VALUE!</v>
      </c>
      <c r="H164" t="e">
        <f ca="1"/>
        <v>#VALUE!</v>
      </c>
      <c r="I164" t="e">
        <f ca="1"/>
        <v>#VALUE!</v>
      </c>
      <c r="J164" t="e">
        <f ca="1"/>
        <v>#VALUE!</v>
      </c>
      <c r="K164" t="e">
        <f ca="1"/>
        <v>#VALUE!</v>
      </c>
      <c r="L164" t="e">
        <f ca="1"/>
        <v>#VALUE!</v>
      </c>
      <c r="M164" t="e">
        <f ca="1"/>
        <v>#VALUE!</v>
      </c>
      <c r="N164" t="e">
        <f ca="1"/>
        <v>#VALUE!</v>
      </c>
      <c r="O164" t="e">
        <f ca="1"/>
        <v>#VALUE!</v>
      </c>
      <c r="P164" t="e">
        <f ca="1"/>
        <v>#VALUE!</v>
      </c>
      <c r="Q164" t="e">
        <f ca="1"/>
        <v>#VALUE!</v>
      </c>
    </row>
    <row r="165" spans="1:17" x14ac:dyDescent="0.25">
      <c r="A165" t="str">
        <f ca="1"/>
        <v>MERFX</v>
      </c>
      <c r="B165" t="e">
        <f ca="1"/>
        <v>#VALUE!</v>
      </c>
      <c r="C165" t="e">
        <f ca="1"/>
        <v>#VALUE!</v>
      </c>
      <c r="D165" t="e">
        <f ca="1"/>
        <v>#VALUE!</v>
      </c>
      <c r="E165" t="e">
        <f ca="1"/>
        <v>#VALUE!</v>
      </c>
      <c r="F165" t="e">
        <f ca="1"/>
        <v>#VALUE!</v>
      </c>
      <c r="G165" t="e">
        <f ca="1"/>
        <v>#VALUE!</v>
      </c>
      <c r="H165" t="e">
        <f ca="1"/>
        <v>#VALUE!</v>
      </c>
      <c r="I165" t="e">
        <f ca="1"/>
        <v>#VALUE!</v>
      </c>
      <c r="J165" t="e">
        <f ca="1"/>
        <v>#VALUE!</v>
      </c>
      <c r="K165" t="e">
        <f ca="1"/>
        <v>#VALUE!</v>
      </c>
      <c r="L165" t="e">
        <f ca="1"/>
        <v>#VALUE!</v>
      </c>
      <c r="M165" t="e">
        <f ca="1"/>
        <v>#VALUE!</v>
      </c>
      <c r="N165" t="e">
        <f ca="1"/>
        <v>#VALUE!</v>
      </c>
      <c r="O165" t="e">
        <f ca="1"/>
        <v>#VALUE!</v>
      </c>
      <c r="P165" t="e">
        <f ca="1"/>
        <v>#VALUE!</v>
      </c>
      <c r="Q165" t="e">
        <f ca="1"/>
        <v>#VALUE!</v>
      </c>
    </row>
    <row r="166" spans="1:17" x14ac:dyDescent="0.25">
      <c r="A166" t="str">
        <f ca="1"/>
        <v>MMHAX</v>
      </c>
      <c r="B166" t="e">
        <f ca="1"/>
        <v>#VALUE!</v>
      </c>
      <c r="C166" t="e">
        <f ca="1"/>
        <v>#VALUE!</v>
      </c>
      <c r="D166" t="e">
        <f ca="1"/>
        <v>#VALUE!</v>
      </c>
      <c r="E166" t="e">
        <f ca="1"/>
        <v>#VALUE!</v>
      </c>
      <c r="F166" t="e">
        <f ca="1"/>
        <v>#VALUE!</v>
      </c>
      <c r="G166" t="e">
        <f ca="1"/>
        <v>#VALUE!</v>
      </c>
      <c r="H166" t="e">
        <f ca="1"/>
        <v>#VALUE!</v>
      </c>
      <c r="I166" t="e">
        <f ca="1"/>
        <v>#VALUE!</v>
      </c>
      <c r="J166" t="e">
        <f ca="1"/>
        <v>#VALUE!</v>
      </c>
      <c r="K166" t="e">
        <f ca="1"/>
        <v>#VALUE!</v>
      </c>
      <c r="L166" t="e">
        <f ca="1"/>
        <v>#VALUE!</v>
      </c>
      <c r="M166" t="e">
        <f ca="1"/>
        <v>#VALUE!</v>
      </c>
      <c r="N166" t="e">
        <f ca="1"/>
        <v>#VALUE!</v>
      </c>
      <c r="O166" t="e">
        <f ca="1"/>
        <v>#VALUE!</v>
      </c>
      <c r="P166" t="e">
        <f ca="1"/>
        <v>#VALUE!</v>
      </c>
      <c r="Q166" t="e">
        <f ca="1"/>
        <v>#VALUE!</v>
      </c>
    </row>
    <row r="167" spans="1:17" x14ac:dyDescent="0.25">
      <c r="A167" t="str">
        <f ca="1"/>
        <v>MMHIX</v>
      </c>
      <c r="B167" t="e">
        <f ca="1"/>
        <v>#VALUE!</v>
      </c>
      <c r="C167" t="e">
        <f ca="1"/>
        <v>#VALUE!</v>
      </c>
      <c r="D167" t="e">
        <f ca="1"/>
        <v>#VALUE!</v>
      </c>
      <c r="E167" t="e">
        <f ca="1"/>
        <v>#VALUE!</v>
      </c>
      <c r="F167" t="e">
        <f ca="1"/>
        <v>#VALUE!</v>
      </c>
      <c r="G167" t="e">
        <f ca="1"/>
        <v>#VALUE!</v>
      </c>
      <c r="H167" t="e">
        <f ca="1"/>
        <v>#VALUE!</v>
      </c>
      <c r="I167" t="e">
        <f ca="1"/>
        <v>#VALUE!</v>
      </c>
      <c r="J167" t="e">
        <f ca="1"/>
        <v>#VALUE!</v>
      </c>
      <c r="K167" t="e">
        <f ca="1"/>
        <v>#VALUE!</v>
      </c>
      <c r="L167" t="e">
        <f ca="1"/>
        <v>#VALUE!</v>
      </c>
      <c r="M167" t="e">
        <f ca="1"/>
        <v>#VALUE!</v>
      </c>
      <c r="N167" t="e">
        <f ca="1"/>
        <v>#VALUE!</v>
      </c>
      <c r="O167" t="e">
        <f ca="1"/>
        <v>#VALUE!</v>
      </c>
      <c r="P167" t="e">
        <f ca="1"/>
        <v>#VALUE!</v>
      </c>
      <c r="Q167" t="e">
        <f ca="1"/>
        <v>#VALUE!</v>
      </c>
    </row>
    <row r="168" spans="1:17" x14ac:dyDescent="0.25">
      <c r="A168" t="str">
        <f ca="1"/>
        <v>MNHAX</v>
      </c>
      <c r="B168" t="e">
        <f ca="1"/>
        <v>#VALUE!</v>
      </c>
      <c r="C168" t="e">
        <f ca="1"/>
        <v>#VALUE!</v>
      </c>
      <c r="D168" t="e">
        <f ca="1"/>
        <v>#VALUE!</v>
      </c>
      <c r="E168" t="e">
        <f ca="1"/>
        <v>#VALUE!</v>
      </c>
      <c r="F168" t="e">
        <f ca="1"/>
        <v>#VALUE!</v>
      </c>
      <c r="G168" t="e">
        <f ca="1"/>
        <v>#VALUE!</v>
      </c>
      <c r="H168" t="e">
        <f ca="1"/>
        <v>#VALUE!</v>
      </c>
      <c r="I168" t="e">
        <f ca="1"/>
        <v>#VALUE!</v>
      </c>
      <c r="J168" t="e">
        <f ca="1"/>
        <v>#VALUE!</v>
      </c>
      <c r="K168" t="e">
        <f ca="1"/>
        <v>#VALUE!</v>
      </c>
      <c r="L168" t="e">
        <f ca="1"/>
        <v>#VALUE!</v>
      </c>
      <c r="M168" t="e">
        <f ca="1"/>
        <v>#VALUE!</v>
      </c>
      <c r="N168" t="e">
        <f ca="1"/>
        <v>#VALUE!</v>
      </c>
      <c r="O168" t="e">
        <f ca="1"/>
        <v>#VALUE!</v>
      </c>
      <c r="P168" t="e">
        <f ca="1"/>
        <v>#VALUE!</v>
      </c>
      <c r="Q168" t="e">
        <f ca="1"/>
        <v>#VALUE!</v>
      </c>
    </row>
    <row r="169" spans="1:17" x14ac:dyDescent="0.25">
      <c r="A169" t="str">
        <f ca="1"/>
        <v>MTCIX</v>
      </c>
      <c r="B169" t="e">
        <f ca="1"/>
        <v>#VALUE!</v>
      </c>
      <c r="C169" t="e">
        <f ca="1"/>
        <v>#VALUE!</v>
      </c>
      <c r="D169" t="e">
        <f ca="1"/>
        <v>#VALUE!</v>
      </c>
      <c r="E169" t="e">
        <f ca="1"/>
        <v>#VALUE!</v>
      </c>
      <c r="F169" t="e">
        <f ca="1"/>
        <v>#VALUE!</v>
      </c>
      <c r="G169" t="e">
        <f ca="1"/>
        <v>#VALUE!</v>
      </c>
      <c r="H169" t="e">
        <f ca="1"/>
        <v>#VALUE!</v>
      </c>
      <c r="I169" t="e">
        <f ca="1"/>
        <v>#VALUE!</v>
      </c>
      <c r="J169" t="e">
        <f ca="1"/>
        <v>#VALUE!</v>
      </c>
      <c r="K169" t="e">
        <f ca="1"/>
        <v>#VALUE!</v>
      </c>
      <c r="L169" t="e">
        <f ca="1"/>
        <v>#VALUE!</v>
      </c>
      <c r="M169" t="e">
        <f ca="1"/>
        <v>#VALUE!</v>
      </c>
      <c r="N169" t="e">
        <f ca="1"/>
        <v>#VALUE!</v>
      </c>
      <c r="O169" t="e">
        <f ca="1"/>
        <v>#VALUE!</v>
      </c>
      <c r="P169" t="e">
        <f ca="1"/>
        <v>#VALUE!</v>
      </c>
      <c r="Q169" t="e">
        <f ca="1"/>
        <v>#VALUE!</v>
      </c>
    </row>
    <row r="170" spans="1:17" x14ac:dyDescent="0.25">
      <c r="A170" t="str">
        <f ca="1"/>
        <v>MUB</v>
      </c>
      <c r="B170" t="str">
        <f ca="1"/>
        <v>etf</v>
      </c>
      <c r="C170" t="str">
        <f ca="1"/>
        <v>iShares National Muni Bond ETF</v>
      </c>
      <c r="D170" t="str">
        <f ca="1"/>
        <v>US Aggregate Municipal Bond</v>
      </c>
      <c r="E170" t="str">
        <f ca="1"/>
        <v>^BBMBTR</v>
      </c>
      <c r="F170" t="str">
        <f ca="1"/>
        <v>Bloomberg Municipal Bond</v>
      </c>
      <c r="G170" t="str">
        <f ca="1"/>
        <v>ICE AMT-Free US National Muni TR USD</v>
      </c>
      <c r="H170">
        <f ca="1"/>
        <v>-9.1990000000000006E-3</v>
      </c>
      <c r="I170">
        <f ca="1"/>
        <v>2.954E-3</v>
      </c>
      <c r="J170">
        <f ca="1"/>
        <v>1.2625000000000001E-2</v>
      </c>
      <c r="K170">
        <f ca="1"/>
        <v>2.0900000000000016E-3</v>
      </c>
      <c r="L170">
        <f ca="1"/>
        <v>1.2625000000000001E-2</v>
      </c>
      <c r="M170">
        <f ca="1"/>
        <v>2.0900000000000016E-3</v>
      </c>
      <c r="N170">
        <f ca="1"/>
        <v>-9.5940000000000001E-3</v>
      </c>
      <c r="O170">
        <f ca="1"/>
        <v>6.8540000000000007E-3</v>
      </c>
      <c r="P170">
        <f ca="1"/>
        <v>5.1751999999999999E-2</v>
      </c>
      <c r="Q170">
        <f ca="1"/>
        <v>1.232999999999998E-3</v>
      </c>
    </row>
    <row r="171" spans="1:17" x14ac:dyDescent="0.25">
      <c r="A171" t="str">
        <f ca="1"/>
        <v>MVCAX</v>
      </c>
      <c r="B171" t="e">
        <f ca="1"/>
        <v>#VALUE!</v>
      </c>
      <c r="C171" t="e">
        <f ca="1"/>
        <v>#VALUE!</v>
      </c>
      <c r="D171" t="e">
        <f ca="1"/>
        <v>#VALUE!</v>
      </c>
      <c r="E171" t="e">
        <f ca="1"/>
        <v>#VALUE!</v>
      </c>
      <c r="F171" t="e">
        <f ca="1"/>
        <v>#VALUE!</v>
      </c>
      <c r="G171" t="e">
        <f ca="1"/>
        <v>#VALUE!</v>
      </c>
      <c r="H171" t="e">
        <f ca="1"/>
        <v>#VALUE!</v>
      </c>
      <c r="I171" t="e">
        <f ca="1"/>
        <v>#VALUE!</v>
      </c>
      <c r="J171" t="e">
        <f ca="1"/>
        <v>#VALUE!</v>
      </c>
      <c r="K171" t="e">
        <f ca="1"/>
        <v>#VALUE!</v>
      </c>
      <c r="L171" t="e">
        <f ca="1"/>
        <v>#VALUE!</v>
      </c>
      <c r="M171" t="e">
        <f ca="1"/>
        <v>#VALUE!</v>
      </c>
      <c r="N171" t="e">
        <f ca="1"/>
        <v>#VALUE!</v>
      </c>
      <c r="O171" t="e">
        <f ca="1"/>
        <v>#VALUE!</v>
      </c>
      <c r="P171" t="e">
        <f ca="1"/>
        <v>#VALUE!</v>
      </c>
      <c r="Q171" t="e">
        <f ca="1"/>
        <v>#VALUE!</v>
      </c>
    </row>
    <row r="172" spans="1:17" x14ac:dyDescent="0.25">
      <c r="A172" t="str">
        <f ca="1"/>
        <v>MWTIX</v>
      </c>
      <c r="B172" t="e">
        <f ca="1"/>
        <v>#VALUE!</v>
      </c>
      <c r="C172" t="e">
        <f ca="1"/>
        <v>#VALUE!</v>
      </c>
      <c r="D172" t="e">
        <f ca="1"/>
        <v>#VALUE!</v>
      </c>
      <c r="E172" t="e">
        <f ca="1"/>
        <v>#VALUE!</v>
      </c>
      <c r="F172" t="e">
        <f ca="1"/>
        <v>#VALUE!</v>
      </c>
      <c r="G172" t="e">
        <f ca="1"/>
        <v>#VALUE!</v>
      </c>
      <c r="H172" t="e">
        <f ca="1"/>
        <v>#VALUE!</v>
      </c>
      <c r="I172" t="e">
        <f ca="1"/>
        <v>#VALUE!</v>
      </c>
      <c r="J172" t="e">
        <f ca="1"/>
        <v>#VALUE!</v>
      </c>
      <c r="K172" t="e">
        <f ca="1"/>
        <v>#VALUE!</v>
      </c>
      <c r="L172" t="e">
        <f ca="1"/>
        <v>#VALUE!</v>
      </c>
      <c r="M172" t="e">
        <f ca="1"/>
        <v>#VALUE!</v>
      </c>
      <c r="N172" t="e">
        <f ca="1"/>
        <v>#VALUE!</v>
      </c>
      <c r="O172" t="e">
        <f ca="1"/>
        <v>#VALUE!</v>
      </c>
      <c r="P172" t="e">
        <f ca="1"/>
        <v>#VALUE!</v>
      </c>
      <c r="Q172" t="e">
        <f ca="1"/>
        <v>#VALUE!</v>
      </c>
    </row>
    <row r="173" spans="1:17" x14ac:dyDescent="0.25">
      <c r="A173" t="str">
        <f ca="1"/>
        <v>MWTRX</v>
      </c>
      <c r="B173" t="e">
        <f ca="1"/>
        <v>#VALUE!</v>
      </c>
      <c r="C173" t="e">
        <f ca="1"/>
        <v>#VALUE!</v>
      </c>
      <c r="D173" t="e">
        <f ca="1"/>
        <v>#VALUE!</v>
      </c>
      <c r="E173" t="e">
        <f ca="1"/>
        <v>#VALUE!</v>
      </c>
      <c r="F173" t="e">
        <f ca="1"/>
        <v>#VALUE!</v>
      </c>
      <c r="G173" t="e">
        <f ca="1"/>
        <v>#VALUE!</v>
      </c>
      <c r="H173" t="e">
        <f ca="1"/>
        <v>#VALUE!</v>
      </c>
      <c r="I173" t="e">
        <f ca="1"/>
        <v>#VALUE!</v>
      </c>
      <c r="J173" t="e">
        <f ca="1"/>
        <v>#VALUE!</v>
      </c>
      <c r="K173" t="e">
        <f ca="1"/>
        <v>#VALUE!</v>
      </c>
      <c r="L173" t="e">
        <f ca="1"/>
        <v>#VALUE!</v>
      </c>
      <c r="M173" t="e">
        <f ca="1"/>
        <v>#VALUE!</v>
      </c>
      <c r="N173" t="e">
        <f ca="1"/>
        <v>#VALUE!</v>
      </c>
      <c r="O173" t="e">
        <f ca="1"/>
        <v>#VALUE!</v>
      </c>
      <c r="P173" t="e">
        <f ca="1"/>
        <v>#VALUE!</v>
      </c>
      <c r="Q173" t="e">
        <f ca="1"/>
        <v>#VALUE!</v>
      </c>
    </row>
    <row r="174" spans="1:17" x14ac:dyDescent="0.25">
      <c r="A174" t="str">
        <f ca="1"/>
        <v>NCLEX</v>
      </c>
      <c r="B174" t="e">
        <f ca="1"/>
        <v>#VALUE!</v>
      </c>
      <c r="C174" t="e">
        <f ca="1"/>
        <v>#VALUE!</v>
      </c>
      <c r="D174" t="e">
        <f ca="1"/>
        <v>#VALUE!</v>
      </c>
      <c r="E174" t="e">
        <f ca="1"/>
        <v>#VALUE!</v>
      </c>
      <c r="F174" t="e">
        <f ca="1"/>
        <v>#VALUE!</v>
      </c>
      <c r="G174" t="e">
        <f ca="1"/>
        <v>#VALUE!</v>
      </c>
      <c r="H174" t="e">
        <f ca="1"/>
        <v>#VALUE!</v>
      </c>
      <c r="I174" t="e">
        <f ca="1"/>
        <v>#VALUE!</v>
      </c>
      <c r="J174" t="e">
        <f ca="1"/>
        <v>#VALUE!</v>
      </c>
      <c r="K174" t="e">
        <f ca="1"/>
        <v>#VALUE!</v>
      </c>
      <c r="L174" t="e">
        <f ca="1"/>
        <v>#VALUE!</v>
      </c>
      <c r="M174" t="e">
        <f ca="1"/>
        <v>#VALUE!</v>
      </c>
      <c r="N174" t="e">
        <f ca="1"/>
        <v>#VALUE!</v>
      </c>
      <c r="O174" t="e">
        <f ca="1"/>
        <v>#VALUE!</v>
      </c>
      <c r="P174" t="e">
        <f ca="1"/>
        <v>#VALUE!</v>
      </c>
      <c r="Q174" t="e">
        <f ca="1"/>
        <v>#VALUE!</v>
      </c>
    </row>
    <row r="175" spans="1:17" x14ac:dyDescent="0.25">
      <c r="A175" t="str">
        <f ca="1"/>
        <v>NELIX</v>
      </c>
      <c r="B175" t="e">
        <f ca="1"/>
        <v>#VALUE!</v>
      </c>
      <c r="C175" t="e">
        <f ca="1"/>
        <v>#VALUE!</v>
      </c>
      <c r="D175" t="e">
        <f ca="1"/>
        <v>#VALUE!</v>
      </c>
      <c r="E175" t="e">
        <f ca="1"/>
        <v>#VALUE!</v>
      </c>
      <c r="F175" t="e">
        <f ca="1"/>
        <v>#VALUE!</v>
      </c>
      <c r="G175" t="e">
        <f ca="1"/>
        <v>#VALUE!</v>
      </c>
      <c r="H175" t="e">
        <f ca="1"/>
        <v>#VALUE!</v>
      </c>
      <c r="I175" t="e">
        <f ca="1"/>
        <v>#VALUE!</v>
      </c>
      <c r="J175" t="e">
        <f ca="1"/>
        <v>#VALUE!</v>
      </c>
      <c r="K175" t="e">
        <f ca="1"/>
        <v>#VALUE!</v>
      </c>
      <c r="L175" t="e">
        <f ca="1"/>
        <v>#VALUE!</v>
      </c>
      <c r="M175" t="e">
        <f ca="1"/>
        <v>#VALUE!</v>
      </c>
      <c r="N175" t="e">
        <f ca="1"/>
        <v>#VALUE!</v>
      </c>
      <c r="O175" t="e">
        <f ca="1"/>
        <v>#VALUE!</v>
      </c>
      <c r="P175" t="e">
        <f ca="1"/>
        <v>#VALUE!</v>
      </c>
      <c r="Q175" t="e">
        <f ca="1"/>
        <v>#VALUE!</v>
      </c>
    </row>
    <row r="176" spans="1:17" x14ac:dyDescent="0.25">
      <c r="A176" t="str">
        <f ca="1"/>
        <v>NFFFX</v>
      </c>
      <c r="B176" t="e">
        <f ca="1"/>
        <v>#VALUE!</v>
      </c>
      <c r="C176" t="e">
        <f ca="1"/>
        <v>#VALUE!</v>
      </c>
      <c r="D176" t="e">
        <f ca="1"/>
        <v>#VALUE!</v>
      </c>
      <c r="E176" t="e">
        <f ca="1"/>
        <v>#VALUE!</v>
      </c>
      <c r="F176" t="e">
        <f ca="1"/>
        <v>#VALUE!</v>
      </c>
      <c r="G176" t="e">
        <f ca="1"/>
        <v>#VALUE!</v>
      </c>
      <c r="H176" t="e">
        <f ca="1"/>
        <v>#VALUE!</v>
      </c>
      <c r="I176" t="e">
        <f ca="1"/>
        <v>#VALUE!</v>
      </c>
      <c r="J176" t="e">
        <f ca="1"/>
        <v>#VALUE!</v>
      </c>
      <c r="K176" t="e">
        <f ca="1"/>
        <v>#VALUE!</v>
      </c>
      <c r="L176" t="e">
        <f ca="1"/>
        <v>#VALUE!</v>
      </c>
      <c r="M176" t="e">
        <f ca="1"/>
        <v>#VALUE!</v>
      </c>
      <c r="N176" t="e">
        <f ca="1"/>
        <v>#VALUE!</v>
      </c>
      <c r="O176" t="e">
        <f ca="1"/>
        <v>#VALUE!</v>
      </c>
      <c r="P176" t="e">
        <f ca="1"/>
        <v>#VALUE!</v>
      </c>
      <c r="Q176" t="e">
        <f ca="1"/>
        <v>#VALUE!</v>
      </c>
    </row>
    <row r="177" spans="1:17" x14ac:dyDescent="0.25">
      <c r="A177" t="str">
        <f ca="1"/>
        <v>NMVLX</v>
      </c>
      <c r="B177" t="e">
        <f ca="1"/>
        <v>#VALUE!</v>
      </c>
      <c r="C177" t="e">
        <f ca="1"/>
        <v>#VALUE!</v>
      </c>
      <c r="D177" t="e">
        <f ca="1"/>
        <v>#VALUE!</v>
      </c>
      <c r="E177" t="e">
        <f ca="1"/>
        <v>#VALUE!</v>
      </c>
      <c r="F177" t="e">
        <f ca="1"/>
        <v>#VALUE!</v>
      </c>
      <c r="G177" t="e">
        <f ca="1"/>
        <v>#VALUE!</v>
      </c>
      <c r="H177" t="e">
        <f ca="1"/>
        <v>#VALUE!</v>
      </c>
      <c r="I177" t="e">
        <f ca="1"/>
        <v>#VALUE!</v>
      </c>
      <c r="J177" t="e">
        <f ca="1"/>
        <v>#VALUE!</v>
      </c>
      <c r="K177" t="e">
        <f ca="1"/>
        <v>#VALUE!</v>
      </c>
      <c r="L177" t="e">
        <f ca="1"/>
        <v>#VALUE!</v>
      </c>
      <c r="M177" t="e">
        <f ca="1"/>
        <v>#VALUE!</v>
      </c>
      <c r="N177" t="e">
        <f ca="1"/>
        <v>#VALUE!</v>
      </c>
      <c r="O177" t="e">
        <f ca="1"/>
        <v>#VALUE!</v>
      </c>
      <c r="P177" t="e">
        <f ca="1"/>
        <v>#VALUE!</v>
      </c>
      <c r="Q177" t="e">
        <f ca="1"/>
        <v>#VALUE!</v>
      </c>
    </row>
    <row r="178" spans="1:17" x14ac:dyDescent="0.25">
      <c r="A178" t="str">
        <f ca="1"/>
        <v>NOSGX</v>
      </c>
      <c r="B178" t="e">
        <f ca="1"/>
        <v>#VALUE!</v>
      </c>
      <c r="C178" t="e">
        <f ca="1"/>
        <v>#VALUE!</v>
      </c>
      <c r="D178" t="e">
        <f ca="1"/>
        <v>#VALUE!</v>
      </c>
      <c r="E178" t="e">
        <f ca="1"/>
        <v>#VALUE!</v>
      </c>
      <c r="F178" t="e">
        <f ca="1"/>
        <v>#VALUE!</v>
      </c>
      <c r="G178" t="e">
        <f ca="1"/>
        <v>#VALUE!</v>
      </c>
      <c r="H178" t="e">
        <f ca="1"/>
        <v>#VALUE!</v>
      </c>
      <c r="I178" t="e">
        <f ca="1"/>
        <v>#VALUE!</v>
      </c>
      <c r="J178" t="e">
        <f ca="1"/>
        <v>#VALUE!</v>
      </c>
      <c r="K178" t="e">
        <f ca="1"/>
        <v>#VALUE!</v>
      </c>
      <c r="L178" t="e">
        <f ca="1"/>
        <v>#VALUE!</v>
      </c>
      <c r="M178" t="e">
        <f ca="1"/>
        <v>#VALUE!</v>
      </c>
      <c r="N178" t="e">
        <f ca="1"/>
        <v>#VALUE!</v>
      </c>
      <c r="O178" t="e">
        <f ca="1"/>
        <v>#VALUE!</v>
      </c>
      <c r="P178" t="e">
        <f ca="1"/>
        <v>#VALUE!</v>
      </c>
      <c r="Q178" t="e">
        <f ca="1"/>
        <v>#VALUE!</v>
      </c>
    </row>
    <row r="179" spans="1:17" x14ac:dyDescent="0.25">
      <c r="A179" t="str">
        <f ca="1"/>
        <v>NSIOX</v>
      </c>
      <c r="B179" t="e">
        <f ca="1"/>
        <v>#VALUE!</v>
      </c>
      <c r="C179" t="e">
        <f ca="1"/>
        <v>#VALUE!</v>
      </c>
      <c r="D179" t="e">
        <f ca="1"/>
        <v>#VALUE!</v>
      </c>
      <c r="E179" t="e">
        <f ca="1"/>
        <v>#VALUE!</v>
      </c>
      <c r="F179" t="e">
        <f ca="1"/>
        <v>#VALUE!</v>
      </c>
      <c r="G179" t="e">
        <f ca="1"/>
        <v>#VALUE!</v>
      </c>
      <c r="H179" t="e">
        <f ca="1"/>
        <v>#VALUE!</v>
      </c>
      <c r="I179" t="e">
        <f ca="1"/>
        <v>#VALUE!</v>
      </c>
      <c r="J179" t="e">
        <f ca="1"/>
        <v>#VALUE!</v>
      </c>
      <c r="K179" t="e">
        <f ca="1"/>
        <v>#VALUE!</v>
      </c>
      <c r="L179" t="e">
        <f ca="1"/>
        <v>#VALUE!</v>
      </c>
      <c r="M179" t="e">
        <f ca="1"/>
        <v>#VALUE!</v>
      </c>
      <c r="N179" t="e">
        <f ca="1"/>
        <v>#VALUE!</v>
      </c>
      <c r="O179" t="e">
        <f ca="1"/>
        <v>#VALUE!</v>
      </c>
      <c r="P179" t="e">
        <f ca="1"/>
        <v>#VALUE!</v>
      </c>
      <c r="Q179" t="e">
        <f ca="1"/>
        <v>#VALUE!</v>
      </c>
    </row>
    <row r="180" spans="1:17" x14ac:dyDescent="0.25">
      <c r="A180" t="str">
        <f ca="1"/>
        <v>NSVAX</v>
      </c>
      <c r="B180" t="e">
        <f ca="1"/>
        <v>#VALUE!</v>
      </c>
      <c r="C180" t="e">
        <f ca="1"/>
        <v>#VALUE!</v>
      </c>
      <c r="D180" t="e">
        <f ca="1"/>
        <v>#VALUE!</v>
      </c>
      <c r="E180" t="e">
        <f ca="1"/>
        <v>#VALUE!</v>
      </c>
      <c r="F180" t="e">
        <f ca="1"/>
        <v>#VALUE!</v>
      </c>
      <c r="G180" t="e">
        <f ca="1"/>
        <v>#VALUE!</v>
      </c>
      <c r="H180" t="e">
        <f ca="1"/>
        <v>#VALUE!</v>
      </c>
      <c r="I180" t="e">
        <f ca="1"/>
        <v>#VALUE!</v>
      </c>
      <c r="J180" t="e">
        <f ca="1"/>
        <v>#VALUE!</v>
      </c>
      <c r="K180" t="e">
        <f ca="1"/>
        <v>#VALUE!</v>
      </c>
      <c r="L180" t="e">
        <f ca="1"/>
        <v>#VALUE!</v>
      </c>
      <c r="M180" t="e">
        <f ca="1"/>
        <v>#VALUE!</v>
      </c>
      <c r="N180" t="e">
        <f ca="1"/>
        <v>#VALUE!</v>
      </c>
      <c r="O180" t="e">
        <f ca="1"/>
        <v>#VALUE!</v>
      </c>
      <c r="P180" t="e">
        <f ca="1"/>
        <v>#VALUE!</v>
      </c>
      <c r="Q180" t="e">
        <f ca="1"/>
        <v>#VALUE!</v>
      </c>
    </row>
    <row r="181" spans="1:17" x14ac:dyDescent="0.25">
      <c r="A181" t="str">
        <f ca="1"/>
        <v>ODIYX</v>
      </c>
      <c r="B181" t="e">
        <f ca="1"/>
        <v>#VALUE!</v>
      </c>
      <c r="C181" t="e">
        <f ca="1"/>
        <v>#VALUE!</v>
      </c>
      <c r="D181" t="e">
        <f ca="1"/>
        <v>#VALUE!</v>
      </c>
      <c r="E181" t="e">
        <f ca="1"/>
        <v>#VALUE!</v>
      </c>
      <c r="F181" t="e">
        <f ca="1"/>
        <v>#VALUE!</v>
      </c>
      <c r="G181" t="e">
        <f ca="1"/>
        <v>#VALUE!</v>
      </c>
      <c r="H181" t="e">
        <f ca="1"/>
        <v>#VALUE!</v>
      </c>
      <c r="I181" t="e">
        <f ca="1"/>
        <v>#VALUE!</v>
      </c>
      <c r="J181" t="e">
        <f ca="1"/>
        <v>#VALUE!</v>
      </c>
      <c r="K181" t="e">
        <f ca="1"/>
        <v>#VALUE!</v>
      </c>
      <c r="L181" t="e">
        <f ca="1"/>
        <v>#VALUE!</v>
      </c>
      <c r="M181" t="e">
        <f ca="1"/>
        <v>#VALUE!</v>
      </c>
      <c r="N181" t="e">
        <f ca="1"/>
        <v>#VALUE!</v>
      </c>
      <c r="O181" t="e">
        <f ca="1"/>
        <v>#VALUE!</v>
      </c>
      <c r="P181" t="e">
        <f ca="1"/>
        <v>#VALUE!</v>
      </c>
      <c r="Q181" t="e">
        <f ca="1"/>
        <v>#VALUE!</v>
      </c>
    </row>
    <row r="182" spans="1:17" x14ac:dyDescent="0.25">
      <c r="A182" t="str">
        <f ca="1"/>
        <v>ODVYX</v>
      </c>
      <c r="B182" t="e">
        <f ca="1"/>
        <v>#VALUE!</v>
      </c>
      <c r="C182" t="e">
        <f ca="1"/>
        <v>#VALUE!</v>
      </c>
      <c r="D182" t="e">
        <f ca="1"/>
        <v>#VALUE!</v>
      </c>
      <c r="E182" t="e">
        <f ca="1"/>
        <v>#VALUE!</v>
      </c>
      <c r="F182" t="e">
        <f ca="1"/>
        <v>#VALUE!</v>
      </c>
      <c r="G182" t="e">
        <f ca="1"/>
        <v>#VALUE!</v>
      </c>
      <c r="H182" t="e">
        <f ca="1"/>
        <v>#VALUE!</v>
      </c>
      <c r="I182" t="e">
        <f ca="1"/>
        <v>#VALUE!</v>
      </c>
      <c r="J182" t="e">
        <f ca="1"/>
        <v>#VALUE!</v>
      </c>
      <c r="K182" t="e">
        <f ca="1"/>
        <v>#VALUE!</v>
      </c>
      <c r="L182" t="e">
        <f ca="1"/>
        <v>#VALUE!</v>
      </c>
      <c r="M182" t="e">
        <f ca="1"/>
        <v>#VALUE!</v>
      </c>
      <c r="N182" t="e">
        <f ca="1"/>
        <v>#VALUE!</v>
      </c>
      <c r="O182" t="e">
        <f ca="1"/>
        <v>#VALUE!</v>
      </c>
      <c r="P182" t="e">
        <f ca="1"/>
        <v>#VALUE!</v>
      </c>
      <c r="Q182" t="e">
        <f ca="1"/>
        <v>#VALUE!</v>
      </c>
    </row>
    <row r="183" spans="1:17" x14ac:dyDescent="0.25">
      <c r="A183" t="str">
        <f ca="1"/>
        <v>OIGIX</v>
      </c>
      <c r="B183" t="e">
        <f ca="1"/>
        <v>#VALUE!</v>
      </c>
      <c r="C183" t="e">
        <f ca="1"/>
        <v>#VALUE!</v>
      </c>
      <c r="D183" t="e">
        <f ca="1"/>
        <v>#VALUE!</v>
      </c>
      <c r="E183" t="e">
        <f ca="1"/>
        <v>#VALUE!</v>
      </c>
      <c r="F183" t="e">
        <f ca="1"/>
        <v>#VALUE!</v>
      </c>
      <c r="G183" t="e">
        <f ca="1"/>
        <v>#VALUE!</v>
      </c>
      <c r="H183" t="e">
        <f ca="1"/>
        <v>#VALUE!</v>
      </c>
      <c r="I183" t="e">
        <f ca="1"/>
        <v>#VALUE!</v>
      </c>
      <c r="J183" t="e">
        <f ca="1"/>
        <v>#VALUE!</v>
      </c>
      <c r="K183" t="e">
        <f ca="1"/>
        <v>#VALUE!</v>
      </c>
      <c r="L183" t="e">
        <f ca="1"/>
        <v>#VALUE!</v>
      </c>
      <c r="M183" t="e">
        <f ca="1"/>
        <v>#VALUE!</v>
      </c>
      <c r="N183" t="e">
        <f ca="1"/>
        <v>#VALUE!</v>
      </c>
      <c r="O183" t="e">
        <f ca="1"/>
        <v>#VALUE!</v>
      </c>
      <c r="P183" t="e">
        <f ca="1"/>
        <v>#VALUE!</v>
      </c>
      <c r="Q183" t="e">
        <f ca="1"/>
        <v>#VALUE!</v>
      </c>
    </row>
    <row r="184" spans="1:17" x14ac:dyDescent="0.25">
      <c r="A184" t="str">
        <f ca="1"/>
        <v>OIGYX</v>
      </c>
      <c r="B184" t="e">
        <f ca="1"/>
        <v>#VALUE!</v>
      </c>
      <c r="C184" t="e">
        <f ca="1"/>
        <v>#VALUE!</v>
      </c>
      <c r="D184" t="e">
        <f ca="1"/>
        <v>#VALUE!</v>
      </c>
      <c r="E184" t="e">
        <f ca="1"/>
        <v>#VALUE!</v>
      </c>
      <c r="F184" t="e">
        <f ca="1"/>
        <v>#VALUE!</v>
      </c>
      <c r="G184" t="e">
        <f ca="1"/>
        <v>#VALUE!</v>
      </c>
      <c r="H184" t="e">
        <f ca="1"/>
        <v>#VALUE!</v>
      </c>
      <c r="I184" t="e">
        <f ca="1"/>
        <v>#VALUE!</v>
      </c>
      <c r="J184" t="e">
        <f ca="1"/>
        <v>#VALUE!</v>
      </c>
      <c r="K184" t="e">
        <f ca="1"/>
        <v>#VALUE!</v>
      </c>
      <c r="L184" t="e">
        <f ca="1"/>
        <v>#VALUE!</v>
      </c>
      <c r="M184" t="e">
        <f ca="1"/>
        <v>#VALUE!</v>
      </c>
      <c r="N184" t="e">
        <f ca="1"/>
        <v>#VALUE!</v>
      </c>
      <c r="O184" t="e">
        <f ca="1"/>
        <v>#VALUE!</v>
      </c>
      <c r="P184" t="e">
        <f ca="1"/>
        <v>#VALUE!</v>
      </c>
      <c r="Q184" t="e">
        <f ca="1"/>
        <v>#VALUE!</v>
      </c>
    </row>
    <row r="185" spans="1:17" x14ac:dyDescent="0.25">
      <c r="A185" t="str">
        <f ca="1"/>
        <v>ORIAX</v>
      </c>
      <c r="B185" t="e">
        <f ca="1"/>
        <v>#VALUE!</v>
      </c>
      <c r="C185" t="e">
        <f ca="1"/>
        <v>#VALUE!</v>
      </c>
      <c r="D185" t="e">
        <f ca="1"/>
        <v>#VALUE!</v>
      </c>
      <c r="E185" t="e">
        <f ca="1"/>
        <v>#VALUE!</v>
      </c>
      <c r="F185" t="e">
        <f ca="1"/>
        <v>#VALUE!</v>
      </c>
      <c r="G185" t="e">
        <f ca="1"/>
        <v>#VALUE!</v>
      </c>
      <c r="H185" t="e">
        <f ca="1"/>
        <v>#VALUE!</v>
      </c>
      <c r="I185" t="e">
        <f ca="1"/>
        <v>#VALUE!</v>
      </c>
      <c r="J185" t="e">
        <f ca="1"/>
        <v>#VALUE!</v>
      </c>
      <c r="K185" t="e">
        <f ca="1"/>
        <v>#VALUE!</v>
      </c>
      <c r="L185" t="e">
        <f ca="1"/>
        <v>#VALUE!</v>
      </c>
      <c r="M185" t="e">
        <f ca="1"/>
        <v>#VALUE!</v>
      </c>
      <c r="N185" t="e">
        <f ca="1"/>
        <v>#VALUE!</v>
      </c>
      <c r="O185" t="e">
        <f ca="1"/>
        <v>#VALUE!</v>
      </c>
      <c r="P185" t="e">
        <f ca="1"/>
        <v>#VALUE!</v>
      </c>
      <c r="Q185" t="e">
        <f ca="1"/>
        <v>#VALUE!</v>
      </c>
    </row>
    <row r="186" spans="1:17" x14ac:dyDescent="0.25">
      <c r="A186" t="str">
        <f ca="1"/>
        <v>OSTIX</v>
      </c>
      <c r="B186" t="e">
        <f ca="1"/>
        <v>#VALUE!</v>
      </c>
      <c r="C186" t="e">
        <f ca="1"/>
        <v>#VALUE!</v>
      </c>
      <c r="D186" t="e">
        <f ca="1"/>
        <v>#VALUE!</v>
      </c>
      <c r="E186" t="e">
        <f ca="1"/>
        <v>#VALUE!</v>
      </c>
      <c r="F186" t="e">
        <f ca="1"/>
        <v>#VALUE!</v>
      </c>
      <c r="G186" t="e">
        <f ca="1"/>
        <v>#VALUE!</v>
      </c>
      <c r="H186" t="e">
        <f ca="1"/>
        <v>#VALUE!</v>
      </c>
      <c r="I186" t="e">
        <f ca="1"/>
        <v>#VALUE!</v>
      </c>
      <c r="J186" t="e">
        <f ca="1"/>
        <v>#VALUE!</v>
      </c>
      <c r="K186" t="e">
        <f ca="1"/>
        <v>#VALUE!</v>
      </c>
      <c r="L186" t="e">
        <f ca="1"/>
        <v>#VALUE!</v>
      </c>
      <c r="M186" t="e">
        <f ca="1"/>
        <v>#VALUE!</v>
      </c>
      <c r="N186" t="e">
        <f ca="1"/>
        <v>#VALUE!</v>
      </c>
      <c r="O186" t="e">
        <f ca="1"/>
        <v>#VALUE!</v>
      </c>
      <c r="P186" t="e">
        <f ca="1"/>
        <v>#VALUE!</v>
      </c>
      <c r="Q186" t="e">
        <f ca="1"/>
        <v>#VALUE!</v>
      </c>
    </row>
    <row r="187" spans="1:17" x14ac:dyDescent="0.25">
      <c r="A187" t="str">
        <f ca="1"/>
        <v>OTCAX</v>
      </c>
      <c r="B187" t="e">
        <f ca="1"/>
        <v>#VALUE!</v>
      </c>
      <c r="C187" t="e">
        <f ca="1"/>
        <v>#VALUE!</v>
      </c>
      <c r="D187" t="e">
        <f ca="1"/>
        <v>#VALUE!</v>
      </c>
      <c r="E187" t="e">
        <f ca="1"/>
        <v>#VALUE!</v>
      </c>
      <c r="F187" t="e">
        <f ca="1"/>
        <v>#VALUE!</v>
      </c>
      <c r="G187" t="e">
        <f ca="1"/>
        <v>#VALUE!</v>
      </c>
      <c r="H187" t="e">
        <f ca="1"/>
        <v>#VALUE!</v>
      </c>
      <c r="I187" t="e">
        <f ca="1"/>
        <v>#VALUE!</v>
      </c>
      <c r="J187" t="e">
        <f ca="1"/>
        <v>#VALUE!</v>
      </c>
      <c r="K187" t="e">
        <f ca="1"/>
        <v>#VALUE!</v>
      </c>
      <c r="L187" t="e">
        <f ca="1"/>
        <v>#VALUE!</v>
      </c>
      <c r="M187" t="e">
        <f ca="1"/>
        <v>#VALUE!</v>
      </c>
      <c r="N187" t="e">
        <f ca="1"/>
        <v>#VALUE!</v>
      </c>
      <c r="O187" t="e">
        <f ca="1"/>
        <v>#VALUE!</v>
      </c>
      <c r="P187" t="e">
        <f ca="1"/>
        <v>#VALUE!</v>
      </c>
      <c r="Q187" t="e">
        <f ca="1"/>
        <v>#VALUE!</v>
      </c>
    </row>
    <row r="188" spans="1:17" x14ac:dyDescent="0.25">
      <c r="A188" t="str">
        <f ca="1"/>
        <v>OTCIX</v>
      </c>
      <c r="B188" t="e">
        <f ca="1"/>
        <v>#VALUE!</v>
      </c>
      <c r="C188" t="e">
        <f ca="1"/>
        <v>#VALUE!</v>
      </c>
      <c r="D188" t="e">
        <f ca="1"/>
        <v>#VALUE!</v>
      </c>
      <c r="E188" t="e">
        <f ca="1"/>
        <v>#VALUE!</v>
      </c>
      <c r="F188" t="e">
        <f ca="1"/>
        <v>#VALUE!</v>
      </c>
      <c r="G188" t="e">
        <f ca="1"/>
        <v>#VALUE!</v>
      </c>
      <c r="H188" t="e">
        <f ca="1"/>
        <v>#VALUE!</v>
      </c>
      <c r="I188" t="e">
        <f ca="1"/>
        <v>#VALUE!</v>
      </c>
      <c r="J188" t="e">
        <f ca="1"/>
        <v>#VALUE!</v>
      </c>
      <c r="K188" t="e">
        <f ca="1"/>
        <v>#VALUE!</v>
      </c>
      <c r="L188" t="e">
        <f ca="1"/>
        <v>#VALUE!</v>
      </c>
      <c r="M188" t="e">
        <f ca="1"/>
        <v>#VALUE!</v>
      </c>
      <c r="N188" t="e">
        <f ca="1"/>
        <v>#VALUE!</v>
      </c>
      <c r="O188" t="e">
        <f ca="1"/>
        <v>#VALUE!</v>
      </c>
      <c r="P188" t="e">
        <f ca="1"/>
        <v>#VALUE!</v>
      </c>
      <c r="Q188" t="e">
        <f ca="1"/>
        <v>#VALUE!</v>
      </c>
    </row>
    <row r="189" spans="1:17" x14ac:dyDescent="0.25">
      <c r="A189" t="str">
        <f ca="1"/>
        <v>PAVE</v>
      </c>
      <c r="B189" t="str">
        <f ca="1"/>
        <v>etf</v>
      </c>
      <c r="C189" t="str">
        <f ca="1"/>
        <v>Global X US Infrastructure Development ETF</v>
      </c>
      <c r="D189" t="str">
        <f ca="1"/>
        <v>Industrials Equity</v>
      </c>
      <c r="E189" t="str">
        <f ca="1"/>
        <v>^SP15INSTR</v>
      </c>
      <c r="F189" t="str">
        <f ca="1"/>
        <v>S&amp;P 1500 Industrials (Sector) Total Return</v>
      </c>
      <c r="G189" t="str">
        <f ca="1"/>
        <v>Indxx U.S. Infrastructure Dev TR USD</v>
      </c>
      <c r="H189">
        <f ca="1"/>
        <v>-1.4834999999999999E-2</v>
      </c>
      <c r="I189">
        <f ca="1"/>
        <v>4.7040000000000016E-3</v>
      </c>
      <c r="J189">
        <f ca="1"/>
        <v>0.17926</v>
      </c>
      <c r="K189">
        <f ca="1"/>
        <v>9.8449999999999926E-3</v>
      </c>
      <c r="L189">
        <f ca="1"/>
        <v>0.17926</v>
      </c>
      <c r="M189">
        <f ca="1"/>
        <v>9.8449999999999926E-3</v>
      </c>
      <c r="N189">
        <f ca="1"/>
        <v>0.43407299999999999</v>
      </c>
      <c r="O189">
        <f ca="1"/>
        <v>0.11685299999999998</v>
      </c>
      <c r="P189">
        <f ca="1"/>
        <v>1.342006</v>
      </c>
      <c r="Q189">
        <f ca="1"/>
        <v>0.54445700000000008</v>
      </c>
    </row>
    <row r="190" spans="1:17" x14ac:dyDescent="0.25">
      <c r="A190" t="str">
        <f ca="1"/>
        <v>PCLIX</v>
      </c>
      <c r="B190" t="e">
        <f ca="1"/>
        <v>#VALUE!</v>
      </c>
      <c r="C190" t="e">
        <f ca="1"/>
        <v>#VALUE!</v>
      </c>
      <c r="D190" t="e">
        <f ca="1"/>
        <v>#VALUE!</v>
      </c>
      <c r="E190" t="e">
        <f ca="1"/>
        <v>#VALUE!</v>
      </c>
      <c r="F190" t="e">
        <f ca="1"/>
        <v>#VALUE!</v>
      </c>
      <c r="G190" t="e">
        <f ca="1"/>
        <v>#VALUE!</v>
      </c>
      <c r="H190" t="e">
        <f ca="1"/>
        <v>#VALUE!</v>
      </c>
      <c r="I190" t="e">
        <f ca="1"/>
        <v>#VALUE!</v>
      </c>
      <c r="J190" t="e">
        <f ca="1"/>
        <v>#VALUE!</v>
      </c>
      <c r="K190" t="e">
        <f ca="1"/>
        <v>#VALUE!</v>
      </c>
      <c r="L190" t="e">
        <f ca="1"/>
        <v>#VALUE!</v>
      </c>
      <c r="M190" t="e">
        <f ca="1"/>
        <v>#VALUE!</v>
      </c>
      <c r="N190" t="e">
        <f ca="1"/>
        <v>#VALUE!</v>
      </c>
      <c r="O190" t="e">
        <f ca="1"/>
        <v>#VALUE!</v>
      </c>
      <c r="P190" t="e">
        <f ca="1"/>
        <v>#VALUE!</v>
      </c>
      <c r="Q190" t="e">
        <f ca="1"/>
        <v>#VALUE!</v>
      </c>
    </row>
    <row r="191" spans="1:17" x14ac:dyDescent="0.25">
      <c r="A191" t="str">
        <f ca="1"/>
        <v>PDBZX</v>
      </c>
      <c r="B191" t="e">
        <f ca="1"/>
        <v>#VALUE!</v>
      </c>
      <c r="C191" t="e">
        <f ca="1"/>
        <v>#VALUE!</v>
      </c>
      <c r="D191" t="e">
        <f ca="1"/>
        <v>#VALUE!</v>
      </c>
      <c r="E191" t="e">
        <f ca="1"/>
        <v>#VALUE!</v>
      </c>
      <c r="F191" t="e">
        <f ca="1"/>
        <v>#VALUE!</v>
      </c>
      <c r="G191" t="e">
        <f ca="1"/>
        <v>#VALUE!</v>
      </c>
      <c r="H191" t="e">
        <f ca="1"/>
        <v>#VALUE!</v>
      </c>
      <c r="I191" t="e">
        <f ca="1"/>
        <v>#VALUE!</v>
      </c>
      <c r="J191" t="e">
        <f ca="1"/>
        <v>#VALUE!</v>
      </c>
      <c r="K191" t="e">
        <f ca="1"/>
        <v>#VALUE!</v>
      </c>
      <c r="L191" t="e">
        <f ca="1"/>
        <v>#VALUE!</v>
      </c>
      <c r="M191" t="e">
        <f ca="1"/>
        <v>#VALUE!</v>
      </c>
      <c r="N191" t="e">
        <f ca="1"/>
        <v>#VALUE!</v>
      </c>
      <c r="O191" t="e">
        <f ca="1"/>
        <v>#VALUE!</v>
      </c>
      <c r="P191" t="e">
        <f ca="1"/>
        <v>#VALUE!</v>
      </c>
      <c r="Q191" t="e">
        <f ca="1"/>
        <v>#VALUE!</v>
      </c>
    </row>
    <row r="192" spans="1:17" x14ac:dyDescent="0.25">
      <c r="A192" t="str">
        <f ca="1"/>
        <v>PICYX</v>
      </c>
      <c r="B192" t="e">
        <f ca="1"/>
        <v>#VALUE!</v>
      </c>
      <c r="C192" t="e">
        <f ca="1"/>
        <v>#VALUE!</v>
      </c>
      <c r="D192" t="e">
        <f ca="1"/>
        <v>#VALUE!</v>
      </c>
      <c r="E192" t="e">
        <f ca="1"/>
        <v>#VALUE!</v>
      </c>
      <c r="F192" t="e">
        <f ca="1"/>
        <v>#VALUE!</v>
      </c>
      <c r="G192" t="e">
        <f ca="1"/>
        <v>#VALUE!</v>
      </c>
      <c r="H192" t="e">
        <f ca="1"/>
        <v>#VALUE!</v>
      </c>
      <c r="I192" t="e">
        <f ca="1"/>
        <v>#VALUE!</v>
      </c>
      <c r="J192" t="e">
        <f ca="1"/>
        <v>#VALUE!</v>
      </c>
      <c r="K192" t="e">
        <f ca="1"/>
        <v>#VALUE!</v>
      </c>
      <c r="L192" t="e">
        <f ca="1"/>
        <v>#VALUE!</v>
      </c>
      <c r="M192" t="e">
        <f ca="1"/>
        <v>#VALUE!</v>
      </c>
      <c r="N192" t="e">
        <f ca="1"/>
        <v>#VALUE!</v>
      </c>
      <c r="O192" t="e">
        <f ca="1"/>
        <v>#VALUE!</v>
      </c>
      <c r="P192" t="e">
        <f ca="1"/>
        <v>#VALUE!</v>
      </c>
      <c r="Q192" t="e">
        <f ca="1"/>
        <v>#VALUE!</v>
      </c>
    </row>
    <row r="193" spans="1:17" x14ac:dyDescent="0.25">
      <c r="A193" t="str">
        <f ca="1"/>
        <v>PIGIX</v>
      </c>
      <c r="B193" t="e">
        <f ca="1"/>
        <v>#VALUE!</v>
      </c>
      <c r="C193" t="e">
        <f ca="1"/>
        <v>#VALUE!</v>
      </c>
      <c r="D193" t="e">
        <f ca="1"/>
        <v>#VALUE!</v>
      </c>
      <c r="E193" t="e">
        <f ca="1"/>
        <v>#VALUE!</v>
      </c>
      <c r="F193" t="e">
        <f ca="1"/>
        <v>#VALUE!</v>
      </c>
      <c r="G193" t="e">
        <f ca="1"/>
        <v>#VALUE!</v>
      </c>
      <c r="H193" t="e">
        <f ca="1"/>
        <v>#VALUE!</v>
      </c>
      <c r="I193" t="e">
        <f ca="1"/>
        <v>#VALUE!</v>
      </c>
      <c r="J193" t="e">
        <f ca="1"/>
        <v>#VALUE!</v>
      </c>
      <c r="K193" t="e">
        <f ca="1"/>
        <v>#VALUE!</v>
      </c>
      <c r="L193" t="e">
        <f ca="1"/>
        <v>#VALUE!</v>
      </c>
      <c r="M193" t="e">
        <f ca="1"/>
        <v>#VALUE!</v>
      </c>
      <c r="N193" t="e">
        <f ca="1"/>
        <v>#VALUE!</v>
      </c>
      <c r="O193" t="e">
        <f ca="1"/>
        <v>#VALUE!</v>
      </c>
      <c r="P193" t="e">
        <f ca="1"/>
        <v>#VALUE!</v>
      </c>
      <c r="Q193" t="e">
        <f ca="1"/>
        <v>#VALUE!</v>
      </c>
    </row>
    <row r="194" spans="1:17" x14ac:dyDescent="0.25">
      <c r="A194" t="str">
        <f ca="1"/>
        <v>PIMIX</v>
      </c>
      <c r="B194" t="e">
        <f ca="1"/>
        <v>#VALUE!</v>
      </c>
      <c r="C194" t="e">
        <f ca="1"/>
        <v>#VALUE!</v>
      </c>
      <c r="D194" t="e">
        <f ca="1"/>
        <v>#VALUE!</v>
      </c>
      <c r="E194" t="e">
        <f ca="1"/>
        <v>#VALUE!</v>
      </c>
      <c r="F194" t="e">
        <f ca="1"/>
        <v>#VALUE!</v>
      </c>
      <c r="G194" t="e">
        <f ca="1"/>
        <v>#VALUE!</v>
      </c>
      <c r="H194" t="e">
        <f ca="1"/>
        <v>#VALUE!</v>
      </c>
      <c r="I194" t="e">
        <f ca="1"/>
        <v>#VALUE!</v>
      </c>
      <c r="J194" t="e">
        <f ca="1"/>
        <v>#VALUE!</v>
      </c>
      <c r="K194" t="e">
        <f ca="1"/>
        <v>#VALUE!</v>
      </c>
      <c r="L194" t="e">
        <f ca="1"/>
        <v>#VALUE!</v>
      </c>
      <c r="M194" t="e">
        <f ca="1"/>
        <v>#VALUE!</v>
      </c>
      <c r="N194" t="e">
        <f ca="1"/>
        <v>#VALUE!</v>
      </c>
      <c r="O194" t="e">
        <f ca="1"/>
        <v>#VALUE!</v>
      </c>
      <c r="P194" t="e">
        <f ca="1"/>
        <v>#VALUE!</v>
      </c>
      <c r="Q194" t="e">
        <f ca="1"/>
        <v>#VALUE!</v>
      </c>
    </row>
    <row r="195" spans="1:17" x14ac:dyDescent="0.25">
      <c r="A195" t="str">
        <f ca="1"/>
        <v>PJSQX</v>
      </c>
      <c r="B195" t="e">
        <f ca="1"/>
        <v>#VALUE!</v>
      </c>
      <c r="C195" t="e">
        <f ca="1"/>
        <v>#VALUE!</v>
      </c>
      <c r="D195" t="e">
        <f ca="1"/>
        <v>#VALUE!</v>
      </c>
      <c r="E195" t="e">
        <f ca="1"/>
        <v>#VALUE!</v>
      </c>
      <c r="F195" t="e">
        <f ca="1"/>
        <v>#VALUE!</v>
      </c>
      <c r="G195" t="e">
        <f ca="1"/>
        <v>#VALUE!</v>
      </c>
      <c r="H195" t="e">
        <f ca="1"/>
        <v>#VALUE!</v>
      </c>
      <c r="I195" t="e">
        <f ca="1"/>
        <v>#VALUE!</v>
      </c>
      <c r="J195" t="e">
        <f ca="1"/>
        <v>#VALUE!</v>
      </c>
      <c r="K195" t="e">
        <f ca="1"/>
        <v>#VALUE!</v>
      </c>
      <c r="L195" t="e">
        <f ca="1"/>
        <v>#VALUE!</v>
      </c>
      <c r="M195" t="e">
        <f ca="1"/>
        <v>#VALUE!</v>
      </c>
      <c r="N195" t="e">
        <f ca="1"/>
        <v>#VALUE!</v>
      </c>
      <c r="O195" t="e">
        <f ca="1"/>
        <v>#VALUE!</v>
      </c>
      <c r="P195" t="e">
        <f ca="1"/>
        <v>#VALUE!</v>
      </c>
      <c r="Q195" t="e">
        <f ca="1"/>
        <v>#VALUE!</v>
      </c>
    </row>
    <row r="196" spans="1:17" x14ac:dyDescent="0.25">
      <c r="A196" t="str">
        <f ca="1"/>
        <v>PNCYX</v>
      </c>
      <c r="B196" t="e">
        <f ca="1"/>
        <v>#VALUE!</v>
      </c>
      <c r="C196" t="e">
        <f ca="1"/>
        <v>#VALUE!</v>
      </c>
      <c r="D196" t="e">
        <f ca="1"/>
        <v>#VALUE!</v>
      </c>
      <c r="E196" t="e">
        <f ca="1"/>
        <v>#VALUE!</v>
      </c>
      <c r="F196" t="e">
        <f ca="1"/>
        <v>#VALUE!</v>
      </c>
      <c r="G196" t="e">
        <f ca="1"/>
        <v>#VALUE!</v>
      </c>
      <c r="H196" t="e">
        <f ca="1"/>
        <v>#VALUE!</v>
      </c>
      <c r="I196" t="e">
        <f ca="1"/>
        <v>#VALUE!</v>
      </c>
      <c r="J196" t="e">
        <f ca="1"/>
        <v>#VALUE!</v>
      </c>
      <c r="K196" t="e">
        <f ca="1"/>
        <v>#VALUE!</v>
      </c>
      <c r="L196" t="e">
        <f ca="1"/>
        <v>#VALUE!</v>
      </c>
      <c r="M196" t="e">
        <f ca="1"/>
        <v>#VALUE!</v>
      </c>
      <c r="N196" t="e">
        <f ca="1"/>
        <v>#VALUE!</v>
      </c>
      <c r="O196" t="e">
        <f ca="1"/>
        <v>#VALUE!</v>
      </c>
      <c r="P196" t="e">
        <f ca="1"/>
        <v>#VALUE!</v>
      </c>
      <c r="Q196" t="e">
        <f ca="1"/>
        <v>#VALUE!</v>
      </c>
    </row>
    <row r="197" spans="1:17" x14ac:dyDescent="0.25">
      <c r="A197" t="str">
        <f ca="1"/>
        <v>PPA</v>
      </c>
      <c r="B197" t="str">
        <f ca="1"/>
        <v>etf</v>
      </c>
      <c r="C197" t="str">
        <f ca="1"/>
        <v>Invesco Aerospace &amp; Defense ETF</v>
      </c>
      <c r="D197" t="str">
        <f ca="1"/>
        <v>Industrials Equity</v>
      </c>
      <c r="E197" t="str">
        <f ca="1"/>
        <v>^SP15INSTR</v>
      </c>
      <c r="F197" t="str">
        <f ca="1"/>
        <v>S&amp;P 1500 Industrials (Sector) Total Return</v>
      </c>
      <c r="G197" t="str">
        <f ca="1"/>
        <v>SPADE Defense TR USD</v>
      </c>
      <c r="H197">
        <f ca="1"/>
        <v>5.9699999999999998E-4</v>
      </c>
      <c r="I197">
        <f ca="1"/>
        <v>2.0136000000000001E-2</v>
      </c>
      <c r="J197">
        <f ca="1"/>
        <v>0.25283699999999998</v>
      </c>
      <c r="K197">
        <f ca="1"/>
        <v>8.3421999999999968E-2</v>
      </c>
      <c r="L197">
        <f ca="1"/>
        <v>0.25283699999999998</v>
      </c>
      <c r="M197">
        <f ca="1"/>
        <v>8.3421999999999968E-2</v>
      </c>
      <c r="N197">
        <f ca="1"/>
        <v>0.62450499999999998</v>
      </c>
      <c r="O197">
        <f ca="1"/>
        <v>0.30728499999999997</v>
      </c>
      <c r="P197">
        <f ca="1"/>
        <v>0.74810399999999999</v>
      </c>
      <c r="Q197">
        <f ca="1"/>
        <v>-4.9444999999999961E-2</v>
      </c>
    </row>
    <row r="198" spans="1:17" x14ac:dyDescent="0.25">
      <c r="A198" t="str">
        <f ca="1"/>
        <v>PRHSX</v>
      </c>
      <c r="B198" t="e">
        <f ca="1"/>
        <v>#VALUE!</v>
      </c>
      <c r="C198" t="e">
        <f ca="1"/>
        <v>#VALUE!</v>
      </c>
      <c r="D198" t="e">
        <f ca="1"/>
        <v>#VALUE!</v>
      </c>
      <c r="E198" t="e">
        <f ca="1"/>
        <v>#VALUE!</v>
      </c>
      <c r="F198" t="e">
        <f ca="1"/>
        <v>#VALUE!</v>
      </c>
      <c r="G198" t="e">
        <f ca="1"/>
        <v>#VALUE!</v>
      </c>
      <c r="H198" t="e">
        <f ca="1"/>
        <v>#VALUE!</v>
      </c>
      <c r="I198" t="e">
        <f ca="1"/>
        <v>#VALUE!</v>
      </c>
      <c r="J198" t="e">
        <f ca="1"/>
        <v>#VALUE!</v>
      </c>
      <c r="K198" t="e">
        <f ca="1"/>
        <v>#VALUE!</v>
      </c>
      <c r="L198" t="e">
        <f ca="1"/>
        <v>#VALUE!</v>
      </c>
      <c r="M198" t="e">
        <f ca="1"/>
        <v>#VALUE!</v>
      </c>
      <c r="N198" t="e">
        <f ca="1"/>
        <v>#VALUE!</v>
      </c>
      <c r="O198" t="e">
        <f ca="1"/>
        <v>#VALUE!</v>
      </c>
      <c r="P198" t="e">
        <f ca="1"/>
        <v>#VALUE!</v>
      </c>
      <c r="Q198" t="e">
        <f ca="1"/>
        <v>#VALUE!</v>
      </c>
    </row>
    <row r="199" spans="1:17" x14ac:dyDescent="0.25">
      <c r="A199" t="str">
        <f ca="1"/>
        <v>PSCT</v>
      </c>
      <c r="B199" t="str">
        <f ca="1"/>
        <v>etf</v>
      </c>
      <c r="C199" t="str">
        <f ca="1"/>
        <v>Invesco S&amp;P SmallCap Information Tech ETF</v>
      </c>
      <c r="D199" t="str">
        <f ca="1"/>
        <v>Financials Equity</v>
      </c>
      <c r="E199" t="str">
        <f ca="1"/>
        <v>^SP15FINSTR</v>
      </c>
      <c r="F199" t="str">
        <f ca="1"/>
        <v>S&amp;P 1500 Financials (Sector) Total Return</v>
      </c>
      <c r="G199" t="str">
        <f ca="1"/>
        <v>S&amp;P Small 600Cap Info Tech TR USD</v>
      </c>
      <c r="H199">
        <f ca="1"/>
        <v>-3.2699999999999999E-3</v>
      </c>
      <c r="I199">
        <f ca="1"/>
        <v>-7.2484999999999994E-2</v>
      </c>
      <c r="J199">
        <f ca="1"/>
        <v>-1.0649E-2</v>
      </c>
      <c r="K199">
        <f ca="1"/>
        <v>-0.30848000000000003</v>
      </c>
      <c r="L199">
        <f ca="1"/>
        <v>-1.0649E-2</v>
      </c>
      <c r="M199">
        <f ca="1"/>
        <v>-0.30848000000000003</v>
      </c>
      <c r="N199">
        <f ca="1"/>
        <v>-7.3647000000000004E-2</v>
      </c>
      <c r="O199">
        <f ca="1"/>
        <v>-0.37577199999999999</v>
      </c>
      <c r="P199">
        <f ca="1"/>
        <v>0.49465599999999998</v>
      </c>
      <c r="Q199">
        <f ca="1"/>
        <v>-0.22389199999999998</v>
      </c>
    </row>
    <row r="200" spans="1:17" x14ac:dyDescent="0.25">
      <c r="A200" t="str">
        <f ca="1"/>
        <v>PTIAX</v>
      </c>
      <c r="B200" t="e">
        <f ca="1"/>
        <v>#VALUE!</v>
      </c>
      <c r="C200" t="e">
        <f ca="1"/>
        <v>#VALUE!</v>
      </c>
      <c r="D200" t="e">
        <f ca="1"/>
        <v>#VALUE!</v>
      </c>
      <c r="E200" t="e">
        <f ca="1"/>
        <v>#VALUE!</v>
      </c>
      <c r="F200" t="e">
        <f ca="1"/>
        <v>#VALUE!</v>
      </c>
      <c r="G200" t="e">
        <f ca="1"/>
        <v>#VALUE!</v>
      </c>
      <c r="H200" t="e">
        <f ca="1"/>
        <v>#VALUE!</v>
      </c>
      <c r="I200" t="e">
        <f ca="1"/>
        <v>#VALUE!</v>
      </c>
      <c r="J200" t="e">
        <f ca="1"/>
        <v>#VALUE!</v>
      </c>
      <c r="K200" t="e">
        <f ca="1"/>
        <v>#VALUE!</v>
      </c>
      <c r="L200" t="e">
        <f ca="1"/>
        <v>#VALUE!</v>
      </c>
      <c r="M200" t="e">
        <f ca="1"/>
        <v>#VALUE!</v>
      </c>
      <c r="N200" t="e">
        <f ca="1"/>
        <v>#VALUE!</v>
      </c>
      <c r="O200" t="e">
        <f ca="1"/>
        <v>#VALUE!</v>
      </c>
      <c r="P200" t="e">
        <f ca="1"/>
        <v>#VALUE!</v>
      </c>
      <c r="Q200" t="e">
        <f ca="1"/>
        <v>#VALUE!</v>
      </c>
    </row>
    <row r="201" spans="1:17" x14ac:dyDescent="0.25">
      <c r="A201" t="str">
        <f ca="1"/>
        <v>PXNIX</v>
      </c>
      <c r="B201" t="e">
        <f ca="1"/>
        <v>#VALUE!</v>
      </c>
      <c r="C201" t="e">
        <f ca="1"/>
        <v>#VALUE!</v>
      </c>
      <c r="D201" t="e">
        <f ca="1"/>
        <v>#VALUE!</v>
      </c>
      <c r="E201" t="e">
        <f ca="1"/>
        <v>#VALUE!</v>
      </c>
      <c r="F201" t="e">
        <f ca="1"/>
        <v>#VALUE!</v>
      </c>
      <c r="G201" t="e">
        <f ca="1"/>
        <v>#VALUE!</v>
      </c>
      <c r="H201" t="e">
        <f ca="1"/>
        <v>#VALUE!</v>
      </c>
      <c r="I201" t="e">
        <f ca="1"/>
        <v>#VALUE!</v>
      </c>
      <c r="J201" t="e">
        <f ca="1"/>
        <v>#VALUE!</v>
      </c>
      <c r="K201" t="e">
        <f ca="1"/>
        <v>#VALUE!</v>
      </c>
      <c r="L201" t="e">
        <f ca="1"/>
        <v>#VALUE!</v>
      </c>
      <c r="M201" t="e">
        <f ca="1"/>
        <v>#VALUE!</v>
      </c>
      <c r="N201" t="e">
        <f ca="1"/>
        <v>#VALUE!</v>
      </c>
      <c r="O201" t="e">
        <f ca="1"/>
        <v>#VALUE!</v>
      </c>
      <c r="P201" t="e">
        <f ca="1"/>
        <v>#VALUE!</v>
      </c>
      <c r="Q201" t="e">
        <f ca="1"/>
        <v>#VALUE!</v>
      </c>
    </row>
    <row r="202" spans="1:17" x14ac:dyDescent="0.25">
      <c r="A202" t="str">
        <f ca="1"/>
        <v>QMNIX</v>
      </c>
      <c r="B202" t="e">
        <f ca="1"/>
        <v>#VALUE!</v>
      </c>
      <c r="C202" t="e">
        <f ca="1"/>
        <v>#VALUE!</v>
      </c>
      <c r="D202" t="e">
        <f ca="1"/>
        <v>#VALUE!</v>
      </c>
      <c r="E202" t="e">
        <f ca="1"/>
        <v>#VALUE!</v>
      </c>
      <c r="F202" t="e">
        <f ca="1"/>
        <v>#VALUE!</v>
      </c>
      <c r="G202" t="e">
        <f ca="1"/>
        <v>#VALUE!</v>
      </c>
      <c r="H202" t="e">
        <f ca="1"/>
        <v>#VALUE!</v>
      </c>
      <c r="I202" t="e">
        <f ca="1"/>
        <v>#VALUE!</v>
      </c>
      <c r="J202" t="e">
        <f ca="1"/>
        <v>#VALUE!</v>
      </c>
      <c r="K202" t="e">
        <f ca="1"/>
        <v>#VALUE!</v>
      </c>
      <c r="L202" t="e">
        <f ca="1"/>
        <v>#VALUE!</v>
      </c>
      <c r="M202" t="e">
        <f ca="1"/>
        <v>#VALUE!</v>
      </c>
      <c r="N202" t="e">
        <f ca="1"/>
        <v>#VALUE!</v>
      </c>
      <c r="O202" t="e">
        <f ca="1"/>
        <v>#VALUE!</v>
      </c>
      <c r="P202" t="e">
        <f ca="1"/>
        <v>#VALUE!</v>
      </c>
      <c r="Q202" t="e">
        <f ca="1"/>
        <v>#VALUE!</v>
      </c>
    </row>
    <row r="203" spans="1:17" x14ac:dyDescent="0.25">
      <c r="A203" t="str">
        <f ca="1"/>
        <v>QNTIX</v>
      </c>
      <c r="B203" t="e">
        <f ca="1"/>
        <v>#VALUE!</v>
      </c>
      <c r="C203" t="e">
        <f ca="1"/>
        <v>#VALUE!</v>
      </c>
      <c r="D203" t="e">
        <f ca="1"/>
        <v>#VALUE!</v>
      </c>
      <c r="E203" t="e">
        <f ca="1"/>
        <v>#VALUE!</v>
      </c>
      <c r="F203" t="e">
        <f ca="1"/>
        <v>#VALUE!</v>
      </c>
      <c r="G203" t="e">
        <f ca="1"/>
        <v>#VALUE!</v>
      </c>
      <c r="H203" t="e">
        <f ca="1"/>
        <v>#VALUE!</v>
      </c>
      <c r="I203" t="e">
        <f ca="1"/>
        <v>#VALUE!</v>
      </c>
      <c r="J203" t="e">
        <f ca="1"/>
        <v>#VALUE!</v>
      </c>
      <c r="K203" t="e">
        <f ca="1"/>
        <v>#VALUE!</v>
      </c>
      <c r="L203" t="e">
        <f ca="1"/>
        <v>#VALUE!</v>
      </c>
      <c r="M203" t="e">
        <f ca="1"/>
        <v>#VALUE!</v>
      </c>
      <c r="N203" t="e">
        <f ca="1"/>
        <v>#VALUE!</v>
      </c>
      <c r="O203" t="e">
        <f ca="1"/>
        <v>#VALUE!</v>
      </c>
      <c r="P203" t="e">
        <f ca="1"/>
        <v>#VALUE!</v>
      </c>
      <c r="Q203" t="e">
        <f ca="1"/>
        <v>#VALUE!</v>
      </c>
    </row>
    <row r="204" spans="1:17" x14ac:dyDescent="0.25">
      <c r="A204" t="str">
        <f ca="1"/>
        <v>QQQ</v>
      </c>
      <c r="B204" t="str">
        <f ca="1"/>
        <v>etf</v>
      </c>
      <c r="C204" t="str">
        <f ca="1"/>
        <v>Invesco QQQ Trust, Series 1</v>
      </c>
      <c r="D204" t="str">
        <f ca="1"/>
        <v>US Large Cap Growth</v>
      </c>
      <c r="E204" t="str">
        <f ca="1"/>
        <v>^RLGTR</v>
      </c>
      <c r="F204" t="str">
        <f ca="1"/>
        <v>Russell 1000 Growth Total Return</v>
      </c>
      <c r="G204" t="str">
        <f ca="1"/>
        <v>NASDAQ 100 TR USD</v>
      </c>
      <c r="H204">
        <f ca="1"/>
        <v>4.9124000000000001E-2</v>
      </c>
      <c r="I204">
        <f ca="1"/>
        <v>-2.1581000000000003E-2</v>
      </c>
      <c r="J204">
        <f ca="1"/>
        <v>0.25576399999999999</v>
      </c>
      <c r="K204">
        <f ca="1"/>
        <v>-7.7798000000000034E-2</v>
      </c>
      <c r="L204">
        <f ca="1"/>
        <v>0.25576399999999999</v>
      </c>
      <c r="M204">
        <f ca="1"/>
        <v>-7.7798000000000034E-2</v>
      </c>
      <c r="N204">
        <f ca="1"/>
        <v>0.31106699999999998</v>
      </c>
      <c r="O204">
        <f ca="1"/>
        <v>-3.724700000000003E-2</v>
      </c>
      <c r="P204">
        <f ca="1"/>
        <v>1.482774</v>
      </c>
      <c r="Q204">
        <f ca="1"/>
        <v>0.10013800000000006</v>
      </c>
    </row>
    <row r="205" spans="1:17" x14ac:dyDescent="0.25">
      <c r="A205" t="str">
        <f ca="1"/>
        <v>QUAIX</v>
      </c>
      <c r="B205" t="e">
        <f ca="1"/>
        <v>#VALUE!</v>
      </c>
      <c r="C205" t="e">
        <f ca="1"/>
        <v>#VALUE!</v>
      </c>
      <c r="D205" t="e">
        <f ca="1"/>
        <v>#VALUE!</v>
      </c>
      <c r="E205" t="e">
        <f ca="1"/>
        <v>#VALUE!</v>
      </c>
      <c r="F205" t="e">
        <f ca="1"/>
        <v>#VALUE!</v>
      </c>
      <c r="G205" t="e">
        <f ca="1"/>
        <v>#VALUE!</v>
      </c>
      <c r="H205" t="e">
        <f ca="1"/>
        <v>#VALUE!</v>
      </c>
      <c r="I205" t="e">
        <f ca="1"/>
        <v>#VALUE!</v>
      </c>
      <c r="J205" t="e">
        <f ca="1"/>
        <v>#VALUE!</v>
      </c>
      <c r="K205" t="e">
        <f ca="1"/>
        <v>#VALUE!</v>
      </c>
      <c r="L205" t="e">
        <f ca="1"/>
        <v>#VALUE!</v>
      </c>
      <c r="M205" t="e">
        <f ca="1"/>
        <v>#VALUE!</v>
      </c>
      <c r="N205" t="e">
        <f ca="1"/>
        <v>#VALUE!</v>
      </c>
      <c r="O205" t="e">
        <f ca="1"/>
        <v>#VALUE!</v>
      </c>
      <c r="P205" t="e">
        <f ca="1"/>
        <v>#VALUE!</v>
      </c>
      <c r="Q205" t="e">
        <f ca="1"/>
        <v>#VALUE!</v>
      </c>
    </row>
    <row r="206" spans="1:17" x14ac:dyDescent="0.25">
      <c r="A206" t="str">
        <f ca="1"/>
        <v>QUASX</v>
      </c>
      <c r="B206" t="e">
        <f ca="1"/>
        <v>#VALUE!</v>
      </c>
      <c r="C206" t="e">
        <f ca="1"/>
        <v>#VALUE!</v>
      </c>
      <c r="D206" t="e">
        <f ca="1"/>
        <v>#VALUE!</v>
      </c>
      <c r="E206" t="e">
        <f ca="1"/>
        <v>#VALUE!</v>
      </c>
      <c r="F206" t="e">
        <f ca="1"/>
        <v>#VALUE!</v>
      </c>
      <c r="G206" t="e">
        <f ca="1"/>
        <v>#VALUE!</v>
      </c>
      <c r="H206" t="e">
        <f ca="1"/>
        <v>#VALUE!</v>
      </c>
      <c r="I206" t="e">
        <f ca="1"/>
        <v>#VALUE!</v>
      </c>
      <c r="J206" t="e">
        <f ca="1"/>
        <v>#VALUE!</v>
      </c>
      <c r="K206" t="e">
        <f ca="1"/>
        <v>#VALUE!</v>
      </c>
      <c r="L206" t="e">
        <f ca="1"/>
        <v>#VALUE!</v>
      </c>
      <c r="M206" t="e">
        <f ca="1"/>
        <v>#VALUE!</v>
      </c>
      <c r="N206" t="e">
        <f ca="1"/>
        <v>#VALUE!</v>
      </c>
      <c r="O206" t="e">
        <f ca="1"/>
        <v>#VALUE!</v>
      </c>
      <c r="P206" t="e">
        <f ca="1"/>
        <v>#VALUE!</v>
      </c>
      <c r="Q206" t="e">
        <f ca="1"/>
        <v>#VALUE!</v>
      </c>
    </row>
    <row r="207" spans="1:17" x14ac:dyDescent="0.25">
      <c r="A207" t="str">
        <f ca="1"/>
        <v>QUAYX</v>
      </c>
      <c r="B207" t="e">
        <f ca="1"/>
        <v>#VALUE!</v>
      </c>
      <c r="C207" t="e">
        <f ca="1"/>
        <v>#VALUE!</v>
      </c>
      <c r="D207" t="e">
        <f ca="1"/>
        <v>#VALUE!</v>
      </c>
      <c r="E207" t="e">
        <f ca="1"/>
        <v>#VALUE!</v>
      </c>
      <c r="F207" t="e">
        <f ca="1"/>
        <v>#VALUE!</v>
      </c>
      <c r="G207" t="e">
        <f ca="1"/>
        <v>#VALUE!</v>
      </c>
      <c r="H207" t="e">
        <f ca="1"/>
        <v>#VALUE!</v>
      </c>
      <c r="I207" t="e">
        <f ca="1"/>
        <v>#VALUE!</v>
      </c>
      <c r="J207" t="e">
        <f ca="1"/>
        <v>#VALUE!</v>
      </c>
      <c r="K207" t="e">
        <f ca="1"/>
        <v>#VALUE!</v>
      </c>
      <c r="L207" t="e">
        <f ca="1"/>
        <v>#VALUE!</v>
      </c>
      <c r="M207" t="e">
        <f ca="1"/>
        <v>#VALUE!</v>
      </c>
      <c r="N207" t="e">
        <f ca="1"/>
        <v>#VALUE!</v>
      </c>
      <c r="O207" t="e">
        <f ca="1"/>
        <v>#VALUE!</v>
      </c>
      <c r="P207" t="e">
        <f ca="1"/>
        <v>#VALUE!</v>
      </c>
      <c r="Q207" t="e">
        <f ca="1"/>
        <v>#VALUE!</v>
      </c>
    </row>
    <row r="208" spans="1:17" x14ac:dyDescent="0.25">
      <c r="A208" t="str">
        <f ca="1"/>
        <v>RSYEX</v>
      </c>
      <c r="B208" t="e">
        <f ca="1"/>
        <v>#VALUE!</v>
      </c>
      <c r="C208" t="e">
        <f ca="1"/>
        <v>#VALUE!</v>
      </c>
      <c r="D208" t="e">
        <f ca="1"/>
        <v>#VALUE!</v>
      </c>
      <c r="E208" t="e">
        <f ca="1"/>
        <v>#VALUE!</v>
      </c>
      <c r="F208" t="e">
        <f ca="1"/>
        <v>#VALUE!</v>
      </c>
      <c r="G208" t="e">
        <f ca="1"/>
        <v>#VALUE!</v>
      </c>
      <c r="H208" t="e">
        <f ca="1"/>
        <v>#VALUE!</v>
      </c>
      <c r="I208" t="e">
        <f ca="1"/>
        <v>#VALUE!</v>
      </c>
      <c r="J208" t="e">
        <f ca="1"/>
        <v>#VALUE!</v>
      </c>
      <c r="K208" t="e">
        <f ca="1"/>
        <v>#VALUE!</v>
      </c>
      <c r="L208" t="e">
        <f ca="1"/>
        <v>#VALUE!</v>
      </c>
      <c r="M208" t="e">
        <f ca="1"/>
        <v>#VALUE!</v>
      </c>
      <c r="N208" t="e">
        <f ca="1"/>
        <v>#VALUE!</v>
      </c>
      <c r="O208" t="e">
        <f ca="1"/>
        <v>#VALUE!</v>
      </c>
      <c r="P208" t="e">
        <f ca="1"/>
        <v>#VALUE!</v>
      </c>
      <c r="Q208" t="e">
        <f ca="1"/>
        <v>#VALUE!</v>
      </c>
    </row>
    <row r="209" spans="1:17" x14ac:dyDescent="0.25">
      <c r="A209" t="str">
        <f ca="1"/>
        <v>RYMFX</v>
      </c>
      <c r="B209" t="e">
        <f ca="1"/>
        <v>#VALUE!</v>
      </c>
      <c r="C209" t="e">
        <f ca="1"/>
        <v>#VALUE!</v>
      </c>
      <c r="D209" t="e">
        <f ca="1"/>
        <v>#VALUE!</v>
      </c>
      <c r="E209" t="e">
        <f ca="1"/>
        <v>#VALUE!</v>
      </c>
      <c r="F209" t="e">
        <f ca="1"/>
        <v>#VALUE!</v>
      </c>
      <c r="G209" t="e">
        <f ca="1"/>
        <v>#VALUE!</v>
      </c>
      <c r="H209" t="e">
        <f ca="1"/>
        <v>#VALUE!</v>
      </c>
      <c r="I209" t="e">
        <f ca="1"/>
        <v>#VALUE!</v>
      </c>
      <c r="J209" t="e">
        <f ca="1"/>
        <v>#VALUE!</v>
      </c>
      <c r="K209" t="e">
        <f ca="1"/>
        <v>#VALUE!</v>
      </c>
      <c r="L209" t="e">
        <f ca="1"/>
        <v>#VALUE!</v>
      </c>
      <c r="M209" t="e">
        <f ca="1"/>
        <v>#VALUE!</v>
      </c>
      <c r="N209" t="e">
        <f ca="1"/>
        <v>#VALUE!</v>
      </c>
      <c r="O209" t="e">
        <f ca="1"/>
        <v>#VALUE!</v>
      </c>
      <c r="P209" t="e">
        <f ca="1"/>
        <v>#VALUE!</v>
      </c>
      <c r="Q209" t="e">
        <f ca="1"/>
        <v>#VALUE!</v>
      </c>
    </row>
    <row r="210" spans="1:17" x14ac:dyDescent="0.25">
      <c r="A210" t="str">
        <f ca="1"/>
        <v>RYMSX</v>
      </c>
      <c r="B210" t="e">
        <f ca="1"/>
        <v>#VALUE!</v>
      </c>
      <c r="C210" t="e">
        <f ca="1"/>
        <v>#VALUE!</v>
      </c>
      <c r="D210" t="e">
        <f ca="1"/>
        <v>#VALUE!</v>
      </c>
      <c r="E210" t="e">
        <f ca="1"/>
        <v>#VALUE!</v>
      </c>
      <c r="F210" t="e">
        <f ca="1"/>
        <v>#VALUE!</v>
      </c>
      <c r="G210" t="e">
        <f ca="1"/>
        <v>#VALUE!</v>
      </c>
      <c r="H210" t="e">
        <f ca="1"/>
        <v>#VALUE!</v>
      </c>
      <c r="I210" t="e">
        <f ca="1"/>
        <v>#VALUE!</v>
      </c>
      <c r="J210" t="e">
        <f ca="1"/>
        <v>#VALUE!</v>
      </c>
      <c r="K210" t="e">
        <f ca="1"/>
        <v>#VALUE!</v>
      </c>
      <c r="L210" t="e">
        <f ca="1"/>
        <v>#VALUE!</v>
      </c>
      <c r="M210" t="e">
        <f ca="1"/>
        <v>#VALUE!</v>
      </c>
      <c r="N210" t="e">
        <f ca="1"/>
        <v>#VALUE!</v>
      </c>
      <c r="O210" t="e">
        <f ca="1"/>
        <v>#VALUE!</v>
      </c>
      <c r="P210" t="e">
        <f ca="1"/>
        <v>#VALUE!</v>
      </c>
      <c r="Q210" t="e">
        <f ca="1"/>
        <v>#VALUE!</v>
      </c>
    </row>
    <row r="211" spans="1:17" x14ac:dyDescent="0.25">
      <c r="A211" t="str">
        <f ca="1"/>
        <v>RZG</v>
      </c>
      <c r="B211" t="str">
        <f ca="1"/>
        <v>etf</v>
      </c>
      <c r="C211" t="str">
        <f ca="1"/>
        <v>Invesco S&amp;P SmallCap 600 Pure Growth ETF</v>
      </c>
      <c r="D211" t="str">
        <f ca="1"/>
        <v>US Small-Cap Growth</v>
      </c>
      <c r="E211" t="str">
        <f ca="1"/>
        <v>^RUOTR</v>
      </c>
      <c r="F211" t="str">
        <f ca="1"/>
        <v>Russell 2000 Growth Total Return</v>
      </c>
      <c r="G211" t="str">
        <f ca="1"/>
        <v>S&amp;P SmallCap 600 Pure Growth TR USD</v>
      </c>
      <c r="H211">
        <f ca="1"/>
        <v>-3.5693000000000003E-2</v>
      </c>
      <c r="I211">
        <f ca="1"/>
        <v>-5.2732000000000001E-2</v>
      </c>
      <c r="J211">
        <f ca="1"/>
        <v>9.8338999999999996E-2</v>
      </c>
      <c r="K211">
        <f ca="1"/>
        <v>-5.3203000000000014E-2</v>
      </c>
      <c r="L211">
        <f ca="1"/>
        <v>9.8338999999999996E-2</v>
      </c>
      <c r="M211">
        <f ca="1"/>
        <v>-5.3203000000000014E-2</v>
      </c>
      <c r="N211">
        <f ca="1"/>
        <v>-7.0966000000000001E-2</v>
      </c>
      <c r="O211">
        <f ca="1"/>
        <v>-7.7218999999999996E-2</v>
      </c>
      <c r="P211">
        <f ca="1"/>
        <v>0.32396399999999997</v>
      </c>
      <c r="Q211">
        <f ca="1"/>
        <v>-6.9182000000000021E-2</v>
      </c>
    </row>
    <row r="212" spans="1:17" x14ac:dyDescent="0.25">
      <c r="A212" t="str">
        <f ca="1"/>
        <v>SATRX</v>
      </c>
      <c r="B212" t="e">
        <f ca="1"/>
        <v>#VALUE!</v>
      </c>
      <c r="C212" t="e">
        <f ca="1"/>
        <v>#VALUE!</v>
      </c>
      <c r="D212" t="e">
        <f ca="1"/>
        <v>#VALUE!</v>
      </c>
      <c r="E212" t="e">
        <f ca="1"/>
        <v>#VALUE!</v>
      </c>
      <c r="F212" t="e">
        <f ca="1"/>
        <v>#VALUE!</v>
      </c>
      <c r="G212" t="e">
        <f ca="1"/>
        <v>#VALUE!</v>
      </c>
      <c r="H212" t="e">
        <f ca="1"/>
        <v>#VALUE!</v>
      </c>
      <c r="I212" t="e">
        <f ca="1"/>
        <v>#VALUE!</v>
      </c>
      <c r="J212" t="e">
        <f ca="1"/>
        <v>#VALUE!</v>
      </c>
      <c r="K212" t="e">
        <f ca="1"/>
        <v>#VALUE!</v>
      </c>
      <c r="L212" t="e">
        <f ca="1"/>
        <v>#VALUE!</v>
      </c>
      <c r="M212" t="e">
        <f ca="1"/>
        <v>#VALUE!</v>
      </c>
      <c r="N212" t="e">
        <f ca="1"/>
        <v>#VALUE!</v>
      </c>
      <c r="O212" t="e">
        <f ca="1"/>
        <v>#VALUE!</v>
      </c>
      <c r="P212" t="e">
        <f ca="1"/>
        <v>#VALUE!</v>
      </c>
      <c r="Q212" t="e">
        <f ca="1"/>
        <v>#VALUE!</v>
      </c>
    </row>
    <row r="213" spans="1:17" x14ac:dyDescent="0.25">
      <c r="A213" t="str">
        <f ca="1"/>
        <v>SAWMX</v>
      </c>
      <c r="B213" t="e">
        <f ca="1"/>
        <v>#VALUE!</v>
      </c>
      <c r="C213" t="e">
        <f ca="1"/>
        <v>#VALUE!</v>
      </c>
      <c r="D213" t="e">
        <f ca="1"/>
        <v>#VALUE!</v>
      </c>
      <c r="E213" t="e">
        <f ca="1"/>
        <v>#VALUE!</v>
      </c>
      <c r="F213" t="e">
        <f ca="1"/>
        <v>#VALUE!</v>
      </c>
      <c r="G213" t="e">
        <f ca="1"/>
        <v>#VALUE!</v>
      </c>
      <c r="H213" t="e">
        <f ca="1"/>
        <v>#VALUE!</v>
      </c>
      <c r="I213" t="e">
        <f ca="1"/>
        <v>#VALUE!</v>
      </c>
      <c r="J213" t="e">
        <f ca="1"/>
        <v>#VALUE!</v>
      </c>
      <c r="K213" t="e">
        <f ca="1"/>
        <v>#VALUE!</v>
      </c>
      <c r="L213" t="e">
        <f ca="1"/>
        <v>#VALUE!</v>
      </c>
      <c r="M213" t="e">
        <f ca="1"/>
        <v>#VALUE!</v>
      </c>
      <c r="N213" t="e">
        <f ca="1"/>
        <v>#VALUE!</v>
      </c>
      <c r="O213" t="e">
        <f ca="1"/>
        <v>#VALUE!</v>
      </c>
      <c r="P213" t="e">
        <f ca="1"/>
        <v>#VALUE!</v>
      </c>
      <c r="Q213" t="e">
        <f ca="1"/>
        <v>#VALUE!</v>
      </c>
    </row>
    <row r="214" spans="1:17" x14ac:dyDescent="0.25">
      <c r="A214" t="str">
        <f ca="1"/>
        <v>SGENX</v>
      </c>
      <c r="B214" t="e">
        <f ca="1"/>
        <v>#VALUE!</v>
      </c>
      <c r="C214" t="e">
        <f ca="1"/>
        <v>#VALUE!</v>
      </c>
      <c r="D214" t="e">
        <f ca="1"/>
        <v>#VALUE!</v>
      </c>
      <c r="E214" t="e">
        <f ca="1"/>
        <v>#VALUE!</v>
      </c>
      <c r="F214" t="e">
        <f ca="1"/>
        <v>#VALUE!</v>
      </c>
      <c r="G214" t="e">
        <f ca="1"/>
        <v>#VALUE!</v>
      </c>
      <c r="H214" t="e">
        <f ca="1"/>
        <v>#VALUE!</v>
      </c>
      <c r="I214" t="e">
        <f ca="1"/>
        <v>#VALUE!</v>
      </c>
      <c r="J214" t="e">
        <f ca="1"/>
        <v>#VALUE!</v>
      </c>
      <c r="K214" t="e">
        <f ca="1"/>
        <v>#VALUE!</v>
      </c>
      <c r="L214" t="e">
        <f ca="1"/>
        <v>#VALUE!</v>
      </c>
      <c r="M214" t="e">
        <f ca="1"/>
        <v>#VALUE!</v>
      </c>
      <c r="N214" t="e">
        <f ca="1"/>
        <v>#VALUE!</v>
      </c>
      <c r="O214" t="e">
        <f ca="1"/>
        <v>#VALUE!</v>
      </c>
      <c r="P214" t="e">
        <f ca="1"/>
        <v>#VALUE!</v>
      </c>
      <c r="Q214" t="e">
        <f ca="1"/>
        <v>#VALUE!</v>
      </c>
    </row>
    <row r="215" spans="1:17" x14ac:dyDescent="0.25">
      <c r="A215" t="str">
        <f ca="1"/>
        <v>SGOV</v>
      </c>
      <c r="B215" t="str">
        <f ca="1"/>
        <v>etf</v>
      </c>
      <c r="C215" t="str">
        <f ca="1"/>
        <v>iShares 0-3 Month Treasury Bond ETF</v>
      </c>
      <c r="D215" t="str">
        <f ca="1"/>
        <v>US Short Term Government Bond</v>
      </c>
      <c r="E215" t="str">
        <f ca="1"/>
        <v>^BBUGCR13YT</v>
      </c>
      <c r="F215" t="str">
        <f ca="1"/>
        <v>Bloomberg US Government/Credit 1-3 Year</v>
      </c>
      <c r="G215" t="str">
        <f ca="1"/>
        <v>ICE BofA 0-3 M US Trsy Bill TR USD</v>
      </c>
      <c r="H215">
        <f ca="1"/>
        <v>1.1958E-2</v>
      </c>
      <c r="I215">
        <f ca="1"/>
        <v>1.2160000000000001E-2</v>
      </c>
      <c r="J215">
        <f ca="1"/>
        <v>5.2727999999999997E-2</v>
      </c>
      <c r="K215">
        <f ca="1"/>
        <v>9.1709999999999986E-3</v>
      </c>
      <c r="L215">
        <f ca="1"/>
        <v>5.2727999999999997E-2</v>
      </c>
      <c r="M215">
        <f ca="1"/>
        <v>9.1709999999999986E-3</v>
      </c>
      <c r="N215">
        <f ca="1"/>
        <v>0.12409100000000001</v>
      </c>
      <c r="O215">
        <f ca="1"/>
        <v>7.2651000000000007E-2</v>
      </c>
      <c r="P215" t="str">
        <f ca="1"/>
        <v>ERR: NO DATA</v>
      </c>
      <c r="Q215" t="e">
        <f ca="1"/>
        <v>#VALUE!</v>
      </c>
    </row>
    <row r="216" spans="1:17" x14ac:dyDescent="0.25">
      <c r="A216" t="str">
        <f ca="1"/>
        <v>SHOIX</v>
      </c>
      <c r="B216" t="e">
        <f ca="1"/>
        <v>#VALUE!</v>
      </c>
      <c r="C216" t="e">
        <f ca="1"/>
        <v>#VALUE!</v>
      </c>
      <c r="D216" t="e">
        <f ca="1"/>
        <v>#VALUE!</v>
      </c>
      <c r="E216" t="e">
        <f ca="1"/>
        <v>#VALUE!</v>
      </c>
      <c r="F216" t="e">
        <f ca="1"/>
        <v>#VALUE!</v>
      </c>
      <c r="G216" t="e">
        <f ca="1"/>
        <v>#VALUE!</v>
      </c>
      <c r="H216" t="e">
        <f ca="1"/>
        <v>#VALUE!</v>
      </c>
      <c r="I216" t="e">
        <f ca="1"/>
        <v>#VALUE!</v>
      </c>
      <c r="J216" t="e">
        <f ca="1"/>
        <v>#VALUE!</v>
      </c>
      <c r="K216" t="e">
        <f ca="1"/>
        <v>#VALUE!</v>
      </c>
      <c r="L216" t="e">
        <f ca="1"/>
        <v>#VALUE!</v>
      </c>
      <c r="M216" t="e">
        <f ca="1"/>
        <v>#VALUE!</v>
      </c>
      <c r="N216" t="e">
        <f ca="1"/>
        <v>#VALUE!</v>
      </c>
      <c r="O216" t="e">
        <f ca="1"/>
        <v>#VALUE!</v>
      </c>
      <c r="P216" t="e">
        <f ca="1"/>
        <v>#VALUE!</v>
      </c>
      <c r="Q216" t="e">
        <f ca="1"/>
        <v>#VALUE!</v>
      </c>
    </row>
    <row r="217" spans="1:17" x14ac:dyDescent="0.25">
      <c r="A217" t="str">
        <f ca="1"/>
        <v>SHV</v>
      </c>
      <c r="B217" t="str">
        <f ca="1"/>
        <v>etf</v>
      </c>
      <c r="C217" t="str">
        <f ca="1"/>
        <v>iShares Short Treasury Bond ETF</v>
      </c>
      <c r="D217" t="str">
        <f ca="1"/>
        <v>US Short Term Government Bond</v>
      </c>
      <c r="E217" t="str">
        <f ca="1"/>
        <v>^BBUGCR13YT</v>
      </c>
      <c r="F217" t="str">
        <f ca="1"/>
        <v>Bloomberg US Government/Credit 1-3 Year</v>
      </c>
      <c r="G217" t="str">
        <f ca="1"/>
        <v>ICE Short US Treasury Sec 4PM TR USD</v>
      </c>
      <c r="H217">
        <f ca="1"/>
        <v>1.1343000000000001E-2</v>
      </c>
      <c r="I217">
        <f ca="1"/>
        <v>1.1545000000000001E-2</v>
      </c>
      <c r="J217">
        <f ca="1"/>
        <v>5.1235999999999997E-2</v>
      </c>
      <c r="K217">
        <f ca="1"/>
        <v>7.6789999999999983E-3</v>
      </c>
      <c r="L217">
        <f ca="1"/>
        <v>5.1235999999999997E-2</v>
      </c>
      <c r="M217">
        <f ca="1"/>
        <v>7.6789999999999983E-3</v>
      </c>
      <c r="N217">
        <f ca="1"/>
        <v>0.114577</v>
      </c>
      <c r="O217">
        <f ca="1"/>
        <v>6.3136999999999999E-2</v>
      </c>
      <c r="P217">
        <f ca="1"/>
        <v>0.12245499999999999</v>
      </c>
      <c r="Q217">
        <f ca="1"/>
        <v>4.1102E-2</v>
      </c>
    </row>
    <row r="218" spans="1:17" x14ac:dyDescent="0.25">
      <c r="A218" t="str">
        <f ca="1"/>
        <v>SHY</v>
      </c>
      <c r="B218" t="str">
        <f ca="1"/>
        <v>etf</v>
      </c>
      <c r="C218" t="str">
        <f ca="1"/>
        <v>iShares 1-3 Year Treasury Bond ETF</v>
      </c>
      <c r="D218" t="str">
        <f ca="1"/>
        <v>US Short Term Government Bond</v>
      </c>
      <c r="E218" t="str">
        <f ca="1"/>
        <v>^BBUGCR13YT</v>
      </c>
      <c r="F218" t="str">
        <f ca="1"/>
        <v>Bloomberg US Government/Credit 1-3 Year</v>
      </c>
      <c r="G218" t="str">
        <f ca="1"/>
        <v>ICE U.S. Treasury 1-3 Year Bond TR USD</v>
      </c>
      <c r="H218">
        <f ca="1"/>
        <v>-7.8299999999999995E-4</v>
      </c>
      <c r="I218">
        <f ca="1"/>
        <v>-5.8099999999999992E-4</v>
      </c>
      <c r="J218">
        <f ca="1"/>
        <v>3.9157999999999998E-2</v>
      </c>
      <c r="K218">
        <f ca="1"/>
        <v>-4.3990000000000001E-3</v>
      </c>
      <c r="L218">
        <f ca="1"/>
        <v>3.9157999999999998E-2</v>
      </c>
      <c r="M218">
        <f ca="1"/>
        <v>-4.3990000000000001E-3</v>
      </c>
      <c r="N218">
        <f ca="1"/>
        <v>4.0431000000000002E-2</v>
      </c>
      <c r="O218">
        <f ca="1"/>
        <v>-1.1008999999999998E-2</v>
      </c>
      <c r="P218">
        <f ca="1"/>
        <v>6.4339999999999994E-2</v>
      </c>
      <c r="Q218">
        <f ca="1"/>
        <v>-1.7013E-2</v>
      </c>
    </row>
    <row r="219" spans="1:17" x14ac:dyDescent="0.25">
      <c r="A219" t="str">
        <f ca="1"/>
        <v>SJNK</v>
      </c>
      <c r="B219" t="str">
        <f ca="1"/>
        <v>etf</v>
      </c>
      <c r="C219" t="str">
        <f ca="1"/>
        <v>SPDR Bloomberg Short Term High Yield Bond ETF</v>
      </c>
      <c r="D219" t="str">
        <f ca="1"/>
        <v>US High Yield Bond</v>
      </c>
      <c r="E219" t="str">
        <f ca="1"/>
        <v>^BBUSCOHYTR</v>
      </c>
      <c r="F219" t="str">
        <f ca="1"/>
        <v>Bloomberg US Corporate High Yield</v>
      </c>
      <c r="G219" t="str">
        <f ca="1"/>
        <v>Bloomberg US HY 350mn CP 0-5Y 2% TR USD</v>
      </c>
      <c r="H219">
        <f ca="1"/>
        <v>5.0949999999999997E-3</v>
      </c>
      <c r="I219">
        <f ca="1"/>
        <v>3.3469999999999997E-3</v>
      </c>
      <c r="J219">
        <f ca="1"/>
        <v>8.2403000000000004E-2</v>
      </c>
      <c r="K219">
        <f ca="1"/>
        <v>4.6800000000001007E-4</v>
      </c>
      <c r="L219">
        <f ca="1"/>
        <v>8.2403000000000004E-2</v>
      </c>
      <c r="M219">
        <f ca="1"/>
        <v>4.6800000000001007E-4</v>
      </c>
      <c r="N219">
        <f ca="1"/>
        <v>0.14169499999999999</v>
      </c>
      <c r="O219">
        <f ca="1"/>
        <v>5.1621999999999987E-2</v>
      </c>
      <c r="P219">
        <f ca="1"/>
        <v>0.26926499999999998</v>
      </c>
      <c r="Q219">
        <f ca="1"/>
        <v>4.002799999999998E-2</v>
      </c>
    </row>
    <row r="220" spans="1:17" x14ac:dyDescent="0.25">
      <c r="A220" t="str">
        <f ca="1"/>
        <v>SMCFX</v>
      </c>
      <c r="B220" t="e">
        <f ca="1"/>
        <v>#VALUE!</v>
      </c>
      <c r="C220" t="e">
        <f ca="1"/>
        <v>#VALUE!</v>
      </c>
      <c r="D220" t="e">
        <f ca="1"/>
        <v>#VALUE!</v>
      </c>
      <c r="E220" t="e">
        <f ca="1"/>
        <v>#VALUE!</v>
      </c>
      <c r="F220" t="e">
        <f ca="1"/>
        <v>#VALUE!</v>
      </c>
      <c r="G220" t="e">
        <f ca="1"/>
        <v>#VALUE!</v>
      </c>
      <c r="H220" t="e">
        <f ca="1"/>
        <v>#VALUE!</v>
      </c>
      <c r="I220" t="e">
        <f ca="1"/>
        <v>#VALUE!</v>
      </c>
      <c r="J220" t="e">
        <f ca="1"/>
        <v>#VALUE!</v>
      </c>
      <c r="K220" t="e">
        <f ca="1"/>
        <v>#VALUE!</v>
      </c>
      <c r="L220" t="e">
        <f ca="1"/>
        <v>#VALUE!</v>
      </c>
      <c r="M220" t="e">
        <f ca="1"/>
        <v>#VALUE!</v>
      </c>
      <c r="N220" t="e">
        <f ca="1"/>
        <v>#VALUE!</v>
      </c>
      <c r="O220" t="e">
        <f ca="1"/>
        <v>#VALUE!</v>
      </c>
      <c r="P220" t="e">
        <f ca="1"/>
        <v>#VALUE!</v>
      </c>
      <c r="Q220" t="e">
        <f ca="1"/>
        <v>#VALUE!</v>
      </c>
    </row>
    <row r="221" spans="1:17" x14ac:dyDescent="0.25">
      <c r="A221" t="str">
        <f ca="1"/>
        <v>SPHIX</v>
      </c>
      <c r="B221" t="e">
        <f ca="1"/>
        <v>#VALUE!</v>
      </c>
      <c r="C221" t="e">
        <f ca="1"/>
        <v>#VALUE!</v>
      </c>
      <c r="D221" t="e">
        <f ca="1"/>
        <v>#VALUE!</v>
      </c>
      <c r="E221" t="e">
        <f ca="1"/>
        <v>#VALUE!</v>
      </c>
      <c r="F221" t="e">
        <f ca="1"/>
        <v>#VALUE!</v>
      </c>
      <c r="G221" t="e">
        <f ca="1"/>
        <v>#VALUE!</v>
      </c>
      <c r="H221" t="e">
        <f ca="1"/>
        <v>#VALUE!</v>
      </c>
      <c r="I221" t="e">
        <f ca="1"/>
        <v>#VALUE!</v>
      </c>
      <c r="J221" t="e">
        <f ca="1"/>
        <v>#VALUE!</v>
      </c>
      <c r="K221" t="e">
        <f ca="1"/>
        <v>#VALUE!</v>
      </c>
      <c r="L221" t="e">
        <f ca="1"/>
        <v>#VALUE!</v>
      </c>
      <c r="M221" t="e">
        <f ca="1"/>
        <v>#VALUE!</v>
      </c>
      <c r="N221" t="e">
        <f ca="1"/>
        <v>#VALUE!</v>
      </c>
      <c r="O221" t="e">
        <f ca="1"/>
        <v>#VALUE!</v>
      </c>
      <c r="P221" t="e">
        <f ca="1"/>
        <v>#VALUE!</v>
      </c>
      <c r="Q221" t="e">
        <f ca="1"/>
        <v>#VALUE!</v>
      </c>
    </row>
    <row r="222" spans="1:17" x14ac:dyDescent="0.25">
      <c r="A222" t="str">
        <f ca="1"/>
        <v>SPY</v>
      </c>
      <c r="B222" t="str">
        <f ca="1"/>
        <v>etf</v>
      </c>
      <c r="C222" t="str">
        <f ca="1"/>
        <v>SPDR S&amp;P 500 ETF Trust</v>
      </c>
      <c r="D222" t="str">
        <f ca="1"/>
        <v>Equity US</v>
      </c>
      <c r="E222" t="str">
        <f ca="1"/>
        <v>^SPXTR</v>
      </c>
      <c r="F222" t="str">
        <f ca="1"/>
        <v>S&amp;P 500 Total Return</v>
      </c>
      <c r="G222" t="str">
        <f ca="1"/>
        <v>S&amp;P 500 TR USD</v>
      </c>
      <c r="H222">
        <f ca="1"/>
        <v>2.4868999999999999E-2</v>
      </c>
      <c r="I222">
        <f ca="1"/>
        <v>7.7699999999999991E-4</v>
      </c>
      <c r="J222">
        <f ca="1"/>
        <v>0.24885099999999999</v>
      </c>
      <c r="K222">
        <f ca="1"/>
        <v>-1.3460000000000139E-3</v>
      </c>
      <c r="L222">
        <f ca="1"/>
        <v>0.24885099999999999</v>
      </c>
      <c r="M222">
        <f ca="1"/>
        <v>-1.3460000000000139E-3</v>
      </c>
      <c r="N222">
        <f ca="1"/>
        <v>0.289549</v>
      </c>
      <c r="O222">
        <f ca="1"/>
        <v>-3.3529999999999949E-3</v>
      </c>
      <c r="P222">
        <f ca="1"/>
        <v>0.96526800000000001</v>
      </c>
      <c r="Q222">
        <f ca="1"/>
        <v>-4.9289999999999612E-3</v>
      </c>
    </row>
    <row r="223" spans="1:17" x14ac:dyDescent="0.25">
      <c r="A223" t="str">
        <f ca="1"/>
        <v>SRLN</v>
      </c>
      <c r="B223" t="str">
        <f ca="1"/>
        <v>etf</v>
      </c>
      <c r="C223" t="str">
        <f ca="1"/>
        <v>SPDR Blackstone Senior Loan ETF</v>
      </c>
      <c r="D223" t="str">
        <f ca="1"/>
        <v>Alts</v>
      </c>
      <c r="E223" t="str">
        <f ca="1"/>
        <v>^PEATR</v>
      </c>
      <c r="F223" t="str">
        <f ca="1"/>
        <v>Private Equity Index Total Return</v>
      </c>
      <c r="G223" t="str">
        <f ca="1"/>
        <v>Markit iBoxx USD Liquid Levged Loan TR</v>
      </c>
      <c r="H223">
        <f ca="1"/>
        <v>2.6610999999999999E-2</v>
      </c>
      <c r="I223">
        <f ca="1"/>
        <v>5.1087E-2</v>
      </c>
      <c r="J223">
        <f ca="1"/>
        <v>8.4283999999999998E-2</v>
      </c>
      <c r="K223">
        <f ca="1"/>
        <v>-0.20427599999999999</v>
      </c>
      <c r="L223">
        <f ca="1"/>
        <v>8.4283999999999998E-2</v>
      </c>
      <c r="M223">
        <f ca="1"/>
        <v>-0.20427599999999999</v>
      </c>
      <c r="N223">
        <f ca="1"/>
        <v>0.14602499999999999</v>
      </c>
      <c r="O223">
        <f ca="1"/>
        <v>-0.11316499999999999</v>
      </c>
      <c r="P223">
        <f ca="1"/>
        <v>0.234956</v>
      </c>
      <c r="Q223">
        <f ca="1"/>
        <v>-0.83463900000000013</v>
      </c>
    </row>
    <row r="224" spans="1:17" x14ac:dyDescent="0.25">
      <c r="A224" t="str">
        <f ca="1"/>
        <v>SRUIX</v>
      </c>
      <c r="B224" t="e">
        <f ca="1"/>
        <v>#VALUE!</v>
      </c>
      <c r="C224" t="e">
        <f ca="1"/>
        <v>#VALUE!</v>
      </c>
      <c r="D224" t="e">
        <f ca="1"/>
        <v>#VALUE!</v>
      </c>
      <c r="E224" t="e">
        <f ca="1"/>
        <v>#VALUE!</v>
      </c>
      <c r="F224" t="e">
        <f ca="1"/>
        <v>#VALUE!</v>
      </c>
      <c r="G224" t="e">
        <f ca="1"/>
        <v>#VALUE!</v>
      </c>
      <c r="H224" t="e">
        <f ca="1"/>
        <v>#VALUE!</v>
      </c>
      <c r="I224" t="e">
        <f ca="1"/>
        <v>#VALUE!</v>
      </c>
      <c r="J224" t="e">
        <f ca="1"/>
        <v>#VALUE!</v>
      </c>
      <c r="K224" t="e">
        <f ca="1"/>
        <v>#VALUE!</v>
      </c>
      <c r="L224" t="e">
        <f ca="1"/>
        <v>#VALUE!</v>
      </c>
      <c r="M224" t="e">
        <f ca="1"/>
        <v>#VALUE!</v>
      </c>
      <c r="N224" t="e">
        <f ca="1"/>
        <v>#VALUE!</v>
      </c>
      <c r="O224" t="e">
        <f ca="1"/>
        <v>#VALUE!</v>
      </c>
      <c r="P224" t="e">
        <f ca="1"/>
        <v>#VALUE!</v>
      </c>
      <c r="Q224" t="e">
        <f ca="1"/>
        <v>#VALUE!</v>
      </c>
    </row>
    <row r="225" spans="1:17" x14ac:dyDescent="0.25">
      <c r="A225" t="str">
        <f ca="1"/>
        <v>SSIIX</v>
      </c>
      <c r="B225" t="e">
        <f ca="1"/>
        <v>#VALUE!</v>
      </c>
      <c r="C225" t="e">
        <f ca="1"/>
        <v>#VALUE!</v>
      </c>
      <c r="D225" t="e">
        <f ca="1"/>
        <v>#VALUE!</v>
      </c>
      <c r="E225" t="e">
        <f ca="1"/>
        <v>#VALUE!</v>
      </c>
      <c r="F225" t="e">
        <f ca="1"/>
        <v>#VALUE!</v>
      </c>
      <c r="G225" t="e">
        <f ca="1"/>
        <v>#VALUE!</v>
      </c>
      <c r="H225" t="e">
        <f ca="1"/>
        <v>#VALUE!</v>
      </c>
      <c r="I225" t="e">
        <f ca="1"/>
        <v>#VALUE!</v>
      </c>
      <c r="J225" t="e">
        <f ca="1"/>
        <v>#VALUE!</v>
      </c>
      <c r="K225" t="e">
        <f ca="1"/>
        <v>#VALUE!</v>
      </c>
      <c r="L225" t="e">
        <f ca="1"/>
        <v>#VALUE!</v>
      </c>
      <c r="M225" t="e">
        <f ca="1"/>
        <v>#VALUE!</v>
      </c>
      <c r="N225" t="e">
        <f ca="1"/>
        <v>#VALUE!</v>
      </c>
      <c r="O225" t="e">
        <f ca="1"/>
        <v>#VALUE!</v>
      </c>
      <c r="P225" t="e">
        <f ca="1"/>
        <v>#VALUE!</v>
      </c>
      <c r="Q225" t="e">
        <f ca="1"/>
        <v>#VALUE!</v>
      </c>
    </row>
    <row r="226" spans="1:17" x14ac:dyDescent="0.25">
      <c r="A226" t="str">
        <f ca="1"/>
        <v>STBJX</v>
      </c>
      <c r="B226" t="e">
        <f ca="1"/>
        <v>#VALUE!</v>
      </c>
      <c r="C226" t="e">
        <f ca="1"/>
        <v>#VALUE!</v>
      </c>
      <c r="D226" t="e">
        <f ca="1"/>
        <v>#VALUE!</v>
      </c>
      <c r="E226" t="e">
        <f ca="1"/>
        <v>#VALUE!</v>
      </c>
      <c r="F226" t="e">
        <f ca="1"/>
        <v>#VALUE!</v>
      </c>
      <c r="G226" t="e">
        <f ca="1"/>
        <v>#VALUE!</v>
      </c>
      <c r="H226" t="e">
        <f ca="1"/>
        <v>#VALUE!</v>
      </c>
      <c r="I226" t="e">
        <f ca="1"/>
        <v>#VALUE!</v>
      </c>
      <c r="J226" t="e">
        <f ca="1"/>
        <v>#VALUE!</v>
      </c>
      <c r="K226" t="e">
        <f ca="1"/>
        <v>#VALUE!</v>
      </c>
      <c r="L226" t="e">
        <f ca="1"/>
        <v>#VALUE!</v>
      </c>
      <c r="M226" t="e">
        <f ca="1"/>
        <v>#VALUE!</v>
      </c>
      <c r="N226" t="e">
        <f ca="1"/>
        <v>#VALUE!</v>
      </c>
      <c r="O226" t="e">
        <f ca="1"/>
        <v>#VALUE!</v>
      </c>
      <c r="P226" t="e">
        <f ca="1"/>
        <v>#VALUE!</v>
      </c>
      <c r="Q226" t="e">
        <f ca="1"/>
        <v>#VALUE!</v>
      </c>
    </row>
    <row r="227" spans="1:17" x14ac:dyDescent="0.25">
      <c r="A227" t="str">
        <f ca="1"/>
        <v>SUB</v>
      </c>
      <c r="B227" t="str">
        <f ca="1"/>
        <v>etf</v>
      </c>
      <c r="C227" t="str">
        <f ca="1"/>
        <v>iShares Short-Term National Muni Bond ETF</v>
      </c>
      <c r="D227" t="str">
        <f ca="1"/>
        <v>US Aggregate Municipal Bond</v>
      </c>
      <c r="E227" t="str">
        <f ca="1"/>
        <v>^BBMBTR</v>
      </c>
      <c r="F227" t="str">
        <f ca="1"/>
        <v>Bloomberg Municipal Bond</v>
      </c>
      <c r="G227" t="str">
        <f ca="1"/>
        <v>ICE Shrt Mat AMT-Free US Ntl Muni TR USD</v>
      </c>
      <c r="H227">
        <f ca="1"/>
        <v>6.5200000000000002E-4</v>
      </c>
      <c r="I227">
        <f ca="1"/>
        <v>1.2805E-2</v>
      </c>
      <c r="J227">
        <f ca="1"/>
        <v>2.1742000000000001E-2</v>
      </c>
      <c r="K227">
        <f ca="1"/>
        <v>1.1207000000000002E-2</v>
      </c>
      <c r="L227">
        <f ca="1"/>
        <v>2.1742000000000001E-2</v>
      </c>
      <c r="M227">
        <f ca="1"/>
        <v>1.1207000000000002E-2</v>
      </c>
      <c r="N227">
        <f ca="1"/>
        <v>2.9914E-2</v>
      </c>
      <c r="O227">
        <f ca="1"/>
        <v>4.6362E-2</v>
      </c>
      <c r="P227">
        <f ca="1"/>
        <v>5.6047E-2</v>
      </c>
      <c r="Q227">
        <f ca="1"/>
        <v>5.5279999999999982E-3</v>
      </c>
    </row>
    <row r="228" spans="1:17" x14ac:dyDescent="0.25">
      <c r="A228" t="str">
        <f ca="1"/>
        <v>SUSA</v>
      </c>
      <c r="B228" t="str">
        <f ca="1"/>
        <v>etf</v>
      </c>
      <c r="C228" t="str">
        <f ca="1"/>
        <v>iShares MSCI USA ESG Select ETF</v>
      </c>
      <c r="D228" t="str">
        <f ca="1"/>
        <v>US Multi-Cap Core</v>
      </c>
      <c r="E228" t="str">
        <f ca="1"/>
        <v>^SPXTR</v>
      </c>
      <c r="F228" t="str">
        <f ca="1"/>
        <v>S&amp;P 500 Total Return</v>
      </c>
      <c r="G228" t="str">
        <f ca="1"/>
        <v>MSCI USA EXTENDED ESG SELECT GR USD</v>
      </c>
      <c r="H228">
        <f ca="1"/>
        <v>1.3117E-2</v>
      </c>
      <c r="I228">
        <f ca="1"/>
        <v>-1.0974999999999999E-2</v>
      </c>
      <c r="J228">
        <f ca="1"/>
        <v>0.22431200000000001</v>
      </c>
      <c r="K228">
        <f ca="1"/>
        <v>-2.5884999999999991E-2</v>
      </c>
      <c r="L228">
        <f ca="1"/>
        <v>0.22431200000000001</v>
      </c>
      <c r="M228">
        <f ca="1"/>
        <v>-2.5884999999999991E-2</v>
      </c>
      <c r="N228">
        <f ca="1"/>
        <v>0.192579</v>
      </c>
      <c r="O228">
        <f ca="1"/>
        <v>-0.100323</v>
      </c>
      <c r="P228">
        <f ca="1"/>
        <v>0.939473</v>
      </c>
      <c r="Q228">
        <f ca="1"/>
        <v>-3.0723999999999974E-2</v>
      </c>
    </row>
    <row r="229" spans="1:17" x14ac:dyDescent="0.25">
      <c r="A229" t="str">
        <f ca="1"/>
        <v>SUSB</v>
      </c>
      <c r="B229" t="str">
        <f ca="1"/>
        <v>etf</v>
      </c>
      <c r="C229" t="str">
        <f ca="1"/>
        <v>iShares ESG Aware 1-5 Year USD Corporate Bond ETF</v>
      </c>
      <c r="D229" t="str">
        <f ca="1"/>
        <v>US Aggregate Bond</v>
      </c>
      <c r="E229" t="str">
        <f ca="1"/>
        <v>^BBUSATR</v>
      </c>
      <c r="F229" t="str">
        <f ca="1"/>
        <v>Bloomberg US Aggregate</v>
      </c>
      <c r="G229" t="str">
        <f ca="1"/>
        <v>Bloomberg MSCI US Corp 1-5 Yr ESG TR USD</v>
      </c>
      <c r="H229">
        <f ca="1"/>
        <v>-4.731E-3</v>
      </c>
      <c r="I229">
        <f ca="1"/>
        <v>2.5885999999999999E-2</v>
      </c>
      <c r="J229">
        <f ca="1"/>
        <v>4.8265000000000002E-2</v>
      </c>
      <c r="K229">
        <f ca="1"/>
        <v>3.5763000000000003E-2</v>
      </c>
      <c r="L229">
        <f ca="1"/>
        <v>4.8265000000000002E-2</v>
      </c>
      <c r="M229">
        <f ca="1"/>
        <v>3.5763000000000003E-2</v>
      </c>
      <c r="N229">
        <f ca="1"/>
        <v>4.7307000000000002E-2</v>
      </c>
      <c r="O229">
        <f ca="1"/>
        <v>0.117836</v>
      </c>
      <c r="P229">
        <f ca="1"/>
        <v>9.0952000000000005E-2</v>
      </c>
      <c r="Q229">
        <f ca="1"/>
        <v>0.107118</v>
      </c>
    </row>
    <row r="230" spans="1:17" x14ac:dyDescent="0.25">
      <c r="A230" t="str">
        <f ca="1"/>
        <v>SUSC</v>
      </c>
      <c r="B230" t="str">
        <f ca="1"/>
        <v>etf</v>
      </c>
      <c r="C230" t="str">
        <f ca="1"/>
        <v>iShares ESG Aware USD Corporate Bond ETF</v>
      </c>
      <c r="D230" t="str">
        <f ca="1"/>
        <v>US Aggregate Bond</v>
      </c>
      <c r="E230" t="str">
        <f ca="1"/>
        <v>^BBUSATR</v>
      </c>
      <c r="F230" t="str">
        <f ca="1"/>
        <v>Bloomberg US Aggregate</v>
      </c>
      <c r="G230" t="str">
        <f ca="1"/>
        <v>Bloomberg MSCI US Corp ESG Focus TR USD</v>
      </c>
      <c r="H230">
        <f ca="1"/>
        <v>-3.1005000000000001E-2</v>
      </c>
      <c r="I230">
        <f ca="1"/>
        <v>-3.8800000000000293E-4</v>
      </c>
      <c r="J230">
        <f ca="1"/>
        <v>1.9112000000000001E-2</v>
      </c>
      <c r="K230">
        <f ca="1"/>
        <v>6.6100000000000013E-3</v>
      </c>
      <c r="L230">
        <f ca="1"/>
        <v>1.9112000000000001E-2</v>
      </c>
      <c r="M230">
        <f ca="1"/>
        <v>6.6100000000000013E-3</v>
      </c>
      <c r="N230">
        <f ca="1"/>
        <v>-7.0092000000000002E-2</v>
      </c>
      <c r="O230">
        <f ca="1"/>
        <v>4.3699999999999295E-4</v>
      </c>
      <c r="P230">
        <f ca="1"/>
        <v>2.9020000000000001E-3</v>
      </c>
      <c r="Q230">
        <f ca="1"/>
        <v>1.9068000000000002E-2</v>
      </c>
    </row>
    <row r="231" spans="1:17" x14ac:dyDescent="0.25">
      <c r="A231" t="str">
        <f ca="1"/>
        <v>SWGXX</v>
      </c>
      <c r="B231" t="e">
        <f ca="1"/>
        <v>#VALUE!</v>
      </c>
      <c r="C231" t="e">
        <f ca="1"/>
        <v>#VALUE!</v>
      </c>
      <c r="D231" t="e">
        <f ca="1"/>
        <v>#VALUE!</v>
      </c>
      <c r="E231" t="e">
        <f ca="1"/>
        <v>#VALUE!</v>
      </c>
      <c r="F231" t="e">
        <f ca="1"/>
        <v>#VALUE!</v>
      </c>
      <c r="G231" t="e">
        <f ca="1"/>
        <v>#VALUE!</v>
      </c>
      <c r="H231" t="e">
        <f ca="1"/>
        <v>#VALUE!</v>
      </c>
      <c r="I231" t="e">
        <f ca="1"/>
        <v>#VALUE!</v>
      </c>
      <c r="J231" t="e">
        <f ca="1"/>
        <v>#VALUE!</v>
      </c>
      <c r="K231" t="e">
        <f ca="1"/>
        <v>#VALUE!</v>
      </c>
      <c r="L231" t="e">
        <f ca="1"/>
        <v>#VALUE!</v>
      </c>
      <c r="M231" t="e">
        <f ca="1"/>
        <v>#VALUE!</v>
      </c>
      <c r="N231" t="e">
        <f ca="1"/>
        <v>#VALUE!</v>
      </c>
      <c r="O231" t="e">
        <f ca="1"/>
        <v>#VALUE!</v>
      </c>
      <c r="P231" t="e">
        <f ca="1"/>
        <v>#VALUE!</v>
      </c>
      <c r="Q231" t="e">
        <f ca="1"/>
        <v>#VALUE!</v>
      </c>
    </row>
    <row r="232" spans="1:17" x14ac:dyDescent="0.25">
      <c r="A232" t="str">
        <f ca="1"/>
        <v>TBCIX</v>
      </c>
      <c r="B232" t="e">
        <f ca="1"/>
        <v>#VALUE!</v>
      </c>
      <c r="C232" t="e">
        <f ca="1"/>
        <v>#VALUE!</v>
      </c>
      <c r="D232" t="e">
        <f ca="1"/>
        <v>#VALUE!</v>
      </c>
      <c r="E232" t="e">
        <f ca="1"/>
        <v>#VALUE!</v>
      </c>
      <c r="F232" t="e">
        <f ca="1"/>
        <v>#VALUE!</v>
      </c>
      <c r="G232" t="e">
        <f ca="1"/>
        <v>#VALUE!</v>
      </c>
      <c r="H232" t="e">
        <f ca="1"/>
        <v>#VALUE!</v>
      </c>
      <c r="I232" t="e">
        <f ca="1"/>
        <v>#VALUE!</v>
      </c>
      <c r="J232" t="e">
        <f ca="1"/>
        <v>#VALUE!</v>
      </c>
      <c r="K232" t="e">
        <f ca="1"/>
        <v>#VALUE!</v>
      </c>
      <c r="L232" t="e">
        <f ca="1"/>
        <v>#VALUE!</v>
      </c>
      <c r="M232" t="e">
        <f ca="1"/>
        <v>#VALUE!</v>
      </c>
      <c r="N232" t="e">
        <f ca="1"/>
        <v>#VALUE!</v>
      </c>
      <c r="O232" t="e">
        <f ca="1"/>
        <v>#VALUE!</v>
      </c>
      <c r="P232" t="e">
        <f ca="1"/>
        <v>#VALUE!</v>
      </c>
      <c r="Q232" t="e">
        <f ca="1"/>
        <v>#VALUE!</v>
      </c>
    </row>
    <row r="233" spans="1:17" x14ac:dyDescent="0.25">
      <c r="A233" t="str">
        <f ca="1"/>
        <v>TFHVX</v>
      </c>
      <c r="B233" t="e">
        <f ca="1"/>
        <v>#VALUE!</v>
      </c>
      <c r="C233" t="e">
        <f ca="1"/>
        <v>#VALUE!</v>
      </c>
      <c r="D233" t="e">
        <f ca="1"/>
        <v>#VALUE!</v>
      </c>
      <c r="E233" t="e">
        <f ca="1"/>
        <v>#VALUE!</v>
      </c>
      <c r="F233" t="e">
        <f ca="1"/>
        <v>#VALUE!</v>
      </c>
      <c r="G233" t="e">
        <f ca="1"/>
        <v>#VALUE!</v>
      </c>
      <c r="H233" t="e">
        <f ca="1"/>
        <v>#VALUE!</v>
      </c>
      <c r="I233" t="e">
        <f ca="1"/>
        <v>#VALUE!</v>
      </c>
      <c r="J233" t="e">
        <f ca="1"/>
        <v>#VALUE!</v>
      </c>
      <c r="K233" t="e">
        <f ca="1"/>
        <v>#VALUE!</v>
      </c>
      <c r="L233" t="e">
        <f ca="1"/>
        <v>#VALUE!</v>
      </c>
      <c r="M233" t="e">
        <f ca="1"/>
        <v>#VALUE!</v>
      </c>
      <c r="N233" t="e">
        <f ca="1"/>
        <v>#VALUE!</v>
      </c>
      <c r="O233" t="e">
        <f ca="1"/>
        <v>#VALUE!</v>
      </c>
      <c r="P233" t="e">
        <f ca="1"/>
        <v>#VALUE!</v>
      </c>
      <c r="Q233" t="e">
        <f ca="1"/>
        <v>#VALUE!</v>
      </c>
    </row>
    <row r="234" spans="1:17" x14ac:dyDescent="0.25">
      <c r="A234" t="str">
        <f ca="1"/>
        <v>TFI</v>
      </c>
      <c r="B234" t="str">
        <f ca="1"/>
        <v>etf</v>
      </c>
      <c r="C234" t="str">
        <f ca="1"/>
        <v>SPDR Nuveen Bloomberg Municipal Bond ETF</v>
      </c>
      <c r="D234" t="str">
        <f ca="1"/>
        <v>US Aggregate Municipal Bond</v>
      </c>
      <c r="E234" t="str">
        <f ca="1"/>
        <v>^BBMBTR</v>
      </c>
      <c r="F234" t="str">
        <f ca="1"/>
        <v>Bloomberg Municipal Bond</v>
      </c>
      <c r="G234" t="str">
        <f ca="1"/>
        <v>Bloomberg US Muni Mng Mny 1-25Y TR USD</v>
      </c>
      <c r="H234">
        <f ca="1"/>
        <v>-1.5866000000000002E-2</v>
      </c>
      <c r="I234">
        <f ca="1"/>
        <v>-3.713000000000001E-3</v>
      </c>
      <c r="J234">
        <f ca="1"/>
        <v>-8.7000000000000001E-5</v>
      </c>
      <c r="K234">
        <f ca="1"/>
        <v>-1.0621999999999999E-2</v>
      </c>
      <c r="L234">
        <f ca="1"/>
        <v>-8.7000000000000001E-5</v>
      </c>
      <c r="M234">
        <f ca="1"/>
        <v>-1.0621999999999999E-2</v>
      </c>
      <c r="N234">
        <f ca="1"/>
        <v>-5.1388999999999997E-2</v>
      </c>
      <c r="O234">
        <f ca="1"/>
        <v>-3.4941E-2</v>
      </c>
      <c r="P234">
        <f ca="1"/>
        <v>7.6499999999999997E-3</v>
      </c>
      <c r="Q234">
        <f ca="1"/>
        <v>-4.2869000000000004E-2</v>
      </c>
    </row>
    <row r="235" spans="1:17" x14ac:dyDescent="0.25">
      <c r="A235" t="str">
        <f ca="1"/>
        <v>TGEIX</v>
      </c>
      <c r="B235" t="e">
        <f ca="1"/>
        <v>#VALUE!</v>
      </c>
      <c r="C235" t="e">
        <f ca="1"/>
        <v>#VALUE!</v>
      </c>
      <c r="D235" t="e">
        <f ca="1"/>
        <v>#VALUE!</v>
      </c>
      <c r="E235" t="e">
        <f ca="1"/>
        <v>#VALUE!</v>
      </c>
      <c r="F235" t="e">
        <f ca="1"/>
        <v>#VALUE!</v>
      </c>
      <c r="G235" t="e">
        <f ca="1"/>
        <v>#VALUE!</v>
      </c>
      <c r="H235" t="e">
        <f ca="1"/>
        <v>#VALUE!</v>
      </c>
      <c r="I235" t="e">
        <f ca="1"/>
        <v>#VALUE!</v>
      </c>
      <c r="J235" t="e">
        <f ca="1"/>
        <v>#VALUE!</v>
      </c>
      <c r="K235" t="e">
        <f ca="1"/>
        <v>#VALUE!</v>
      </c>
      <c r="L235" t="e">
        <f ca="1"/>
        <v>#VALUE!</v>
      </c>
      <c r="M235" t="e">
        <f ca="1"/>
        <v>#VALUE!</v>
      </c>
      <c r="N235" t="e">
        <f ca="1"/>
        <v>#VALUE!</v>
      </c>
      <c r="O235" t="e">
        <f ca="1"/>
        <v>#VALUE!</v>
      </c>
      <c r="P235" t="e">
        <f ca="1"/>
        <v>#VALUE!</v>
      </c>
      <c r="Q235" t="e">
        <f ca="1"/>
        <v>#VALUE!</v>
      </c>
    </row>
    <row r="236" spans="1:17" x14ac:dyDescent="0.25">
      <c r="A236" t="str">
        <f ca="1"/>
        <v>TLT</v>
      </c>
      <c r="B236" t="str">
        <f ca="1"/>
        <v>etf</v>
      </c>
      <c r="C236" t="str">
        <f ca="1"/>
        <v>iShares 20+ Year Treasury Bond ETF</v>
      </c>
      <c r="D236" t="str">
        <f ca="1"/>
        <v>US Government Bond</v>
      </c>
      <c r="E236" t="str">
        <f ca="1"/>
        <v>^BBUSTTR</v>
      </c>
      <c r="F236" t="str">
        <f ca="1"/>
        <v>Bloomberg US Treasury</v>
      </c>
      <c r="G236" t="str">
        <f ca="1"/>
        <v>ICE U.S. Treasury 20+ Year Bond TR USD</v>
      </c>
      <c r="H236">
        <f ca="1"/>
        <v>-9.7236000000000003E-2</v>
      </c>
      <c r="I236">
        <f ca="1"/>
        <v>-6.5854999999999997E-2</v>
      </c>
      <c r="J236">
        <f ca="1"/>
        <v>-8.0585000000000004E-2</v>
      </c>
      <c r="K236">
        <f ca="1"/>
        <v>-8.6362000000000008E-2</v>
      </c>
      <c r="L236">
        <f ca="1"/>
        <v>-8.0585000000000004E-2</v>
      </c>
      <c r="M236">
        <f ca="1"/>
        <v>-8.6362000000000008E-2</v>
      </c>
      <c r="N236">
        <f ca="1"/>
        <v>-0.35036</v>
      </c>
      <c r="O236">
        <f ca="1"/>
        <v>-0.26647599999999999</v>
      </c>
      <c r="P236">
        <f ca="1"/>
        <v>-0.26776299999999997</v>
      </c>
      <c r="Q236">
        <f ca="1"/>
        <v>-0.23419899999999999</v>
      </c>
    </row>
    <row r="237" spans="1:17" x14ac:dyDescent="0.25">
      <c r="A237" t="str">
        <f ca="1"/>
        <v>TSCXX</v>
      </c>
      <c r="B237" t="e">
        <f ca="1"/>
        <v>#VALUE!</v>
      </c>
      <c r="C237" t="e">
        <f ca="1"/>
        <v>#VALUE!</v>
      </c>
      <c r="D237" t="e">
        <f ca="1"/>
        <v>#VALUE!</v>
      </c>
      <c r="E237" t="e">
        <f ca="1"/>
        <v>#VALUE!</v>
      </c>
      <c r="F237" t="e">
        <f ca="1"/>
        <v>#VALUE!</v>
      </c>
      <c r="G237" t="e">
        <f ca="1"/>
        <v>#VALUE!</v>
      </c>
      <c r="H237" t="e">
        <f ca="1"/>
        <v>#VALUE!</v>
      </c>
      <c r="I237" t="e">
        <f ca="1"/>
        <v>#VALUE!</v>
      </c>
      <c r="J237" t="e">
        <f ca="1"/>
        <v>#VALUE!</v>
      </c>
      <c r="K237" t="e">
        <f ca="1"/>
        <v>#VALUE!</v>
      </c>
      <c r="L237" t="e">
        <f ca="1"/>
        <v>#VALUE!</v>
      </c>
      <c r="M237" t="e">
        <f ca="1"/>
        <v>#VALUE!</v>
      </c>
      <c r="N237" t="e">
        <f ca="1"/>
        <v>#VALUE!</v>
      </c>
      <c r="O237" t="e">
        <f ca="1"/>
        <v>#VALUE!</v>
      </c>
      <c r="P237" t="e">
        <f ca="1"/>
        <v>#VALUE!</v>
      </c>
      <c r="Q237" t="e">
        <f ca="1"/>
        <v>#VALUE!</v>
      </c>
    </row>
    <row r="238" spans="1:17" x14ac:dyDescent="0.25">
      <c r="A238" t="str">
        <f ca="1"/>
        <v>TSONX</v>
      </c>
      <c r="B238" t="e">
        <f ca="1"/>
        <v>#VALUE!</v>
      </c>
      <c r="C238" t="e">
        <f ca="1"/>
        <v>#VALUE!</v>
      </c>
      <c r="D238" t="e">
        <f ca="1"/>
        <v>#VALUE!</v>
      </c>
      <c r="E238" t="e">
        <f ca="1"/>
        <v>#VALUE!</v>
      </c>
      <c r="F238" t="e">
        <f ca="1"/>
        <v>#VALUE!</v>
      </c>
      <c r="G238" t="e">
        <f ca="1"/>
        <v>#VALUE!</v>
      </c>
      <c r="H238" t="e">
        <f ca="1"/>
        <v>#VALUE!</v>
      </c>
      <c r="I238" t="e">
        <f ca="1"/>
        <v>#VALUE!</v>
      </c>
      <c r="J238" t="e">
        <f ca="1"/>
        <v>#VALUE!</v>
      </c>
      <c r="K238" t="e">
        <f ca="1"/>
        <v>#VALUE!</v>
      </c>
      <c r="L238" t="e">
        <f ca="1"/>
        <v>#VALUE!</v>
      </c>
      <c r="M238" t="e">
        <f ca="1"/>
        <v>#VALUE!</v>
      </c>
      <c r="N238" t="e">
        <f ca="1"/>
        <v>#VALUE!</v>
      </c>
      <c r="O238" t="e">
        <f ca="1"/>
        <v>#VALUE!</v>
      </c>
      <c r="P238" t="e">
        <f ca="1"/>
        <v>#VALUE!</v>
      </c>
      <c r="Q238" t="e">
        <f ca="1"/>
        <v>#VALUE!</v>
      </c>
    </row>
    <row r="239" spans="1:17" x14ac:dyDescent="0.25">
      <c r="A239" t="str">
        <f ca="1"/>
        <v>USD</v>
      </c>
      <c r="B239" t="str">
        <f ca="1"/>
        <v>etf</v>
      </c>
      <c r="C239" t="str">
        <f ca="1"/>
        <v>ProShares Ultra Semiconductors</v>
      </c>
      <c r="D239" t="str">
        <f ca="1"/>
        <v>Alts</v>
      </c>
      <c r="E239" t="str">
        <f ca="1"/>
        <v>^PEATR</v>
      </c>
      <c r="F239" t="str">
        <f ca="1"/>
        <v>Private Equity Index Total Return</v>
      </c>
      <c r="G239" t="str">
        <f ca="1"/>
        <v>DJ US Semiconductors TR USD</v>
      </c>
      <c r="H239">
        <f ca="1"/>
        <v>8.7514999999999996E-2</v>
      </c>
      <c r="I239">
        <f ca="1"/>
        <v>0.11199099999999999</v>
      </c>
      <c r="J239">
        <f ca="1"/>
        <v>1.39625</v>
      </c>
      <c r="K239">
        <f ca="1"/>
        <v>1.1076900000000001</v>
      </c>
      <c r="L239">
        <f ca="1"/>
        <v>1.39625</v>
      </c>
      <c r="M239">
        <f ca="1"/>
        <v>1.1076900000000001</v>
      </c>
      <c r="N239">
        <f ca="1"/>
        <v>1.477336</v>
      </c>
      <c r="O239">
        <f ca="1"/>
        <v>1.218146</v>
      </c>
      <c r="P239">
        <f ca="1"/>
        <v>7.5108370000000004</v>
      </c>
      <c r="Q239">
        <f ca="1"/>
        <v>6.4412420000000008</v>
      </c>
    </row>
    <row r="240" spans="1:17" x14ac:dyDescent="0.25">
      <c r="A240" t="str">
        <f ca="1"/>
        <v>VARBX</v>
      </c>
      <c r="B240" t="e">
        <f ca="1"/>
        <v>#VALUE!</v>
      </c>
      <c r="C240" t="e">
        <f ca="1"/>
        <v>#VALUE!</v>
      </c>
      <c r="D240" t="e">
        <f ca="1"/>
        <v>#VALUE!</v>
      </c>
      <c r="E240" t="e">
        <f ca="1"/>
        <v>#VALUE!</v>
      </c>
      <c r="F240" t="e">
        <f ca="1"/>
        <v>#VALUE!</v>
      </c>
      <c r="G240" t="e">
        <f ca="1"/>
        <v>#VALUE!</v>
      </c>
      <c r="H240" t="e">
        <f ca="1"/>
        <v>#VALUE!</v>
      </c>
      <c r="I240" t="e">
        <f ca="1"/>
        <v>#VALUE!</v>
      </c>
      <c r="J240" t="e">
        <f ca="1"/>
        <v>#VALUE!</v>
      </c>
      <c r="K240" t="e">
        <f ca="1"/>
        <v>#VALUE!</v>
      </c>
      <c r="L240" t="e">
        <f ca="1"/>
        <v>#VALUE!</v>
      </c>
      <c r="M240" t="e">
        <f ca="1"/>
        <v>#VALUE!</v>
      </c>
      <c r="N240" t="e">
        <f ca="1"/>
        <v>#VALUE!</v>
      </c>
      <c r="O240" t="e">
        <f ca="1"/>
        <v>#VALUE!</v>
      </c>
      <c r="P240" t="e">
        <f ca="1"/>
        <v>#VALUE!</v>
      </c>
      <c r="Q240" t="e">
        <f ca="1"/>
        <v>#VALUE!</v>
      </c>
    </row>
    <row r="241" spans="1:17" x14ac:dyDescent="0.25">
      <c r="A241" t="str">
        <f ca="1"/>
        <v>VASVX</v>
      </c>
      <c r="B241" t="e">
        <f ca="1"/>
        <v>#VALUE!</v>
      </c>
      <c r="C241" t="e">
        <f ca="1"/>
        <v>#VALUE!</v>
      </c>
      <c r="D241" t="e">
        <f ca="1"/>
        <v>#VALUE!</v>
      </c>
      <c r="E241" t="e">
        <f ca="1"/>
        <v>#VALUE!</v>
      </c>
      <c r="F241" t="e">
        <f ca="1"/>
        <v>#VALUE!</v>
      </c>
      <c r="G241" t="e">
        <f ca="1"/>
        <v>#VALUE!</v>
      </c>
      <c r="H241" t="e">
        <f ca="1"/>
        <v>#VALUE!</v>
      </c>
      <c r="I241" t="e">
        <f ca="1"/>
        <v>#VALUE!</v>
      </c>
      <c r="J241" t="e">
        <f ca="1"/>
        <v>#VALUE!</v>
      </c>
      <c r="K241" t="e">
        <f ca="1"/>
        <v>#VALUE!</v>
      </c>
      <c r="L241" t="e">
        <f ca="1"/>
        <v>#VALUE!</v>
      </c>
      <c r="M241" t="e">
        <f ca="1"/>
        <v>#VALUE!</v>
      </c>
      <c r="N241" t="e">
        <f ca="1"/>
        <v>#VALUE!</v>
      </c>
      <c r="O241" t="e">
        <f ca="1"/>
        <v>#VALUE!</v>
      </c>
      <c r="P241" t="e">
        <f ca="1"/>
        <v>#VALUE!</v>
      </c>
      <c r="Q241" t="e">
        <f ca="1"/>
        <v>#VALUE!</v>
      </c>
    </row>
    <row r="242" spans="1:17" x14ac:dyDescent="0.25">
      <c r="A242" t="str">
        <f ca="1"/>
        <v>VB</v>
      </c>
      <c r="B242" t="str">
        <f ca="1"/>
        <v>etf</v>
      </c>
      <c r="C242" t="str">
        <f ca="1"/>
        <v>Vanguard Small-Cap Index Fund ETF</v>
      </c>
      <c r="D242" t="str">
        <f ca="1"/>
        <v>US Small-Cap Core</v>
      </c>
      <c r="E242" t="str">
        <f ca="1"/>
        <v>^RUTTR</v>
      </c>
      <c r="F242" t="str">
        <f ca="1"/>
        <v>Russell 2000 Total Return</v>
      </c>
      <c r="G242" t="str">
        <f ca="1"/>
        <v>CRSP US Small Cap TR USD</v>
      </c>
      <c r="H242">
        <f ca="1"/>
        <v>1.6726000000000001E-2</v>
      </c>
      <c r="I242">
        <f ca="1"/>
        <v>1.3381000000000001E-2</v>
      </c>
      <c r="J242">
        <f ca="1"/>
        <v>0.14174</v>
      </c>
      <c r="K242">
        <f ca="1"/>
        <v>2.6361000000000009E-2</v>
      </c>
      <c r="L242">
        <f ca="1"/>
        <v>0.14174</v>
      </c>
      <c r="M242">
        <f ca="1"/>
        <v>2.6361000000000009E-2</v>
      </c>
      <c r="N242">
        <f ca="1"/>
        <v>0.113164</v>
      </c>
      <c r="O242">
        <f ca="1"/>
        <v>7.5496000000000008E-2</v>
      </c>
      <c r="P242">
        <f ca="1"/>
        <v>0.55940400000000001</v>
      </c>
      <c r="Q242">
        <f ca="1"/>
        <v>0.13014300000000001</v>
      </c>
    </row>
    <row r="243" spans="1:17" x14ac:dyDescent="0.25">
      <c r="A243" t="str">
        <f ca="1"/>
        <v>VBILX</v>
      </c>
      <c r="B243" t="e">
        <f ca="1"/>
        <v>#VALUE!</v>
      </c>
      <c r="C243" t="e">
        <f ca="1"/>
        <v>#VALUE!</v>
      </c>
      <c r="D243" t="e">
        <f ca="1"/>
        <v>#VALUE!</v>
      </c>
      <c r="E243" t="e">
        <f ca="1"/>
        <v>#VALUE!</v>
      </c>
      <c r="F243" t="e">
        <f ca="1"/>
        <v>#VALUE!</v>
      </c>
      <c r="G243" t="e">
        <f ca="1"/>
        <v>#VALUE!</v>
      </c>
      <c r="H243" t="e">
        <f ca="1"/>
        <v>#VALUE!</v>
      </c>
      <c r="I243" t="e">
        <f ca="1"/>
        <v>#VALUE!</v>
      </c>
      <c r="J243" t="e">
        <f ca="1"/>
        <v>#VALUE!</v>
      </c>
      <c r="K243" t="e">
        <f ca="1"/>
        <v>#VALUE!</v>
      </c>
      <c r="L243" t="e">
        <f ca="1"/>
        <v>#VALUE!</v>
      </c>
      <c r="M243" t="e">
        <f ca="1"/>
        <v>#VALUE!</v>
      </c>
      <c r="N243" t="e">
        <f ca="1"/>
        <v>#VALUE!</v>
      </c>
      <c r="O243" t="e">
        <f ca="1"/>
        <v>#VALUE!</v>
      </c>
      <c r="P243" t="e">
        <f ca="1"/>
        <v>#VALUE!</v>
      </c>
      <c r="Q243" t="e">
        <f ca="1"/>
        <v>#VALUE!</v>
      </c>
    </row>
    <row r="244" spans="1:17" x14ac:dyDescent="0.25">
      <c r="A244" t="str">
        <f ca="1"/>
        <v>VBK</v>
      </c>
      <c r="B244" t="str">
        <f ca="1"/>
        <v>etf</v>
      </c>
      <c r="C244" t="str">
        <f ca="1"/>
        <v>Vanguard Small-Cap Growth Index Fund ETF</v>
      </c>
      <c r="D244" t="str">
        <f ca="1"/>
        <v>US Small-Cap Growth</v>
      </c>
      <c r="E244" t="str">
        <f ca="1"/>
        <v>^RUOTR</v>
      </c>
      <c r="F244" t="str">
        <f ca="1"/>
        <v>Russell 2000 Growth Total Return</v>
      </c>
      <c r="G244" t="str">
        <f ca="1"/>
        <v>CRSP US Small Cap Growth TR USD</v>
      </c>
      <c r="H244">
        <f ca="1"/>
        <v>4.8936E-2</v>
      </c>
      <c r="I244">
        <f ca="1"/>
        <v>3.1897000000000002E-2</v>
      </c>
      <c r="J244">
        <f ca="1"/>
        <v>0.16498699999999999</v>
      </c>
      <c r="K244">
        <f ca="1"/>
        <v>1.3444999999999985E-2</v>
      </c>
      <c r="L244">
        <f ca="1"/>
        <v>0.16498699999999999</v>
      </c>
      <c r="M244">
        <f ca="1"/>
        <v>1.3444999999999985E-2</v>
      </c>
      <c r="N244">
        <f ca="1"/>
        <v>1.248E-2</v>
      </c>
      <c r="O244">
        <f ca="1"/>
        <v>6.2269999999999999E-3</v>
      </c>
      <c r="P244">
        <f ca="1"/>
        <v>0.44877099999999998</v>
      </c>
      <c r="Q244">
        <f ca="1"/>
        <v>5.562499999999998E-2</v>
      </c>
    </row>
    <row r="245" spans="1:17" x14ac:dyDescent="0.25">
      <c r="A245" t="str">
        <f ca="1"/>
        <v>VBR</v>
      </c>
      <c r="B245" t="str">
        <f ca="1"/>
        <v>etf</v>
      </c>
      <c r="C245" t="str">
        <f ca="1"/>
        <v>Vanguard Small-Cap Value Index Fund ETF</v>
      </c>
      <c r="D245" t="str">
        <f ca="1"/>
        <v>US Small-Cap Core</v>
      </c>
      <c r="E245" t="str">
        <f ca="1"/>
        <v>^RUTTR</v>
      </c>
      <c r="F245" t="str">
        <f ca="1"/>
        <v>Russell 2000 Total Return</v>
      </c>
      <c r="G245" t="str">
        <f ca="1"/>
        <v>CRSP US Small Cap Value TR USD</v>
      </c>
      <c r="H245">
        <f ca="1"/>
        <v>-7.5310000000000004E-3</v>
      </c>
      <c r="I245">
        <f ca="1"/>
        <v>-1.0876E-2</v>
      </c>
      <c r="J245">
        <f ca="1"/>
        <v>0.12385500000000001</v>
      </c>
      <c r="K245">
        <f ca="1"/>
        <v>8.4760000000000113E-3</v>
      </c>
      <c r="L245">
        <f ca="1"/>
        <v>0.12385500000000001</v>
      </c>
      <c r="M245">
        <f ca="1"/>
        <v>8.4760000000000113E-3</v>
      </c>
      <c r="N245">
        <f ca="1"/>
        <v>0.18184700000000001</v>
      </c>
      <c r="O245">
        <f ca="1"/>
        <v>0.144179</v>
      </c>
      <c r="P245">
        <f ca="1"/>
        <v>0.60222399999999998</v>
      </c>
      <c r="Q245">
        <f ca="1"/>
        <v>0.17296299999999998</v>
      </c>
    </row>
    <row r="246" spans="1:17" x14ac:dyDescent="0.25">
      <c r="A246" t="str">
        <f ca="1"/>
        <v>VBTLX</v>
      </c>
      <c r="B246" t="e">
        <f ca="1"/>
        <v>#VALUE!</v>
      </c>
      <c r="C246" t="e">
        <f ca="1"/>
        <v>#VALUE!</v>
      </c>
      <c r="D246" t="e">
        <f ca="1"/>
        <v>#VALUE!</v>
      </c>
      <c r="E246" t="e">
        <f ca="1"/>
        <v>#VALUE!</v>
      </c>
      <c r="F246" t="e">
        <f ca="1"/>
        <v>#VALUE!</v>
      </c>
      <c r="G246" t="e">
        <f ca="1"/>
        <v>#VALUE!</v>
      </c>
      <c r="H246" t="e">
        <f ca="1"/>
        <v>#VALUE!</v>
      </c>
      <c r="I246" t="e">
        <f ca="1"/>
        <v>#VALUE!</v>
      </c>
      <c r="J246" t="e">
        <f ca="1"/>
        <v>#VALUE!</v>
      </c>
      <c r="K246" t="e">
        <f ca="1"/>
        <v>#VALUE!</v>
      </c>
      <c r="L246" t="e">
        <f ca="1"/>
        <v>#VALUE!</v>
      </c>
      <c r="M246" t="e">
        <f ca="1"/>
        <v>#VALUE!</v>
      </c>
      <c r="N246" t="e">
        <f ca="1"/>
        <v>#VALUE!</v>
      </c>
      <c r="O246" t="e">
        <f ca="1"/>
        <v>#VALUE!</v>
      </c>
      <c r="P246" t="e">
        <f ca="1"/>
        <v>#VALUE!</v>
      </c>
      <c r="Q246" t="e">
        <f ca="1"/>
        <v>#VALUE!</v>
      </c>
    </row>
    <row r="247" spans="1:17" x14ac:dyDescent="0.25">
      <c r="A247" t="str">
        <f ca="1"/>
        <v>VCIT</v>
      </c>
      <c r="B247" t="str">
        <f ca="1"/>
        <v>etf</v>
      </c>
      <c r="C247" t="str">
        <f ca="1"/>
        <v>Vanguard Intermediate-Term Corp Bond Idx Fund ETF</v>
      </c>
      <c r="D247" t="str">
        <f ca="1"/>
        <v>US Corporate Bond</v>
      </c>
      <c r="E247" t="str">
        <f ca="1"/>
        <v>^BBUSCOTR</v>
      </c>
      <c r="F247" t="str">
        <f ca="1"/>
        <v>Bloomberg US Corporate</v>
      </c>
      <c r="G247" t="str">
        <f ca="1"/>
        <v>Bloomberg US Credit Corp 5-10 Yr TR USD</v>
      </c>
      <c r="H247">
        <f ca="1"/>
        <v>-2.7088999999999998E-2</v>
      </c>
      <c r="I247">
        <f ca="1"/>
        <v>3.2650000000000005E-3</v>
      </c>
      <c r="J247">
        <f ca="1"/>
        <v>3.1940000000000003E-2</v>
      </c>
      <c r="K247">
        <f ca="1"/>
        <v>1.0689000000000004E-2</v>
      </c>
      <c r="L247">
        <f ca="1"/>
        <v>3.1940000000000003E-2</v>
      </c>
      <c r="M247">
        <f ca="1"/>
        <v>1.0689000000000004E-2</v>
      </c>
      <c r="N247">
        <f ca="1"/>
        <v>-3.2679E-2</v>
      </c>
      <c r="O247">
        <f ca="1"/>
        <v>3.3748E-2</v>
      </c>
      <c r="P247">
        <f ca="1"/>
        <v>4.0106000000000003E-2</v>
      </c>
      <c r="Q247">
        <f ca="1"/>
        <v>2.4922000000000003E-2</v>
      </c>
    </row>
    <row r="248" spans="1:17" x14ac:dyDescent="0.25">
      <c r="A248" t="str">
        <f ca="1"/>
        <v>VEMAX</v>
      </c>
      <c r="B248" t="e">
        <f ca="1"/>
        <v>#VALUE!</v>
      </c>
      <c r="C248" t="e">
        <f ca="1"/>
        <v>#VALUE!</v>
      </c>
      <c r="D248" t="e">
        <f ca="1"/>
        <v>#VALUE!</v>
      </c>
      <c r="E248" t="e">
        <f ca="1"/>
        <v>#VALUE!</v>
      </c>
      <c r="F248" t="e">
        <f ca="1"/>
        <v>#VALUE!</v>
      </c>
      <c r="G248" t="e">
        <f ca="1"/>
        <v>#VALUE!</v>
      </c>
      <c r="H248" t="e">
        <f ca="1"/>
        <v>#VALUE!</v>
      </c>
      <c r="I248" t="e">
        <f ca="1"/>
        <v>#VALUE!</v>
      </c>
      <c r="J248" t="e">
        <f ca="1"/>
        <v>#VALUE!</v>
      </c>
      <c r="K248" t="e">
        <f ca="1"/>
        <v>#VALUE!</v>
      </c>
      <c r="L248" t="e">
        <f ca="1"/>
        <v>#VALUE!</v>
      </c>
      <c r="M248" t="e">
        <f ca="1"/>
        <v>#VALUE!</v>
      </c>
      <c r="N248" t="e">
        <f ca="1"/>
        <v>#VALUE!</v>
      </c>
      <c r="O248" t="e">
        <f ca="1"/>
        <v>#VALUE!</v>
      </c>
      <c r="P248" t="e">
        <f ca="1"/>
        <v>#VALUE!</v>
      </c>
      <c r="Q248" t="e">
        <f ca="1"/>
        <v>#VALUE!</v>
      </c>
    </row>
    <row r="249" spans="1:17" x14ac:dyDescent="0.25">
      <c r="A249" t="str">
        <f ca="1"/>
        <v>VENAX</v>
      </c>
      <c r="B249" t="e">
        <f ca="1"/>
        <v>#VALUE!</v>
      </c>
      <c r="C249" t="e">
        <f ca="1"/>
        <v>#VALUE!</v>
      </c>
      <c r="D249" t="e">
        <f ca="1"/>
        <v>#VALUE!</v>
      </c>
      <c r="E249" t="e">
        <f ca="1"/>
        <v>#VALUE!</v>
      </c>
      <c r="F249" t="e">
        <f ca="1"/>
        <v>#VALUE!</v>
      </c>
      <c r="G249" t="e">
        <f ca="1"/>
        <v>#VALUE!</v>
      </c>
      <c r="H249" t="e">
        <f ca="1"/>
        <v>#VALUE!</v>
      </c>
      <c r="I249" t="e">
        <f ca="1"/>
        <v>#VALUE!</v>
      </c>
      <c r="J249" t="e">
        <f ca="1"/>
        <v>#VALUE!</v>
      </c>
      <c r="K249" t="e">
        <f ca="1"/>
        <v>#VALUE!</v>
      </c>
      <c r="L249" t="e">
        <f ca="1"/>
        <v>#VALUE!</v>
      </c>
      <c r="M249" t="e">
        <f ca="1"/>
        <v>#VALUE!</v>
      </c>
      <c r="N249" t="e">
        <f ca="1"/>
        <v>#VALUE!</v>
      </c>
      <c r="O249" t="e">
        <f ca="1"/>
        <v>#VALUE!</v>
      </c>
      <c r="P249" t="e">
        <f ca="1"/>
        <v>#VALUE!</v>
      </c>
      <c r="Q249" t="e">
        <f ca="1"/>
        <v>#VALUE!</v>
      </c>
    </row>
    <row r="250" spans="1:17" x14ac:dyDescent="0.25">
      <c r="A250" t="str">
        <f ca="1"/>
        <v>VESGX</v>
      </c>
      <c r="B250" t="e">
        <f ca="1"/>
        <v>#VALUE!</v>
      </c>
      <c r="C250" t="e">
        <f ca="1"/>
        <v>#VALUE!</v>
      </c>
      <c r="D250" t="e">
        <f ca="1"/>
        <v>#VALUE!</v>
      </c>
      <c r="E250" t="e">
        <f ca="1"/>
        <v>#VALUE!</v>
      </c>
      <c r="F250" t="e">
        <f ca="1"/>
        <v>#VALUE!</v>
      </c>
      <c r="G250" t="e">
        <f ca="1"/>
        <v>#VALUE!</v>
      </c>
      <c r="H250" t="e">
        <f ca="1"/>
        <v>#VALUE!</v>
      </c>
      <c r="I250" t="e">
        <f ca="1"/>
        <v>#VALUE!</v>
      </c>
      <c r="J250" t="e">
        <f ca="1"/>
        <v>#VALUE!</v>
      </c>
      <c r="K250" t="e">
        <f ca="1"/>
        <v>#VALUE!</v>
      </c>
      <c r="L250" t="e">
        <f ca="1"/>
        <v>#VALUE!</v>
      </c>
      <c r="M250" t="e">
        <f ca="1"/>
        <v>#VALUE!</v>
      </c>
      <c r="N250" t="e">
        <f ca="1"/>
        <v>#VALUE!</v>
      </c>
      <c r="O250" t="e">
        <f ca="1"/>
        <v>#VALUE!</v>
      </c>
      <c r="P250" t="e">
        <f ca="1"/>
        <v>#VALUE!</v>
      </c>
      <c r="Q250" t="e">
        <f ca="1"/>
        <v>#VALUE!</v>
      </c>
    </row>
    <row r="251" spans="1:17" x14ac:dyDescent="0.25">
      <c r="A251" t="str">
        <f ca="1"/>
        <v>VFIAX</v>
      </c>
      <c r="B251" t="e">
        <f ca="1"/>
        <v>#VALUE!</v>
      </c>
      <c r="C251" t="e">
        <f ca="1"/>
        <v>#VALUE!</v>
      </c>
      <c r="D251" t="e">
        <f ca="1"/>
        <v>#VALUE!</v>
      </c>
      <c r="E251" t="e">
        <f ca="1"/>
        <v>#VALUE!</v>
      </c>
      <c r="F251" t="e">
        <f ca="1"/>
        <v>#VALUE!</v>
      </c>
      <c r="G251" t="e">
        <f ca="1"/>
        <v>#VALUE!</v>
      </c>
      <c r="H251" t="e">
        <f ca="1"/>
        <v>#VALUE!</v>
      </c>
      <c r="I251" t="e">
        <f ca="1"/>
        <v>#VALUE!</v>
      </c>
      <c r="J251" t="e">
        <f ca="1"/>
        <v>#VALUE!</v>
      </c>
      <c r="K251" t="e">
        <f ca="1"/>
        <v>#VALUE!</v>
      </c>
      <c r="L251" t="e">
        <f ca="1"/>
        <v>#VALUE!</v>
      </c>
      <c r="M251" t="e">
        <f ca="1"/>
        <v>#VALUE!</v>
      </c>
      <c r="N251" t="e">
        <f ca="1"/>
        <v>#VALUE!</v>
      </c>
      <c r="O251" t="e">
        <f ca="1"/>
        <v>#VALUE!</v>
      </c>
      <c r="P251" t="e">
        <f ca="1"/>
        <v>#VALUE!</v>
      </c>
      <c r="Q251" t="e">
        <f ca="1"/>
        <v>#VALUE!</v>
      </c>
    </row>
    <row r="252" spans="1:17" x14ac:dyDescent="0.25">
      <c r="A252" t="str">
        <f ca="1"/>
        <v>VFIIX</v>
      </c>
      <c r="B252" t="e">
        <f ca="1"/>
        <v>#VALUE!</v>
      </c>
      <c r="C252" t="e">
        <f ca="1"/>
        <v>#VALUE!</v>
      </c>
      <c r="D252" t="e">
        <f ca="1"/>
        <v>#VALUE!</v>
      </c>
      <c r="E252" t="e">
        <f ca="1"/>
        <v>#VALUE!</v>
      </c>
      <c r="F252" t="e">
        <f ca="1"/>
        <v>#VALUE!</v>
      </c>
      <c r="G252" t="e">
        <f ca="1"/>
        <v>#VALUE!</v>
      </c>
      <c r="H252" t="e">
        <f ca="1"/>
        <v>#VALUE!</v>
      </c>
      <c r="I252" t="e">
        <f ca="1"/>
        <v>#VALUE!</v>
      </c>
      <c r="J252" t="e">
        <f ca="1"/>
        <v>#VALUE!</v>
      </c>
      <c r="K252" t="e">
        <f ca="1"/>
        <v>#VALUE!</v>
      </c>
      <c r="L252" t="e">
        <f ca="1"/>
        <v>#VALUE!</v>
      </c>
      <c r="M252" t="e">
        <f ca="1"/>
        <v>#VALUE!</v>
      </c>
      <c r="N252" t="e">
        <f ca="1"/>
        <v>#VALUE!</v>
      </c>
      <c r="O252" t="e">
        <f ca="1"/>
        <v>#VALUE!</v>
      </c>
      <c r="P252" t="e">
        <f ca="1"/>
        <v>#VALUE!</v>
      </c>
      <c r="Q252" t="e">
        <f ca="1"/>
        <v>#VALUE!</v>
      </c>
    </row>
    <row r="253" spans="1:17" x14ac:dyDescent="0.25">
      <c r="A253" t="str">
        <f ca="1"/>
        <v>VFSTX</v>
      </c>
      <c r="B253" t="e">
        <f ca="1"/>
        <v>#VALUE!</v>
      </c>
      <c r="C253" t="e">
        <f ca="1"/>
        <v>#VALUE!</v>
      </c>
      <c r="D253" t="e">
        <f ca="1"/>
        <v>#VALUE!</v>
      </c>
      <c r="E253" t="e">
        <f ca="1"/>
        <v>#VALUE!</v>
      </c>
      <c r="F253" t="e">
        <f ca="1"/>
        <v>#VALUE!</v>
      </c>
      <c r="G253" t="e">
        <f ca="1"/>
        <v>#VALUE!</v>
      </c>
      <c r="H253" t="e">
        <f ca="1"/>
        <v>#VALUE!</v>
      </c>
      <c r="I253" t="e">
        <f ca="1"/>
        <v>#VALUE!</v>
      </c>
      <c r="J253" t="e">
        <f ca="1"/>
        <v>#VALUE!</v>
      </c>
      <c r="K253" t="e">
        <f ca="1"/>
        <v>#VALUE!</v>
      </c>
      <c r="L253" t="e">
        <f ca="1"/>
        <v>#VALUE!</v>
      </c>
      <c r="M253" t="e">
        <f ca="1"/>
        <v>#VALUE!</v>
      </c>
      <c r="N253" t="e">
        <f ca="1"/>
        <v>#VALUE!</v>
      </c>
      <c r="O253" t="e">
        <f ca="1"/>
        <v>#VALUE!</v>
      </c>
      <c r="P253" t="e">
        <f ca="1"/>
        <v>#VALUE!</v>
      </c>
      <c r="Q253" t="e">
        <f ca="1"/>
        <v>#VALUE!</v>
      </c>
    </row>
    <row r="254" spans="1:17" x14ac:dyDescent="0.25">
      <c r="A254" t="str">
        <f ca="1"/>
        <v>VFSUX</v>
      </c>
      <c r="B254" t="e">
        <f ca="1"/>
        <v>#VALUE!</v>
      </c>
      <c r="C254" t="e">
        <f ca="1"/>
        <v>#VALUE!</v>
      </c>
      <c r="D254" t="e">
        <f ca="1"/>
        <v>#VALUE!</v>
      </c>
      <c r="E254" t="e">
        <f ca="1"/>
        <v>#VALUE!</v>
      </c>
      <c r="F254" t="e">
        <f ca="1"/>
        <v>#VALUE!</v>
      </c>
      <c r="G254" t="e">
        <f ca="1"/>
        <v>#VALUE!</v>
      </c>
      <c r="H254" t="e">
        <f ca="1"/>
        <v>#VALUE!</v>
      </c>
      <c r="I254" t="e">
        <f ca="1"/>
        <v>#VALUE!</v>
      </c>
      <c r="J254" t="e">
        <f ca="1"/>
        <v>#VALUE!</v>
      </c>
      <c r="K254" t="e">
        <f ca="1"/>
        <v>#VALUE!</v>
      </c>
      <c r="L254" t="e">
        <f ca="1"/>
        <v>#VALUE!</v>
      </c>
      <c r="M254" t="e">
        <f ca="1"/>
        <v>#VALUE!</v>
      </c>
      <c r="N254" t="e">
        <f ca="1"/>
        <v>#VALUE!</v>
      </c>
      <c r="O254" t="e">
        <f ca="1"/>
        <v>#VALUE!</v>
      </c>
      <c r="P254" t="e">
        <f ca="1"/>
        <v>#VALUE!</v>
      </c>
      <c r="Q254" t="e">
        <f ca="1"/>
        <v>#VALUE!</v>
      </c>
    </row>
    <row r="255" spans="1:17" x14ac:dyDescent="0.25">
      <c r="A255" t="str">
        <f ca="1"/>
        <v>VFTAX</v>
      </c>
      <c r="B255" t="e">
        <f ca="1"/>
        <v>#VALUE!</v>
      </c>
      <c r="C255" t="e">
        <f ca="1"/>
        <v>#VALUE!</v>
      </c>
      <c r="D255" t="e">
        <f ca="1"/>
        <v>#VALUE!</v>
      </c>
      <c r="E255" t="e">
        <f ca="1"/>
        <v>#VALUE!</v>
      </c>
      <c r="F255" t="e">
        <f ca="1"/>
        <v>#VALUE!</v>
      </c>
      <c r="G255" t="e">
        <f ca="1"/>
        <v>#VALUE!</v>
      </c>
      <c r="H255" t="e">
        <f ca="1"/>
        <v>#VALUE!</v>
      </c>
      <c r="I255" t="e">
        <f ca="1"/>
        <v>#VALUE!</v>
      </c>
      <c r="J255" t="e">
        <f ca="1"/>
        <v>#VALUE!</v>
      </c>
      <c r="K255" t="e">
        <f ca="1"/>
        <v>#VALUE!</v>
      </c>
      <c r="L255" t="e">
        <f ca="1"/>
        <v>#VALUE!</v>
      </c>
      <c r="M255" t="e">
        <f ca="1"/>
        <v>#VALUE!</v>
      </c>
      <c r="N255" t="e">
        <f ca="1"/>
        <v>#VALUE!</v>
      </c>
      <c r="O255" t="e">
        <f ca="1"/>
        <v>#VALUE!</v>
      </c>
      <c r="P255" t="e">
        <f ca="1"/>
        <v>#VALUE!</v>
      </c>
      <c r="Q255" t="e">
        <f ca="1"/>
        <v>#VALUE!</v>
      </c>
    </row>
    <row r="256" spans="1:17" x14ac:dyDescent="0.25">
      <c r="A256" t="str">
        <f ca="1"/>
        <v>VHGEX</v>
      </c>
      <c r="B256" t="e">
        <f ca="1"/>
        <v>#VALUE!</v>
      </c>
      <c r="C256" t="e">
        <f ca="1"/>
        <v>#VALUE!</v>
      </c>
      <c r="D256" t="e">
        <f ca="1"/>
        <v>#VALUE!</v>
      </c>
      <c r="E256" t="e">
        <f ca="1"/>
        <v>#VALUE!</v>
      </c>
      <c r="F256" t="e">
        <f ca="1"/>
        <v>#VALUE!</v>
      </c>
      <c r="G256" t="e">
        <f ca="1"/>
        <v>#VALUE!</v>
      </c>
      <c r="H256" t="e">
        <f ca="1"/>
        <v>#VALUE!</v>
      </c>
      <c r="I256" t="e">
        <f ca="1"/>
        <v>#VALUE!</v>
      </c>
      <c r="J256" t="e">
        <f ca="1"/>
        <v>#VALUE!</v>
      </c>
      <c r="K256" t="e">
        <f ca="1"/>
        <v>#VALUE!</v>
      </c>
      <c r="L256" t="e">
        <f ca="1"/>
        <v>#VALUE!</v>
      </c>
      <c r="M256" t="e">
        <f ca="1"/>
        <v>#VALUE!</v>
      </c>
      <c r="N256" t="e">
        <f ca="1"/>
        <v>#VALUE!</v>
      </c>
      <c r="O256" t="e">
        <f ca="1"/>
        <v>#VALUE!</v>
      </c>
      <c r="P256" t="e">
        <f ca="1"/>
        <v>#VALUE!</v>
      </c>
      <c r="Q256" t="e">
        <f ca="1"/>
        <v>#VALUE!</v>
      </c>
    </row>
    <row r="257" spans="1:17" x14ac:dyDescent="0.25">
      <c r="A257" t="str">
        <f ca="1"/>
        <v>VICSX</v>
      </c>
      <c r="B257" t="e">
        <f ca="1"/>
        <v>#VALUE!</v>
      </c>
      <c r="C257" t="e">
        <f ca="1"/>
        <v>#VALUE!</v>
      </c>
      <c r="D257" t="e">
        <f ca="1"/>
        <v>#VALUE!</v>
      </c>
      <c r="E257" t="e">
        <f ca="1"/>
        <v>#VALUE!</v>
      </c>
      <c r="F257" t="e">
        <f ca="1"/>
        <v>#VALUE!</v>
      </c>
      <c r="G257" t="e">
        <f ca="1"/>
        <v>#VALUE!</v>
      </c>
      <c r="H257" t="e">
        <f ca="1"/>
        <v>#VALUE!</v>
      </c>
      <c r="I257" t="e">
        <f ca="1"/>
        <v>#VALUE!</v>
      </c>
      <c r="J257" t="e">
        <f ca="1"/>
        <v>#VALUE!</v>
      </c>
      <c r="K257" t="e">
        <f ca="1"/>
        <v>#VALUE!</v>
      </c>
      <c r="L257" t="e">
        <f ca="1"/>
        <v>#VALUE!</v>
      </c>
      <c r="M257" t="e">
        <f ca="1"/>
        <v>#VALUE!</v>
      </c>
      <c r="N257" t="e">
        <f ca="1"/>
        <v>#VALUE!</v>
      </c>
      <c r="O257" t="e">
        <f ca="1"/>
        <v>#VALUE!</v>
      </c>
      <c r="P257" t="e">
        <f ca="1"/>
        <v>#VALUE!</v>
      </c>
      <c r="Q257" t="e">
        <f ca="1"/>
        <v>#VALUE!</v>
      </c>
    </row>
    <row r="258" spans="1:17" x14ac:dyDescent="0.25">
      <c r="A258" t="str">
        <f ca="1"/>
        <v>VIGAX</v>
      </c>
      <c r="B258" t="e">
        <f ca="1"/>
        <v>#VALUE!</v>
      </c>
      <c r="C258" t="e">
        <f ca="1"/>
        <v>#VALUE!</v>
      </c>
      <c r="D258" t="e">
        <f ca="1"/>
        <v>#VALUE!</v>
      </c>
      <c r="E258" t="e">
        <f ca="1"/>
        <v>#VALUE!</v>
      </c>
      <c r="F258" t="e">
        <f ca="1"/>
        <v>#VALUE!</v>
      </c>
      <c r="G258" t="e">
        <f ca="1"/>
        <v>#VALUE!</v>
      </c>
      <c r="H258" t="e">
        <f ca="1"/>
        <v>#VALUE!</v>
      </c>
      <c r="I258" t="e">
        <f ca="1"/>
        <v>#VALUE!</v>
      </c>
      <c r="J258" t="e">
        <f ca="1"/>
        <v>#VALUE!</v>
      </c>
      <c r="K258" t="e">
        <f ca="1"/>
        <v>#VALUE!</v>
      </c>
      <c r="L258" t="e">
        <f ca="1"/>
        <v>#VALUE!</v>
      </c>
      <c r="M258" t="e">
        <f ca="1"/>
        <v>#VALUE!</v>
      </c>
      <c r="N258" t="e">
        <f ca="1"/>
        <v>#VALUE!</v>
      </c>
      <c r="O258" t="e">
        <f ca="1"/>
        <v>#VALUE!</v>
      </c>
      <c r="P258" t="e">
        <f ca="1"/>
        <v>#VALUE!</v>
      </c>
      <c r="Q258" t="e">
        <f ca="1"/>
        <v>#VALUE!</v>
      </c>
    </row>
    <row r="259" spans="1:17" x14ac:dyDescent="0.25">
      <c r="A259" t="str">
        <f ca="1"/>
        <v>VIISX</v>
      </c>
      <c r="B259" t="e">
        <f ca="1"/>
        <v>#VALUE!</v>
      </c>
      <c r="C259" t="e">
        <f ca="1"/>
        <v>#VALUE!</v>
      </c>
      <c r="D259" t="e">
        <f ca="1"/>
        <v>#VALUE!</v>
      </c>
      <c r="E259" t="e">
        <f ca="1"/>
        <v>#VALUE!</v>
      </c>
      <c r="F259" t="e">
        <f ca="1"/>
        <v>#VALUE!</v>
      </c>
      <c r="G259" t="e">
        <f ca="1"/>
        <v>#VALUE!</v>
      </c>
      <c r="H259" t="e">
        <f ca="1"/>
        <v>#VALUE!</v>
      </c>
      <c r="I259" t="e">
        <f ca="1"/>
        <v>#VALUE!</v>
      </c>
      <c r="J259" t="e">
        <f ca="1"/>
        <v>#VALUE!</v>
      </c>
      <c r="K259" t="e">
        <f ca="1"/>
        <v>#VALUE!</v>
      </c>
      <c r="L259" t="e">
        <f ca="1"/>
        <v>#VALUE!</v>
      </c>
      <c r="M259" t="e">
        <f ca="1"/>
        <v>#VALUE!</v>
      </c>
      <c r="N259" t="e">
        <f ca="1"/>
        <v>#VALUE!</v>
      </c>
      <c r="O259" t="e">
        <f ca="1"/>
        <v>#VALUE!</v>
      </c>
      <c r="P259" t="e">
        <f ca="1"/>
        <v>#VALUE!</v>
      </c>
      <c r="Q259" t="e">
        <f ca="1"/>
        <v>#VALUE!</v>
      </c>
    </row>
    <row r="260" spans="1:17" x14ac:dyDescent="0.25">
      <c r="A260" t="str">
        <f ca="1"/>
        <v>VIVAX</v>
      </c>
      <c r="B260" t="e">
        <f ca="1"/>
        <v>#VALUE!</v>
      </c>
      <c r="C260" t="e">
        <f ca="1"/>
        <v>#VALUE!</v>
      </c>
      <c r="D260" t="e">
        <f ca="1"/>
        <v>#VALUE!</v>
      </c>
      <c r="E260" t="e">
        <f ca="1"/>
        <v>#VALUE!</v>
      </c>
      <c r="F260" t="e">
        <f ca="1"/>
        <v>#VALUE!</v>
      </c>
      <c r="G260" t="e">
        <f ca="1"/>
        <v>#VALUE!</v>
      </c>
      <c r="H260" t="e">
        <f ca="1"/>
        <v>#VALUE!</v>
      </c>
      <c r="I260" t="e">
        <f ca="1"/>
        <v>#VALUE!</v>
      </c>
      <c r="J260" t="e">
        <f ca="1"/>
        <v>#VALUE!</v>
      </c>
      <c r="K260" t="e">
        <f ca="1"/>
        <v>#VALUE!</v>
      </c>
      <c r="L260" t="e">
        <f ca="1"/>
        <v>#VALUE!</v>
      </c>
      <c r="M260" t="e">
        <f ca="1"/>
        <v>#VALUE!</v>
      </c>
      <c r="N260" t="e">
        <f ca="1"/>
        <v>#VALUE!</v>
      </c>
      <c r="O260" t="e">
        <f ca="1"/>
        <v>#VALUE!</v>
      </c>
      <c r="P260" t="e">
        <f ca="1"/>
        <v>#VALUE!</v>
      </c>
      <c r="Q260" t="e">
        <f ca="1"/>
        <v>#VALUE!</v>
      </c>
    </row>
    <row r="261" spans="1:17" x14ac:dyDescent="0.25">
      <c r="A261" t="str">
        <f ca="1"/>
        <v>VIVIX</v>
      </c>
      <c r="B261" t="e">
        <f ca="1"/>
        <v>#VALUE!</v>
      </c>
      <c r="C261" t="e">
        <f ca="1"/>
        <v>#VALUE!</v>
      </c>
      <c r="D261" t="e">
        <f ca="1"/>
        <v>#VALUE!</v>
      </c>
      <c r="E261" t="e">
        <f ca="1"/>
        <v>#VALUE!</v>
      </c>
      <c r="F261" t="e">
        <f ca="1"/>
        <v>#VALUE!</v>
      </c>
      <c r="G261" t="e">
        <f ca="1"/>
        <v>#VALUE!</v>
      </c>
      <c r="H261" t="e">
        <f ca="1"/>
        <v>#VALUE!</v>
      </c>
      <c r="I261" t="e">
        <f ca="1"/>
        <v>#VALUE!</v>
      </c>
      <c r="J261" t="e">
        <f ca="1"/>
        <v>#VALUE!</v>
      </c>
      <c r="K261" t="e">
        <f ca="1"/>
        <v>#VALUE!</v>
      </c>
      <c r="L261" t="e">
        <f ca="1"/>
        <v>#VALUE!</v>
      </c>
      <c r="M261" t="e">
        <f ca="1"/>
        <v>#VALUE!</v>
      </c>
      <c r="N261" t="e">
        <f ca="1"/>
        <v>#VALUE!</v>
      </c>
      <c r="O261" t="e">
        <f ca="1"/>
        <v>#VALUE!</v>
      </c>
      <c r="P261" t="e">
        <f ca="1"/>
        <v>#VALUE!</v>
      </c>
      <c r="Q261" t="e">
        <f ca="1"/>
        <v>#VALUE!</v>
      </c>
    </row>
    <row r="262" spans="1:17" x14ac:dyDescent="0.25">
      <c r="A262" t="str">
        <f ca="1"/>
        <v>VMBS</v>
      </c>
      <c r="B262" t="str">
        <f ca="1"/>
        <v>etf</v>
      </c>
      <c r="C262" t="str">
        <f ca="1"/>
        <v>Vanguard Mortgage-Backed Secs Idx Fund ETF</v>
      </c>
      <c r="D262" t="str">
        <f ca="1"/>
        <v>US Mortgage Backed Bond</v>
      </c>
      <c r="E262" t="str">
        <f ca="1"/>
        <v>^BBUSMBSTR</v>
      </c>
      <c r="F262" t="str">
        <f ca="1"/>
        <v>Bloomberg US Mortgage Backed Securities</v>
      </c>
      <c r="G262" t="str">
        <f ca="1"/>
        <v>Bloomberg US MBS Float Adjusted TR USD</v>
      </c>
      <c r="H262">
        <f ca="1"/>
        <v>-2.7007E-2</v>
      </c>
      <c r="I262">
        <f ca="1"/>
        <v>4.5710000000000021E-3</v>
      </c>
      <c r="J262">
        <f ca="1"/>
        <v>1.6968E-2</v>
      </c>
      <c r="K262">
        <f ca="1"/>
        <v>4.9760000000000013E-3</v>
      </c>
      <c r="L262">
        <f ca="1"/>
        <v>1.6968E-2</v>
      </c>
      <c r="M262">
        <f ca="1"/>
        <v>4.9760000000000013E-3</v>
      </c>
      <c r="N262">
        <f ca="1"/>
        <v>-5.6188000000000002E-2</v>
      </c>
      <c r="O262">
        <f ca="1"/>
        <v>6.3099999999999962E-3</v>
      </c>
      <c r="P262">
        <f ca="1"/>
        <v>-3.3252999999999998E-2</v>
      </c>
      <c r="Q262">
        <f ca="1"/>
        <v>3.0980000000000035E-3</v>
      </c>
    </row>
    <row r="263" spans="1:17" x14ac:dyDescent="0.25">
      <c r="A263" t="str">
        <f ca="1"/>
        <v>VMNFX</v>
      </c>
      <c r="B263" t="e">
        <f ca="1"/>
        <v>#VALUE!</v>
      </c>
      <c r="C263" t="e">
        <f ca="1"/>
        <v>#VALUE!</v>
      </c>
      <c r="D263" t="e">
        <f ca="1"/>
        <v>#VALUE!</v>
      </c>
      <c r="E263" t="e">
        <f ca="1"/>
        <v>#VALUE!</v>
      </c>
      <c r="F263" t="e">
        <f ca="1"/>
        <v>#VALUE!</v>
      </c>
      <c r="G263" t="e">
        <f ca="1"/>
        <v>#VALUE!</v>
      </c>
      <c r="H263" t="e">
        <f ca="1"/>
        <v>#VALUE!</v>
      </c>
      <c r="I263" t="e">
        <f ca="1"/>
        <v>#VALUE!</v>
      </c>
      <c r="J263" t="e">
        <f ca="1"/>
        <v>#VALUE!</v>
      </c>
      <c r="K263" t="e">
        <f ca="1"/>
        <v>#VALUE!</v>
      </c>
      <c r="L263" t="e">
        <f ca="1"/>
        <v>#VALUE!</v>
      </c>
      <c r="M263" t="e">
        <f ca="1"/>
        <v>#VALUE!</v>
      </c>
      <c r="N263" t="e">
        <f ca="1"/>
        <v>#VALUE!</v>
      </c>
      <c r="O263" t="e">
        <f ca="1"/>
        <v>#VALUE!</v>
      </c>
      <c r="P263" t="e">
        <f ca="1"/>
        <v>#VALUE!</v>
      </c>
      <c r="Q263" t="e">
        <f ca="1"/>
        <v>#VALUE!</v>
      </c>
    </row>
    <row r="264" spans="1:17" x14ac:dyDescent="0.25">
      <c r="A264" t="str">
        <f ca="1"/>
        <v>VO</v>
      </c>
      <c r="B264" t="str">
        <f ca="1"/>
        <v>etf</v>
      </c>
      <c r="C264" t="str">
        <f ca="1"/>
        <v>Vanguard Mid-Cap Index Fund ETF</v>
      </c>
      <c r="D264" t="str">
        <f ca="1"/>
        <v>US Mid-Cap Core</v>
      </c>
      <c r="E264" t="str">
        <f ca="1"/>
        <v>^RMCTR</v>
      </c>
      <c r="F264" t="str">
        <f ca="1"/>
        <v>Russell Midcap Total Return</v>
      </c>
      <c r="G264" t="str">
        <f ca="1"/>
        <v>CRSP US Mid Cap TR USD</v>
      </c>
      <c r="H264">
        <f ca="1"/>
        <v>5.2379999999999996E-3</v>
      </c>
      <c r="I264">
        <f ca="1"/>
        <v>-9.6300000000000031E-4</v>
      </c>
      <c r="J264">
        <f ca="1"/>
        <v>0.153034</v>
      </c>
      <c r="K264">
        <f ca="1"/>
        <v>-4.029999999999867E-4</v>
      </c>
      <c r="L264">
        <f ca="1"/>
        <v>0.153034</v>
      </c>
      <c r="M264">
        <f ca="1"/>
        <v>-4.029999999999867E-4</v>
      </c>
      <c r="N264">
        <f ca="1"/>
        <v>8.7475999999999998E-2</v>
      </c>
      <c r="O264">
        <f ca="1"/>
        <v>-3.0540999999999999E-2</v>
      </c>
      <c r="P264">
        <f ca="1"/>
        <v>0.60088299999999994</v>
      </c>
      <c r="Q264">
        <f ca="1"/>
        <v>-3.9970000000000283E-3</v>
      </c>
    </row>
    <row r="265" spans="1:17" x14ac:dyDescent="0.25">
      <c r="A265" t="str">
        <f ca="1"/>
        <v>VOT</v>
      </c>
      <c r="B265" t="str">
        <f ca="1"/>
        <v>etf</v>
      </c>
      <c r="C265" t="str">
        <f ca="1"/>
        <v>Vanguard Mid-Cap Growth Index Fund ETF</v>
      </c>
      <c r="D265" t="str">
        <f ca="1"/>
        <v>US Mid-Cap Growth</v>
      </c>
      <c r="E265" t="str">
        <f ca="1"/>
        <v>^RDGTR</v>
      </c>
      <c r="F265" t="str">
        <f ca="1"/>
        <v>Russell Midcap Growth Total Return</v>
      </c>
      <c r="G265" t="str">
        <f ca="1"/>
        <v>CRSP US Mid Cap Growth TR USD</v>
      </c>
      <c r="H265">
        <f ca="1"/>
        <v>4.4257999999999999E-2</v>
      </c>
      <c r="I265">
        <f ca="1"/>
        <v>-3.7158000000000004E-2</v>
      </c>
      <c r="J265">
        <f ca="1"/>
        <v>0.16381599999999999</v>
      </c>
      <c r="K265">
        <f ca="1"/>
        <v>-5.7215000000000016E-2</v>
      </c>
      <c r="L265">
        <f ca="1"/>
        <v>0.16381599999999999</v>
      </c>
      <c r="M265">
        <f ca="1"/>
        <v>-5.7215000000000016E-2</v>
      </c>
      <c r="N265">
        <f ca="1"/>
        <v>1.9179000000000002E-2</v>
      </c>
      <c r="O265">
        <f ca="1"/>
        <v>-0.10702700000000001</v>
      </c>
      <c r="P265">
        <f ca="1"/>
        <v>0.65154800000000002</v>
      </c>
      <c r="Q265">
        <f ca="1"/>
        <v>-6.9792999999999994E-2</v>
      </c>
    </row>
    <row r="266" spans="1:17" x14ac:dyDescent="0.25">
      <c r="A266" t="str">
        <f ca="1"/>
        <v>VSGAX</v>
      </c>
      <c r="B266" t="e">
        <f ca="1"/>
        <v>#VALUE!</v>
      </c>
      <c r="C266" t="e">
        <f ca="1"/>
        <v>#VALUE!</v>
      </c>
      <c r="D266" t="e">
        <f ca="1"/>
        <v>#VALUE!</v>
      </c>
      <c r="E266" t="e">
        <f ca="1"/>
        <v>#VALUE!</v>
      </c>
      <c r="F266" t="e">
        <f ca="1"/>
        <v>#VALUE!</v>
      </c>
      <c r="G266" t="e">
        <f ca="1"/>
        <v>#VALUE!</v>
      </c>
      <c r="H266" t="e">
        <f ca="1"/>
        <v>#VALUE!</v>
      </c>
      <c r="I266" t="e">
        <f ca="1"/>
        <v>#VALUE!</v>
      </c>
      <c r="J266" t="e">
        <f ca="1"/>
        <v>#VALUE!</v>
      </c>
      <c r="K266" t="e">
        <f ca="1"/>
        <v>#VALUE!</v>
      </c>
      <c r="L266" t="e">
        <f ca="1"/>
        <v>#VALUE!</v>
      </c>
      <c r="M266" t="e">
        <f ca="1"/>
        <v>#VALUE!</v>
      </c>
      <c r="N266" t="e">
        <f ca="1"/>
        <v>#VALUE!</v>
      </c>
      <c r="O266" t="e">
        <f ca="1"/>
        <v>#VALUE!</v>
      </c>
      <c r="P266" t="e">
        <f ca="1"/>
        <v>#VALUE!</v>
      </c>
      <c r="Q266" t="e">
        <f ca="1"/>
        <v>#VALUE!</v>
      </c>
    </row>
    <row r="267" spans="1:17" x14ac:dyDescent="0.25">
      <c r="A267" t="str">
        <f ca="1"/>
        <v>VSIAX</v>
      </c>
      <c r="B267" t="e">
        <f ca="1"/>
        <v>#VALUE!</v>
      </c>
      <c r="C267" t="e">
        <f ca="1"/>
        <v>#VALUE!</v>
      </c>
      <c r="D267" t="e">
        <f ca="1"/>
        <v>#VALUE!</v>
      </c>
      <c r="E267" t="e">
        <f ca="1"/>
        <v>#VALUE!</v>
      </c>
      <c r="F267" t="e">
        <f ca="1"/>
        <v>#VALUE!</v>
      </c>
      <c r="G267" t="e">
        <f ca="1"/>
        <v>#VALUE!</v>
      </c>
      <c r="H267" t="e">
        <f ca="1"/>
        <v>#VALUE!</v>
      </c>
      <c r="I267" t="e">
        <f ca="1"/>
        <v>#VALUE!</v>
      </c>
      <c r="J267" t="e">
        <f ca="1"/>
        <v>#VALUE!</v>
      </c>
      <c r="K267" t="e">
        <f ca="1"/>
        <v>#VALUE!</v>
      </c>
      <c r="L267" t="e">
        <f ca="1"/>
        <v>#VALUE!</v>
      </c>
      <c r="M267" t="e">
        <f ca="1"/>
        <v>#VALUE!</v>
      </c>
      <c r="N267" t="e">
        <f ca="1"/>
        <v>#VALUE!</v>
      </c>
      <c r="O267" t="e">
        <f ca="1"/>
        <v>#VALUE!</v>
      </c>
      <c r="P267" t="e">
        <f ca="1"/>
        <v>#VALUE!</v>
      </c>
      <c r="Q267" t="e">
        <f ca="1"/>
        <v>#VALUE!</v>
      </c>
    </row>
    <row r="268" spans="1:17" x14ac:dyDescent="0.25">
      <c r="A268" t="str">
        <f ca="1"/>
        <v>VTEAX</v>
      </c>
      <c r="B268" t="e">
        <f ca="1"/>
        <v>#VALUE!</v>
      </c>
      <c r="C268" t="e">
        <f ca="1"/>
        <v>#VALUE!</v>
      </c>
      <c r="D268" t="e">
        <f ca="1"/>
        <v>#VALUE!</v>
      </c>
      <c r="E268" t="e">
        <f ca="1"/>
        <v>#VALUE!</v>
      </c>
      <c r="F268" t="e">
        <f ca="1"/>
        <v>#VALUE!</v>
      </c>
      <c r="G268" t="e">
        <f ca="1"/>
        <v>#VALUE!</v>
      </c>
      <c r="H268" t="e">
        <f ca="1"/>
        <v>#VALUE!</v>
      </c>
      <c r="I268" t="e">
        <f ca="1"/>
        <v>#VALUE!</v>
      </c>
      <c r="J268" t="e">
        <f ca="1"/>
        <v>#VALUE!</v>
      </c>
      <c r="K268" t="e">
        <f ca="1"/>
        <v>#VALUE!</v>
      </c>
      <c r="L268" t="e">
        <f ca="1"/>
        <v>#VALUE!</v>
      </c>
      <c r="M268" t="e">
        <f ca="1"/>
        <v>#VALUE!</v>
      </c>
      <c r="N268" t="e">
        <f ca="1"/>
        <v>#VALUE!</v>
      </c>
      <c r="O268" t="e">
        <f ca="1"/>
        <v>#VALUE!</v>
      </c>
      <c r="P268" t="e">
        <f ca="1"/>
        <v>#VALUE!</v>
      </c>
      <c r="Q268" t="e">
        <f ca="1"/>
        <v>#VALUE!</v>
      </c>
    </row>
    <row r="269" spans="1:17" x14ac:dyDescent="0.25">
      <c r="A269" t="str">
        <f ca="1"/>
        <v>VTEB</v>
      </c>
      <c r="B269" t="str">
        <f ca="1"/>
        <v>etf</v>
      </c>
      <c r="C269" t="str">
        <f ca="1"/>
        <v>Vanguard Tax-Exempt Bond Index Fund ETF</v>
      </c>
      <c r="D269" t="str">
        <f ca="1"/>
        <v>US Aggregate Municipal Bond</v>
      </c>
      <c r="E269" t="str">
        <f ca="1"/>
        <v>^BBMBTR</v>
      </c>
      <c r="F269" t="str">
        <f ca="1"/>
        <v>Bloomberg Municipal Bond</v>
      </c>
      <c r="G269" t="str">
        <f ca="1"/>
        <v>S&amp;P National AMT Free Muni TR USD</v>
      </c>
      <c r="H269">
        <f ca="1"/>
        <v>-9.0349999999999996E-3</v>
      </c>
      <c r="I269">
        <f ca="1"/>
        <v>3.118000000000001E-3</v>
      </c>
      <c r="J269">
        <f ca="1"/>
        <v>1.3069000000000001E-2</v>
      </c>
      <c r="K269">
        <f ca="1"/>
        <v>2.5340000000000015E-3</v>
      </c>
      <c r="L269">
        <f ca="1"/>
        <v>1.3069000000000001E-2</v>
      </c>
      <c r="M269">
        <f ca="1"/>
        <v>2.5340000000000015E-3</v>
      </c>
      <c r="N269">
        <f ca="1"/>
        <v>-1.0609E-2</v>
      </c>
      <c r="O269">
        <f ca="1"/>
        <v>5.8390000000000004E-3</v>
      </c>
      <c r="P269">
        <f ca="1"/>
        <v>5.2645999999999998E-2</v>
      </c>
      <c r="Q269">
        <f ca="1"/>
        <v>2.1269999999999969E-3</v>
      </c>
    </row>
    <row r="270" spans="1:17" x14ac:dyDescent="0.25">
      <c r="A270" t="str">
        <f ca="1"/>
        <v>VVIAX</v>
      </c>
      <c r="B270" t="e">
        <f ca="1"/>
        <v>#VALUE!</v>
      </c>
      <c r="C270" t="e">
        <f ca="1"/>
        <v>#VALUE!</v>
      </c>
      <c r="D270" t="e">
        <f ca="1"/>
        <v>#VALUE!</v>
      </c>
      <c r="E270" t="e">
        <f ca="1"/>
        <v>#VALUE!</v>
      </c>
      <c r="F270" t="e">
        <f ca="1"/>
        <v>#VALUE!</v>
      </c>
      <c r="G270" t="e">
        <f ca="1"/>
        <v>#VALUE!</v>
      </c>
      <c r="H270" t="e">
        <f ca="1"/>
        <v>#VALUE!</v>
      </c>
      <c r="I270" t="e">
        <f ca="1"/>
        <v>#VALUE!</v>
      </c>
      <c r="J270" t="e">
        <f ca="1"/>
        <v>#VALUE!</v>
      </c>
      <c r="K270" t="e">
        <f ca="1"/>
        <v>#VALUE!</v>
      </c>
      <c r="L270" t="e">
        <f ca="1"/>
        <v>#VALUE!</v>
      </c>
      <c r="M270" t="e">
        <f ca="1"/>
        <v>#VALUE!</v>
      </c>
      <c r="N270" t="e">
        <f ca="1"/>
        <v>#VALUE!</v>
      </c>
      <c r="O270" t="e">
        <f ca="1"/>
        <v>#VALUE!</v>
      </c>
      <c r="P270" t="e">
        <f ca="1"/>
        <v>#VALUE!</v>
      </c>
      <c r="Q270" t="e">
        <f ca="1"/>
        <v>#VALUE!</v>
      </c>
    </row>
    <row r="271" spans="1:17" x14ac:dyDescent="0.25">
      <c r="A271" t="str">
        <f ca="1"/>
        <v>VWIUX</v>
      </c>
      <c r="B271" t="e">
        <f ca="1"/>
        <v>#VALUE!</v>
      </c>
      <c r="C271" t="e">
        <f ca="1"/>
        <v>#VALUE!</v>
      </c>
      <c r="D271" t="e">
        <f ca="1"/>
        <v>#VALUE!</v>
      </c>
      <c r="E271" t="e">
        <f ca="1"/>
        <v>#VALUE!</v>
      </c>
      <c r="F271" t="e">
        <f ca="1"/>
        <v>#VALUE!</v>
      </c>
      <c r="G271" t="e">
        <f ca="1"/>
        <v>#VALUE!</v>
      </c>
      <c r="H271" t="e">
        <f ca="1"/>
        <v>#VALUE!</v>
      </c>
      <c r="I271" t="e">
        <f ca="1"/>
        <v>#VALUE!</v>
      </c>
      <c r="J271" t="e">
        <f ca="1"/>
        <v>#VALUE!</v>
      </c>
      <c r="K271" t="e">
        <f ca="1"/>
        <v>#VALUE!</v>
      </c>
      <c r="L271" t="e">
        <f ca="1"/>
        <v>#VALUE!</v>
      </c>
      <c r="M271" t="e">
        <f ca="1"/>
        <v>#VALUE!</v>
      </c>
      <c r="N271" t="e">
        <f ca="1"/>
        <v>#VALUE!</v>
      </c>
      <c r="O271" t="e">
        <f ca="1"/>
        <v>#VALUE!</v>
      </c>
      <c r="P271" t="e">
        <f ca="1"/>
        <v>#VALUE!</v>
      </c>
      <c r="Q271" t="e">
        <f ca="1"/>
        <v>#VALUE!</v>
      </c>
    </row>
    <row r="272" spans="1:17" x14ac:dyDescent="0.25">
      <c r="A272" t="str">
        <f ca="1"/>
        <v>VWO</v>
      </c>
      <c r="B272" t="str">
        <f ca="1"/>
        <v>etf</v>
      </c>
      <c r="C272" t="str">
        <f ca="1"/>
        <v>Vanguard Emerging Markets Stock Index Fund ETF</v>
      </c>
      <c r="D272" t="str">
        <f ca="1"/>
        <v>Emerging Markets Equity</v>
      </c>
      <c r="E272" t="str">
        <f ca="1"/>
        <v>^MSEMTR</v>
      </c>
      <c r="F272" t="str">
        <f ca="1"/>
        <v>MSCI Emerging Markets Total Return</v>
      </c>
      <c r="G272" t="str">
        <f ca="1"/>
        <v>FTSE EMs AC China A Incl (US RIC) NR USD</v>
      </c>
      <c r="H272">
        <f ca="1"/>
        <v>-5.7535000000000003E-2</v>
      </c>
      <c r="I272">
        <f ca="1"/>
        <v>2.0832000000000003E-2</v>
      </c>
      <c r="J272">
        <f ca="1"/>
        <v>0.105795</v>
      </c>
      <c r="K272">
        <f ca="1"/>
        <v>2.5289000000000006E-2</v>
      </c>
      <c r="L272">
        <f ca="1"/>
        <v>0.105795</v>
      </c>
      <c r="M272">
        <f ca="1"/>
        <v>2.5289000000000006E-2</v>
      </c>
      <c r="N272">
        <f ca="1"/>
        <v>-9.1439999999999994E-3</v>
      </c>
      <c r="O272">
        <f ca="1"/>
        <v>3.4570999999999998E-2</v>
      </c>
      <c r="P272">
        <f ca="1"/>
        <v>0.156198</v>
      </c>
      <c r="Q272">
        <f ca="1"/>
        <v>4.6446000000000001E-2</v>
      </c>
    </row>
    <row r="273" spans="1:17" x14ac:dyDescent="0.25">
      <c r="A273" t="str">
        <f ca="1"/>
        <v>WSTYX</v>
      </c>
      <c r="B273" t="e">
        <f ca="1"/>
        <v>#VALUE!</v>
      </c>
      <c r="C273" t="e">
        <f ca="1"/>
        <v>#VALUE!</v>
      </c>
      <c r="D273" t="e">
        <f ca="1"/>
        <v>#VALUE!</v>
      </c>
      <c r="E273" t="e">
        <f ca="1"/>
        <v>#VALUE!</v>
      </c>
      <c r="F273" t="e">
        <f ca="1"/>
        <v>#VALUE!</v>
      </c>
      <c r="G273" t="e">
        <f ca="1"/>
        <v>#VALUE!</v>
      </c>
      <c r="H273" t="e">
        <f ca="1"/>
        <v>#VALUE!</v>
      </c>
      <c r="I273" t="e">
        <f ca="1"/>
        <v>#VALUE!</v>
      </c>
      <c r="J273" t="e">
        <f ca="1"/>
        <v>#VALUE!</v>
      </c>
      <c r="K273" t="e">
        <f ca="1"/>
        <v>#VALUE!</v>
      </c>
      <c r="L273" t="e">
        <f ca="1"/>
        <v>#VALUE!</v>
      </c>
      <c r="M273" t="e">
        <f ca="1"/>
        <v>#VALUE!</v>
      </c>
      <c r="N273" t="e">
        <f ca="1"/>
        <v>#VALUE!</v>
      </c>
      <c r="O273" t="e">
        <f ca="1"/>
        <v>#VALUE!</v>
      </c>
      <c r="P273" t="e">
        <f ca="1"/>
        <v>#VALUE!</v>
      </c>
      <c r="Q273" t="e">
        <f ca="1"/>
        <v>#VALUE!</v>
      </c>
    </row>
    <row r="274" spans="1:17" x14ac:dyDescent="0.25">
      <c r="A274" t="str">
        <f ca="1"/>
        <v>XLB</v>
      </c>
      <c r="B274" t="str">
        <f ca="1"/>
        <v>etf</v>
      </c>
      <c r="C274" t="str">
        <f ca="1"/>
        <v>Materials Select Sector SPDR Fund</v>
      </c>
      <c r="D274" t="str">
        <f ca="1"/>
        <v>Financials Equity</v>
      </c>
      <c r="E274" t="str">
        <f ca="1"/>
        <v>^SP15FINSTR</v>
      </c>
      <c r="F274" t="str">
        <f ca="1"/>
        <v>S&amp;P 1500 Financials (Sector) Total Return</v>
      </c>
      <c r="G274" t="str">
        <f ca="1"/>
        <v>S&amp;P Materials Select Sector TR USD</v>
      </c>
      <c r="H274">
        <f ca="1"/>
        <v>-0.12243800000000001</v>
      </c>
      <c r="I274">
        <f ca="1"/>
        <v>-0.19165300000000002</v>
      </c>
      <c r="J274">
        <f ca="1"/>
        <v>1.4339999999999999E-3</v>
      </c>
      <c r="K274">
        <f ca="1"/>
        <v>-0.29639700000000002</v>
      </c>
      <c r="L274">
        <f ca="1"/>
        <v>1.4339999999999999E-3</v>
      </c>
      <c r="M274">
        <f ca="1"/>
        <v>-0.29639700000000002</v>
      </c>
      <c r="N274">
        <f ca="1"/>
        <v>-1.2468E-2</v>
      </c>
      <c r="O274">
        <f ca="1"/>
        <v>-0.31459299999999996</v>
      </c>
      <c r="P274">
        <f ca="1"/>
        <v>0.51687899999999998</v>
      </c>
      <c r="Q274">
        <f ca="1"/>
        <v>-0.20166899999999999</v>
      </c>
    </row>
    <row r="275" spans="1:17" x14ac:dyDescent="0.25">
      <c r="A275" t="str">
        <f ca="1"/>
        <v>XLF</v>
      </c>
      <c r="B275" t="str">
        <f ca="1"/>
        <v>etf</v>
      </c>
      <c r="C275" t="str">
        <f ca="1"/>
        <v>Financial Select Sector SPDR Fund</v>
      </c>
      <c r="D275" t="str">
        <f ca="1"/>
        <v>Financials Equity</v>
      </c>
      <c r="E275" t="str">
        <f ca="1"/>
        <v>^SP15FINSTR</v>
      </c>
      <c r="F275" t="str">
        <f ca="1"/>
        <v>S&amp;P 1500 Financials (Sector) Total Return</v>
      </c>
      <c r="G275" t="str">
        <f ca="1"/>
        <v>S&amp;P Financial Select Sector TR USD</v>
      </c>
      <c r="H275">
        <f ca="1"/>
        <v>7.0958999999999994E-2</v>
      </c>
      <c r="I275">
        <f ca="1"/>
        <v>1.7439999999999956E-3</v>
      </c>
      <c r="J275">
        <f ca="1"/>
        <v>0.30546800000000002</v>
      </c>
      <c r="K275">
        <f ca="1"/>
        <v>7.6370000000000049E-3</v>
      </c>
      <c r="L275">
        <f ca="1"/>
        <v>0.30546800000000002</v>
      </c>
      <c r="M275">
        <f ca="1"/>
        <v>7.6370000000000049E-3</v>
      </c>
      <c r="N275">
        <f ca="1"/>
        <v>0.30739</v>
      </c>
      <c r="O275">
        <f ca="1"/>
        <v>5.2650000000000197E-3</v>
      </c>
      <c r="P275">
        <f ca="1"/>
        <v>0.73316000000000003</v>
      </c>
      <c r="Q275">
        <f ca="1"/>
        <v>1.4612000000000069E-2</v>
      </c>
    </row>
    <row r="276" spans="1:17" x14ac:dyDescent="0.25">
      <c r="A276" t="str">
        <f ca="1"/>
        <v>XLI</v>
      </c>
      <c r="B276" t="str">
        <f ca="1"/>
        <v>etf</v>
      </c>
      <c r="C276" t="str">
        <f ca="1"/>
        <v>Industrial Select Sector SPDR Fund</v>
      </c>
      <c r="D276" t="str">
        <f ca="1"/>
        <v>Industrials Equity</v>
      </c>
      <c r="E276" t="str">
        <f ca="1"/>
        <v>^SP15INSTR</v>
      </c>
      <c r="F276" t="str">
        <f ca="1"/>
        <v>S&amp;P 1500 Industrials (Sector) Total Return</v>
      </c>
      <c r="G276" t="str">
        <f ca="1"/>
        <v>S&amp;P Industrial Select Sector TR USD</v>
      </c>
      <c r="H276">
        <f ca="1"/>
        <v>-2.2273000000000001E-2</v>
      </c>
      <c r="I276">
        <f ca="1"/>
        <v>-2.7340000000000003E-3</v>
      </c>
      <c r="J276">
        <f ca="1"/>
        <v>0.17305599999999999</v>
      </c>
      <c r="K276">
        <f ca="1"/>
        <v>3.6409999999999776E-3</v>
      </c>
      <c r="L276">
        <f ca="1"/>
        <v>0.17305599999999999</v>
      </c>
      <c r="M276">
        <f ca="1"/>
        <v>3.6409999999999776E-3</v>
      </c>
      <c r="N276">
        <f ca="1"/>
        <v>0.30834499999999998</v>
      </c>
      <c r="O276">
        <f ca="1"/>
        <v>-8.8750000000000218E-3</v>
      </c>
      <c r="P276">
        <f ca="1"/>
        <v>0.75787099999999996</v>
      </c>
      <c r="Q276">
        <f ca="1"/>
        <v>-3.9677999999999991E-2</v>
      </c>
    </row>
    <row r="277" spans="1:17" x14ac:dyDescent="0.25">
      <c r="A277" t="str">
        <f ca="1"/>
        <v>XLK</v>
      </c>
      <c r="B277" t="str">
        <f ca="1"/>
        <v>etf</v>
      </c>
      <c r="C277" t="str">
        <f ca="1"/>
        <v>Technology Select Sector SPDR Fund</v>
      </c>
      <c r="D277" t="str">
        <f ca="1"/>
        <v>Financials Equity</v>
      </c>
      <c r="E277" t="str">
        <f ca="1"/>
        <v>^SP15FINSTR</v>
      </c>
      <c r="F277" t="str">
        <f ca="1"/>
        <v>S&amp;P 1500 Financials (Sector) Total Return</v>
      </c>
      <c r="G277" t="str">
        <f ca="1"/>
        <v>S&amp;P Technology Select Sector TR USD</v>
      </c>
      <c r="H277">
        <f ca="1"/>
        <v>3.1613000000000002E-2</v>
      </c>
      <c r="I277">
        <f ca="1"/>
        <v>-3.7601999999999997E-2</v>
      </c>
      <c r="J277">
        <f ca="1"/>
        <v>0.21632799999999999</v>
      </c>
      <c r="K277">
        <f ca="1"/>
        <v>-8.150300000000002E-2</v>
      </c>
      <c r="L277">
        <f ca="1"/>
        <v>0.21632799999999999</v>
      </c>
      <c r="M277">
        <f ca="1"/>
        <v>-8.150300000000002E-2</v>
      </c>
      <c r="N277">
        <f ca="1"/>
        <v>0.37145800000000001</v>
      </c>
      <c r="O277">
        <f ca="1"/>
        <v>6.9333000000000033E-2</v>
      </c>
      <c r="P277">
        <f ca="1"/>
        <v>1.653912</v>
      </c>
      <c r="Q277">
        <f ca="1"/>
        <v>0.93536400000000008</v>
      </c>
    </row>
    <row r="278" spans="1:17" x14ac:dyDescent="0.25">
      <c r="A278" t="str">
        <f ca="1"/>
        <v>XLP</v>
      </c>
      <c r="B278" t="str">
        <f ca="1"/>
        <v>etf</v>
      </c>
      <c r="C278" t="str">
        <f ca="1"/>
        <v>Consumer Staples Select Sector SPDR Fund</v>
      </c>
      <c r="D278" t="str">
        <f ca="1"/>
        <v>Consumer Services Equity</v>
      </c>
      <c r="E278" t="str">
        <f ca="1"/>
        <v>^SP15CNSSTR</v>
      </c>
      <c r="F278" t="str">
        <f ca="1"/>
        <v>S&amp;P 1500 Consumer Staples (Sector) Total Return</v>
      </c>
      <c r="G278" t="str">
        <f ca="1"/>
        <v>S&amp;P Cons Staples Select Sector TR USD</v>
      </c>
      <c r="H278">
        <f ca="1"/>
        <v>-4.5663000000000002E-2</v>
      </c>
      <c r="I278">
        <f ca="1"/>
        <v>-1.6901000000000003E-2</v>
      </c>
      <c r="J278">
        <f ca="1"/>
        <v>0.12189800000000001</v>
      </c>
      <c r="K278">
        <f ca="1"/>
        <v>-2.5935999999999987E-2</v>
      </c>
      <c r="L278">
        <f ca="1"/>
        <v>0.12189800000000001</v>
      </c>
      <c r="M278">
        <f ca="1"/>
        <v>-2.5935999999999987E-2</v>
      </c>
      <c r="N278">
        <f ca="1"/>
        <v>0.10335</v>
      </c>
      <c r="O278">
        <f ca="1"/>
        <v>-5.079800000000001E-2</v>
      </c>
      <c r="P278">
        <f ca="1"/>
        <v>0.42430400000000001</v>
      </c>
      <c r="Q278">
        <f ca="1"/>
        <v>-9.4770999999999939E-2</v>
      </c>
    </row>
    <row r="279" spans="1:17" x14ac:dyDescent="0.25">
      <c r="A279" t="str">
        <f ca="1"/>
        <v>XLRE</v>
      </c>
      <c r="B279" t="str">
        <f ca="1"/>
        <v>etf</v>
      </c>
      <c r="C279" t="str">
        <f ca="1"/>
        <v>Real Estate Select Sector SPDR Fund</v>
      </c>
      <c r="D279" t="str">
        <f ca="1"/>
        <v>Real Estate Equity</v>
      </c>
      <c r="E279" t="str">
        <f ca="1"/>
        <v>^SP15RESTR</v>
      </c>
      <c r="F279" t="str">
        <f ca="1"/>
        <v>S&amp;P 1500 Real Estate (Sector) Total Return</v>
      </c>
      <c r="G279" t="str">
        <f ca="1"/>
        <v>S&amp;P Real Estate Select Sector TR USD</v>
      </c>
      <c r="H279">
        <f ca="1"/>
        <v>-7.9807000000000003E-2</v>
      </c>
      <c r="I279">
        <f ca="1"/>
        <v>-2.2189999999999988E-3</v>
      </c>
      <c r="J279">
        <f ca="1"/>
        <v>5.0735000000000002E-2</v>
      </c>
      <c r="K279">
        <f ca="1"/>
        <v>-3.5149999999999973E-3</v>
      </c>
      <c r="L279">
        <f ca="1"/>
        <v>5.0735000000000002E-2</v>
      </c>
      <c r="M279">
        <f ca="1"/>
        <v>-3.5149999999999973E-3</v>
      </c>
      <c r="N279">
        <f ca="1"/>
        <v>-0.12917500000000001</v>
      </c>
      <c r="O279">
        <f ca="1"/>
        <v>4.5119999999999882E-3</v>
      </c>
      <c r="P279">
        <f ca="1"/>
        <v>0.24526100000000001</v>
      </c>
      <c r="Q279">
        <f ca="1"/>
        <v>5.7655000000000012E-2</v>
      </c>
    </row>
    <row r="280" spans="1:17" x14ac:dyDescent="0.25">
      <c r="A280" t="str">
        <f ca="1"/>
        <v>XLU</v>
      </c>
      <c r="B280" t="str">
        <f ca="1"/>
        <v>etf</v>
      </c>
      <c r="C280" t="str">
        <f ca="1"/>
        <v>Utilities Select Sector SPDR Fund</v>
      </c>
      <c r="D280" t="str">
        <f ca="1"/>
        <v>Utilities Equity</v>
      </c>
      <c r="E280" t="str">
        <f ca="1"/>
        <v>^SPXUSTR</v>
      </c>
      <c r="F280" t="str">
        <f ca="1"/>
        <v>S&amp;P 500 Utilities (Sector) Total Return</v>
      </c>
      <c r="G280" t="str">
        <f ca="1"/>
        <v>S&amp;P Utilities Select Sector TR USD</v>
      </c>
      <c r="H280">
        <f ca="1"/>
        <v>-5.5273999999999997E-2</v>
      </c>
      <c r="I280">
        <f ca="1"/>
        <v>-1.389999999999933E-4</v>
      </c>
      <c r="J280">
        <f ca="1"/>
        <v>0.23283200000000001</v>
      </c>
      <c r="K280">
        <f ca="1"/>
        <v>-1.4629999999999921E-3</v>
      </c>
      <c r="L280">
        <f ca="1"/>
        <v>0.23283200000000001</v>
      </c>
      <c r="M280">
        <f ca="1"/>
        <v>-1.4629999999999921E-3</v>
      </c>
      <c r="N280">
        <f ca="1"/>
        <v>0.16067200000000001</v>
      </c>
      <c r="O280">
        <f ca="1"/>
        <v>-4.1779999999999873E-3</v>
      </c>
      <c r="P280">
        <f ca="1"/>
        <v>0.373832</v>
      </c>
      <c r="Q280">
        <f ca="1"/>
        <v>-3.4700000000000286E-3</v>
      </c>
    </row>
    <row r="281" spans="1:17" x14ac:dyDescent="0.25">
      <c r="A281" t="str">
        <f ca="1"/>
        <v>XLY</v>
      </c>
      <c r="B281" t="str">
        <f ca="1"/>
        <v>etf</v>
      </c>
      <c r="C281" t="str">
        <f ca="1"/>
        <v>Consumer Discretionary Select Sector SPDR Fund</v>
      </c>
      <c r="D281" t="str">
        <f ca="1"/>
        <v>Consumer Services Equity</v>
      </c>
      <c r="E281" t="str">
        <f ca="1"/>
        <v>^SP15CNSSTR</v>
      </c>
      <c r="F281" t="str">
        <f ca="1"/>
        <v>S&amp;P 1500 Consumer Staples (Sector) Total Return</v>
      </c>
      <c r="G281" t="str">
        <f ca="1"/>
        <v>S&amp;P Consumer Disc Select Sector TR USD</v>
      </c>
      <c r="H281">
        <f ca="1"/>
        <v>0.121795</v>
      </c>
      <c r="I281">
        <f ca="1"/>
        <v>0.150557</v>
      </c>
      <c r="J281">
        <f ca="1"/>
        <v>0.26506600000000002</v>
      </c>
      <c r="K281">
        <f ca="1"/>
        <v>0.11723200000000003</v>
      </c>
      <c r="L281">
        <f ca="1"/>
        <v>0.26506600000000002</v>
      </c>
      <c r="M281">
        <f ca="1"/>
        <v>0.11723200000000003</v>
      </c>
      <c r="N281">
        <f ca="1"/>
        <v>0.12571599999999999</v>
      </c>
      <c r="O281">
        <f ca="1"/>
        <v>-2.8432000000000013E-2</v>
      </c>
      <c r="P281">
        <f ca="1"/>
        <v>0.866919</v>
      </c>
      <c r="Q281">
        <f ca="1"/>
        <v>0.34784400000000004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882B-A407-428C-B6F0-803A31C11849}">
  <sheetPr codeName="Sheet5"/>
  <dimension ref="A1:P281"/>
  <sheetViews>
    <sheetView zoomScale="70" zoomScaleNormal="70" workbookViewId="0"/>
  </sheetViews>
  <sheetFormatPr defaultRowHeight="15" x14ac:dyDescent="0.25"/>
  <cols>
    <col min="1" max="1" width="10.28515625" bestFit="1" customWidth="1"/>
    <col min="2" max="2" width="54.5703125" bestFit="1" customWidth="1"/>
    <col min="3" max="3" width="35.28515625" bestFit="1" customWidth="1"/>
    <col min="4" max="4" width="29.5703125" bestFit="1" customWidth="1"/>
    <col min="5" max="5" width="49.28515625" bestFit="1" customWidth="1"/>
    <col min="6" max="6" width="46" bestFit="1" customWidth="1"/>
    <col min="7" max="7" width="29.5703125" bestFit="1" customWidth="1"/>
    <col min="8" max="8" width="35.28515625" bestFit="1" customWidth="1"/>
    <col min="9" max="9" width="29.5703125" bestFit="1" customWidth="1"/>
    <col min="10" max="10" width="30.5703125" bestFit="1" customWidth="1"/>
    <col min="11" max="11" width="29.5703125" bestFit="1" customWidth="1"/>
    <col min="12" max="12" width="30.5703125" bestFit="1" customWidth="1"/>
    <col min="13" max="13" width="29.5703125" bestFit="1" customWidth="1"/>
    <col min="14" max="14" width="31" bestFit="1" customWidth="1"/>
    <col min="15" max="15" width="29.5703125" bestFit="1" customWidth="1"/>
    <col min="16" max="16" width="31" bestFit="1" customWidth="1"/>
    <col min="17" max="17" width="24.5703125" bestFit="1" customWidth="1"/>
    <col min="18" max="18" width="25.85546875" bestFit="1" customWidth="1"/>
    <col min="19" max="19" width="24.5703125" bestFit="1" customWidth="1"/>
    <col min="20" max="20" width="25.85546875" bestFit="1" customWidth="1"/>
    <col min="21" max="21" width="24.5703125" bestFit="1" customWidth="1"/>
  </cols>
  <sheetData>
    <row r="1" spans="1:16" x14ac:dyDescent="0.25">
      <c r="A1" t="s">
        <v>0</v>
      </c>
      <c r="B1" t="s">
        <v>99</v>
      </c>
      <c r="C1" t="s">
        <v>100</v>
      </c>
      <c r="D1" t="s">
        <v>104</v>
      </c>
      <c r="E1" t="s">
        <v>101</v>
      </c>
      <c r="F1" t="s">
        <v>102</v>
      </c>
      <c r="G1" t="s">
        <v>103</v>
      </c>
      <c r="H1" t="s">
        <v>318</v>
      </c>
      <c r="I1" t="s">
        <v>105</v>
      </c>
      <c r="J1" t="s">
        <v>319</v>
      </c>
      <c r="K1" t="s">
        <v>106</v>
      </c>
      <c r="L1" t="s">
        <v>320</v>
      </c>
      <c r="M1" t="s">
        <v>107</v>
      </c>
      <c r="N1" t="s">
        <v>321</v>
      </c>
      <c r="O1" t="s">
        <v>108</v>
      </c>
      <c r="P1" t="s">
        <v>322</v>
      </c>
    </row>
    <row r="2" spans="1:16" x14ac:dyDescent="0.25">
      <c r="A2" s="5" t="s">
        <v>85</v>
      </c>
      <c r="B2" s="3" t="s">
        <v>239</v>
      </c>
      <c r="C2" s="3" t="s">
        <v>110</v>
      </c>
      <c r="D2" s="3" t="s">
        <v>111</v>
      </c>
      <c r="E2" s="3" t="s">
        <v>216</v>
      </c>
      <c r="F2" s="3" t="s">
        <v>136</v>
      </c>
      <c r="G2" s="3">
        <v>1.9507E-2</v>
      </c>
      <c r="H2" s="3">
        <v>5.3168999999999994E-2</v>
      </c>
      <c r="I2" s="3">
        <v>8.0524999999999999E-2</v>
      </c>
      <c r="J2" s="3">
        <v>3.5076999999999997E-2</v>
      </c>
      <c r="K2" s="3">
        <v>8.0524999999999999E-2</v>
      </c>
      <c r="L2" s="3">
        <v>3.5076999999999997E-2</v>
      </c>
      <c r="M2" s="3">
        <v>0.117814</v>
      </c>
      <c r="N2" s="3">
        <v>0.16303800000000002</v>
      </c>
      <c r="O2" s="3">
        <v>0.27760499999999999</v>
      </c>
      <c r="P2" s="8">
        <v>0.19430999999999998</v>
      </c>
    </row>
    <row r="3" spans="1:16" x14ac:dyDescent="0.25">
      <c r="A3" s="6" t="s">
        <v>386</v>
      </c>
      <c r="B3" s="16" t="s">
        <v>514</v>
      </c>
      <c r="C3" s="16" t="s">
        <v>110</v>
      </c>
      <c r="D3" s="16" t="s">
        <v>111</v>
      </c>
      <c r="E3" s="16" t="s">
        <v>216</v>
      </c>
      <c r="F3" s="16" t="s">
        <v>121</v>
      </c>
      <c r="G3" s="16">
        <v>1.0454E-2</v>
      </c>
      <c r="H3" s="16">
        <v>4.4115999999999995E-2</v>
      </c>
      <c r="I3" s="16">
        <v>0.139655</v>
      </c>
      <c r="J3" s="16">
        <v>9.4206999999999999E-2</v>
      </c>
      <c r="K3" s="16">
        <v>0.139655</v>
      </c>
      <c r="L3" s="16">
        <v>9.4206999999999999E-2</v>
      </c>
      <c r="M3" s="16">
        <v>0.24463699999999999</v>
      </c>
      <c r="N3" s="16">
        <v>0.28986099999999998</v>
      </c>
      <c r="O3" s="16">
        <v>0.60698799999999997</v>
      </c>
      <c r="P3" s="9">
        <v>0.52369299999999996</v>
      </c>
    </row>
    <row r="4" spans="1:16" x14ac:dyDescent="0.25">
      <c r="A4" s="6" t="s">
        <v>410</v>
      </c>
      <c r="B4" s="16" t="s">
        <v>513</v>
      </c>
      <c r="C4" s="16" t="s">
        <v>110</v>
      </c>
      <c r="D4" s="16" t="s">
        <v>111</v>
      </c>
      <c r="E4" s="16" t="s">
        <v>216</v>
      </c>
      <c r="F4" s="16" t="s">
        <v>121</v>
      </c>
      <c r="G4" s="16">
        <v>9.9500000000000001E-4</v>
      </c>
      <c r="H4" s="16">
        <v>3.4657E-2</v>
      </c>
      <c r="I4" s="16">
        <v>0.15498100000000001</v>
      </c>
      <c r="J4" s="16">
        <v>0.10953300000000001</v>
      </c>
      <c r="K4" s="16">
        <v>0.15498100000000001</v>
      </c>
      <c r="L4" s="16">
        <v>0.10953300000000001</v>
      </c>
      <c r="M4" s="16">
        <v>0.114565</v>
      </c>
      <c r="N4" s="16">
        <v>0.15978900000000001</v>
      </c>
      <c r="O4" s="16">
        <v>0.49702499999999999</v>
      </c>
      <c r="P4" s="9">
        <v>0.41372999999999999</v>
      </c>
    </row>
    <row r="5" spans="1:16" x14ac:dyDescent="0.25">
      <c r="A5" s="6" t="s">
        <v>70</v>
      </c>
      <c r="B5" s="16" t="s">
        <v>235</v>
      </c>
      <c r="C5" s="16" t="s">
        <v>110</v>
      </c>
      <c r="D5" s="16" t="s">
        <v>111</v>
      </c>
      <c r="E5" s="16" t="s">
        <v>216</v>
      </c>
      <c r="F5" s="16" t="s">
        <v>112</v>
      </c>
      <c r="G5" s="16">
        <v>-1.1779E-2</v>
      </c>
      <c r="H5" s="16">
        <v>2.1883E-2</v>
      </c>
      <c r="I5" s="16">
        <v>0.16897300000000001</v>
      </c>
      <c r="J5" s="16">
        <v>0.12352500000000001</v>
      </c>
      <c r="K5" s="16">
        <v>0.16897300000000001</v>
      </c>
      <c r="L5" s="16">
        <v>0.12352500000000001</v>
      </c>
      <c r="M5" s="16">
        <v>0.178842</v>
      </c>
      <c r="N5" s="16">
        <v>0.22406599999999999</v>
      </c>
      <c r="O5" s="16">
        <v>0.47872500000000001</v>
      </c>
      <c r="P5" s="9">
        <v>0.39543</v>
      </c>
    </row>
    <row r="6" spans="1:16" x14ac:dyDescent="0.25">
      <c r="A6" s="6" t="s">
        <v>2</v>
      </c>
      <c r="B6" s="16" t="s">
        <v>240</v>
      </c>
      <c r="C6" s="16" t="s">
        <v>110</v>
      </c>
      <c r="D6" s="16" t="s">
        <v>111</v>
      </c>
      <c r="E6" s="16" t="s">
        <v>216</v>
      </c>
      <c r="F6" s="16" t="s">
        <v>112</v>
      </c>
      <c r="G6" s="16">
        <v>-1.2073E-2</v>
      </c>
      <c r="H6" s="16">
        <v>2.1588999999999997E-2</v>
      </c>
      <c r="I6" s="16">
        <v>0.171316</v>
      </c>
      <c r="J6" s="16">
        <v>0.12586799999999998</v>
      </c>
      <c r="K6" s="16">
        <v>0.171316</v>
      </c>
      <c r="L6" s="16">
        <v>0.12586799999999998</v>
      </c>
      <c r="M6" s="16">
        <v>0.18623799999999999</v>
      </c>
      <c r="N6" s="16">
        <v>0.231462</v>
      </c>
      <c r="O6" s="16">
        <v>0.49657099999999998</v>
      </c>
      <c r="P6" s="9">
        <v>0.41327599999999998</v>
      </c>
    </row>
    <row r="7" spans="1:16" x14ac:dyDescent="0.25">
      <c r="A7" s="6" t="s">
        <v>324</v>
      </c>
      <c r="B7" s="16" t="s">
        <v>511</v>
      </c>
      <c r="C7" s="16" t="s">
        <v>110</v>
      </c>
      <c r="D7" s="16" t="s">
        <v>111</v>
      </c>
      <c r="E7" s="16" t="s">
        <v>216</v>
      </c>
      <c r="F7" s="16" t="s">
        <v>121</v>
      </c>
      <c r="G7" s="16">
        <v>-1.4614E-2</v>
      </c>
      <c r="H7" s="16">
        <v>1.9047999999999995E-2</v>
      </c>
      <c r="I7" s="16">
        <v>0.124441</v>
      </c>
      <c r="J7" s="16">
        <v>7.8992999999999994E-2</v>
      </c>
      <c r="K7" s="16">
        <v>0.124441</v>
      </c>
      <c r="L7" s="16">
        <v>7.8992999999999994E-2</v>
      </c>
      <c r="M7" s="16">
        <v>9.4523999999999997E-2</v>
      </c>
      <c r="N7" s="16">
        <v>0.13974799999999998</v>
      </c>
      <c r="O7" s="16">
        <v>0.521984</v>
      </c>
      <c r="P7" s="9">
        <v>0.438689</v>
      </c>
    </row>
    <row r="8" spans="1:16" x14ac:dyDescent="0.25">
      <c r="A8" s="6" t="s">
        <v>6</v>
      </c>
      <c r="B8" s="16" t="s">
        <v>238</v>
      </c>
      <c r="C8" s="16" t="s">
        <v>110</v>
      </c>
      <c r="D8" s="16" t="s">
        <v>111</v>
      </c>
      <c r="E8" s="16" t="s">
        <v>216</v>
      </c>
      <c r="F8" s="16" t="s">
        <v>112</v>
      </c>
      <c r="G8" s="16">
        <v>-1.8218999999999999E-2</v>
      </c>
      <c r="H8" s="16">
        <v>1.5442999999999998E-2</v>
      </c>
      <c r="I8" s="16">
        <v>0.121461</v>
      </c>
      <c r="J8" s="16">
        <v>7.6012999999999997E-2</v>
      </c>
      <c r="K8" s="16">
        <v>0.121461</v>
      </c>
      <c r="L8" s="16">
        <v>7.6012999999999997E-2</v>
      </c>
      <c r="M8" s="16">
        <v>0.12565799999999999</v>
      </c>
      <c r="N8" s="16">
        <v>0.17088199999999998</v>
      </c>
      <c r="O8" s="16">
        <v>0.353074</v>
      </c>
      <c r="P8" s="9">
        <v>0.26977899999999999</v>
      </c>
    </row>
    <row r="9" spans="1:16" x14ac:dyDescent="0.25">
      <c r="A9" s="6" t="s">
        <v>361</v>
      </c>
      <c r="B9" s="16" t="s">
        <v>508</v>
      </c>
      <c r="C9" s="16" t="s">
        <v>110</v>
      </c>
      <c r="D9" s="16" t="s">
        <v>111</v>
      </c>
      <c r="E9" s="16" t="s">
        <v>216</v>
      </c>
      <c r="F9" s="16" t="s">
        <v>136</v>
      </c>
      <c r="G9" s="16">
        <v>-1.8627999999999999E-2</v>
      </c>
      <c r="H9" s="16">
        <v>1.5033999999999999E-2</v>
      </c>
      <c r="I9" s="16">
        <v>9.5281000000000005E-2</v>
      </c>
      <c r="J9" s="16">
        <v>4.9833000000000002E-2</v>
      </c>
      <c r="K9" s="16">
        <v>9.5281000000000005E-2</v>
      </c>
      <c r="L9" s="16">
        <v>4.9833000000000002E-2</v>
      </c>
      <c r="M9" s="16">
        <v>9.2984999999999998E-2</v>
      </c>
      <c r="N9" s="16">
        <v>0.138209</v>
      </c>
      <c r="O9" s="16">
        <v>0.26362999999999998</v>
      </c>
      <c r="P9" s="9">
        <v>0.18033499999999997</v>
      </c>
    </row>
    <row r="10" spans="1:16" x14ac:dyDescent="0.25">
      <c r="A10" s="6" t="s">
        <v>379</v>
      </c>
      <c r="B10" s="16" t="s">
        <v>512</v>
      </c>
      <c r="C10" s="16" t="s">
        <v>110</v>
      </c>
      <c r="D10" s="16" t="s">
        <v>111</v>
      </c>
      <c r="E10" s="16" t="s">
        <v>216</v>
      </c>
      <c r="F10" s="16" t="s">
        <v>136</v>
      </c>
      <c r="G10" s="16">
        <v>-1.8863999999999999E-2</v>
      </c>
      <c r="H10" s="16">
        <v>1.4797999999999999E-2</v>
      </c>
      <c r="I10" s="16">
        <v>9.2356999999999995E-2</v>
      </c>
      <c r="J10" s="16">
        <v>4.6908999999999992E-2</v>
      </c>
      <c r="K10" s="16">
        <v>9.2356999999999995E-2</v>
      </c>
      <c r="L10" s="16">
        <v>4.6908999999999992E-2</v>
      </c>
      <c r="M10" s="16">
        <v>8.1391000000000005E-2</v>
      </c>
      <c r="N10" s="16">
        <v>0.12661500000000001</v>
      </c>
      <c r="O10" s="16">
        <v>0.241198</v>
      </c>
      <c r="P10" s="9">
        <v>0.15790300000000002</v>
      </c>
    </row>
    <row r="11" spans="1:16" x14ac:dyDescent="0.25">
      <c r="A11" s="6" t="s">
        <v>72</v>
      </c>
      <c r="B11" s="16" t="s">
        <v>237</v>
      </c>
      <c r="C11" s="16" t="s">
        <v>110</v>
      </c>
      <c r="D11" s="16" t="s">
        <v>111</v>
      </c>
      <c r="E11" s="16" t="s">
        <v>216</v>
      </c>
      <c r="F11" s="16" t="s">
        <v>112</v>
      </c>
      <c r="G11" s="16">
        <v>-1.9214999999999999E-2</v>
      </c>
      <c r="H11" s="16">
        <v>1.4446999999999998E-2</v>
      </c>
      <c r="I11" s="16">
        <v>0.118016</v>
      </c>
      <c r="J11" s="16">
        <v>7.2567999999999994E-2</v>
      </c>
      <c r="K11" s="16">
        <v>0.118016</v>
      </c>
      <c r="L11" s="16">
        <v>7.2567999999999994E-2</v>
      </c>
      <c r="M11" s="16">
        <v>0.114119</v>
      </c>
      <c r="N11" s="16">
        <v>0.15934300000000001</v>
      </c>
      <c r="O11" s="16">
        <v>0.32792199999999999</v>
      </c>
      <c r="P11" s="9">
        <v>0.24462699999999998</v>
      </c>
    </row>
    <row r="12" spans="1:16" x14ac:dyDescent="0.25">
      <c r="A12" s="6" t="s">
        <v>1</v>
      </c>
      <c r="B12" s="16" t="s">
        <v>234</v>
      </c>
      <c r="C12" s="16" t="s">
        <v>110</v>
      </c>
      <c r="D12" s="16" t="s">
        <v>111</v>
      </c>
      <c r="E12" s="16" t="s">
        <v>216</v>
      </c>
      <c r="F12" s="16" t="s">
        <v>112</v>
      </c>
      <c r="G12" s="16">
        <v>-2.0153999999999998E-2</v>
      </c>
      <c r="H12" s="16">
        <v>1.3507999999999999E-2</v>
      </c>
      <c r="I12" s="16">
        <v>0.144148</v>
      </c>
      <c r="J12" s="16">
        <v>9.8699999999999996E-2</v>
      </c>
      <c r="K12" s="16">
        <v>0.144148</v>
      </c>
      <c r="L12" s="16">
        <v>9.8699999999999996E-2</v>
      </c>
      <c r="M12" s="16">
        <v>0.170677</v>
      </c>
      <c r="N12" s="16">
        <v>0.21590100000000001</v>
      </c>
      <c r="O12" s="16">
        <v>0.62711799999999995</v>
      </c>
      <c r="P12" s="9">
        <v>0.54382299999999995</v>
      </c>
    </row>
    <row r="13" spans="1:16" x14ac:dyDescent="0.25">
      <c r="A13" s="6" t="s">
        <v>71</v>
      </c>
      <c r="B13" s="16" t="s">
        <v>236</v>
      </c>
      <c r="C13" s="16" t="s">
        <v>110</v>
      </c>
      <c r="D13" s="16" t="s">
        <v>111</v>
      </c>
      <c r="E13" s="16" t="s">
        <v>216</v>
      </c>
      <c r="F13" s="16" t="s">
        <v>112</v>
      </c>
      <c r="G13" s="16">
        <v>-2.0256E-2</v>
      </c>
      <c r="H13" s="16">
        <v>1.3405999999999998E-2</v>
      </c>
      <c r="I13" s="16">
        <v>0.14157</v>
      </c>
      <c r="J13" s="16">
        <v>9.6121999999999999E-2</v>
      </c>
      <c r="K13" s="16">
        <v>0.14157</v>
      </c>
      <c r="L13" s="16">
        <v>9.6121999999999999E-2</v>
      </c>
      <c r="M13" s="16">
        <v>0.160471</v>
      </c>
      <c r="N13" s="16">
        <v>0.20569500000000002</v>
      </c>
      <c r="O13" s="16">
        <v>0.60053900000000004</v>
      </c>
      <c r="P13" s="9">
        <v>0.51724400000000004</v>
      </c>
    </row>
    <row r="14" spans="1:16" x14ac:dyDescent="0.25">
      <c r="A14" s="6" t="s">
        <v>405</v>
      </c>
      <c r="B14" s="16" t="s">
        <v>509</v>
      </c>
      <c r="C14" s="16" t="s">
        <v>110</v>
      </c>
      <c r="D14" s="16" t="s">
        <v>111</v>
      </c>
      <c r="E14" s="16" t="s">
        <v>216</v>
      </c>
      <c r="F14" s="16" t="s">
        <v>136</v>
      </c>
      <c r="G14" s="16">
        <v>-2.0625000000000001E-2</v>
      </c>
      <c r="H14" s="16">
        <v>1.3036999999999997E-2</v>
      </c>
      <c r="I14" s="16">
        <v>6.7820000000000005E-2</v>
      </c>
      <c r="J14" s="16">
        <v>2.2372000000000003E-2</v>
      </c>
      <c r="K14" s="16">
        <v>6.7820000000000005E-2</v>
      </c>
      <c r="L14" s="16">
        <v>2.2372000000000003E-2</v>
      </c>
      <c r="M14" s="16">
        <v>5.7405999999999999E-2</v>
      </c>
      <c r="N14" s="16">
        <v>0.10263</v>
      </c>
      <c r="O14" s="16">
        <v>0.18379400000000001</v>
      </c>
      <c r="P14" s="9">
        <v>0.10049900000000002</v>
      </c>
    </row>
    <row r="15" spans="1:16" x14ac:dyDescent="0.25">
      <c r="A15" s="6" t="s">
        <v>381</v>
      </c>
      <c r="B15" s="16" t="s">
        <v>510</v>
      </c>
      <c r="C15" s="16" t="s">
        <v>110</v>
      </c>
      <c r="D15" s="16" t="s">
        <v>111</v>
      </c>
      <c r="E15" s="16" t="s">
        <v>216</v>
      </c>
      <c r="F15" s="16" t="s">
        <v>136</v>
      </c>
      <c r="G15" s="16">
        <v>-2.1656000000000002E-2</v>
      </c>
      <c r="H15" s="16">
        <v>1.2005999999999996E-2</v>
      </c>
      <c r="I15" s="16">
        <v>6.5268000000000007E-2</v>
      </c>
      <c r="J15" s="16">
        <v>1.9820000000000004E-2</v>
      </c>
      <c r="K15" s="16">
        <v>6.5268000000000007E-2</v>
      </c>
      <c r="L15" s="16">
        <v>1.9820000000000004E-2</v>
      </c>
      <c r="M15" s="16">
        <v>4.8587999999999999E-2</v>
      </c>
      <c r="N15" s="16">
        <v>9.3812000000000006E-2</v>
      </c>
      <c r="O15" s="16">
        <v>0.166128</v>
      </c>
      <c r="P15" s="9">
        <v>8.2833000000000004E-2</v>
      </c>
    </row>
    <row r="16" spans="1:16" x14ac:dyDescent="0.25">
      <c r="A16" s="6" t="s">
        <v>460</v>
      </c>
      <c r="B16" s="16" t="s">
        <v>670</v>
      </c>
      <c r="C16" s="16" t="s">
        <v>110</v>
      </c>
      <c r="D16" s="16" t="s">
        <v>111</v>
      </c>
      <c r="E16" s="16" t="s">
        <v>216</v>
      </c>
      <c r="F16" s="16" t="s">
        <v>671</v>
      </c>
      <c r="G16" s="16">
        <v>-2.2106000000000001E-2</v>
      </c>
      <c r="H16" s="16">
        <v>1.1555999999999997E-2</v>
      </c>
      <c r="I16" s="16">
        <v>9.8796999999999996E-2</v>
      </c>
      <c r="J16" s="16">
        <v>5.3348999999999994E-2</v>
      </c>
      <c r="K16" s="16">
        <v>9.8796999999999996E-2</v>
      </c>
      <c r="L16" s="16">
        <v>5.3348999999999994E-2</v>
      </c>
      <c r="M16" s="16">
        <v>0.13686899999999999</v>
      </c>
      <c r="N16" s="16">
        <v>0.182093</v>
      </c>
      <c r="O16" s="16">
        <v>0.38105099999999997</v>
      </c>
      <c r="P16" s="9">
        <v>0.29775599999999997</v>
      </c>
    </row>
    <row r="17" spans="1:16" x14ac:dyDescent="0.25">
      <c r="A17" s="6" t="s">
        <v>420</v>
      </c>
      <c r="B17" s="16" t="s">
        <v>506</v>
      </c>
      <c r="C17" s="16" t="s">
        <v>110</v>
      </c>
      <c r="D17" s="16" t="s">
        <v>111</v>
      </c>
      <c r="E17" s="16" t="s">
        <v>216</v>
      </c>
      <c r="F17" s="16" t="s">
        <v>121</v>
      </c>
      <c r="G17" s="16">
        <v>-2.7864E-2</v>
      </c>
      <c r="H17" s="16">
        <v>5.7979999999999976E-3</v>
      </c>
      <c r="I17" s="16">
        <v>7.7764E-2</v>
      </c>
      <c r="J17" s="16">
        <v>3.2315999999999998E-2</v>
      </c>
      <c r="K17" s="16">
        <v>7.7764E-2</v>
      </c>
      <c r="L17" s="16">
        <v>3.2315999999999998E-2</v>
      </c>
      <c r="M17" s="16">
        <v>0.124334</v>
      </c>
      <c r="N17" s="16">
        <v>0.16955799999999999</v>
      </c>
      <c r="O17" s="16">
        <v>0.42791299999999999</v>
      </c>
      <c r="P17" s="9">
        <v>0.34461799999999998</v>
      </c>
    </row>
    <row r="18" spans="1:16" x14ac:dyDescent="0.25">
      <c r="A18" s="6" t="s">
        <v>380</v>
      </c>
      <c r="B18" s="16" t="s">
        <v>507</v>
      </c>
      <c r="C18" s="16" t="s">
        <v>110</v>
      </c>
      <c r="D18" s="16" t="s">
        <v>111</v>
      </c>
      <c r="E18" s="16" t="s">
        <v>216</v>
      </c>
      <c r="F18" s="16" t="s">
        <v>112</v>
      </c>
      <c r="G18" s="16">
        <v>-3.9926000000000003E-2</v>
      </c>
      <c r="H18" s="16">
        <v>-6.2640000000000057E-3</v>
      </c>
      <c r="I18" s="16">
        <v>9.0255000000000002E-2</v>
      </c>
      <c r="J18" s="16">
        <v>4.4807E-2</v>
      </c>
      <c r="K18" s="16">
        <v>9.0255000000000002E-2</v>
      </c>
      <c r="L18" s="16">
        <v>4.4807E-2</v>
      </c>
      <c r="M18" s="16">
        <v>9.5075000000000007E-2</v>
      </c>
      <c r="N18" s="16">
        <v>0.14029900000000001</v>
      </c>
      <c r="O18" s="16">
        <v>0.26942500000000003</v>
      </c>
      <c r="P18" s="9">
        <v>0.18613000000000002</v>
      </c>
    </row>
    <row r="19" spans="1:16" x14ac:dyDescent="0.25">
      <c r="A19" s="6" t="s">
        <v>461</v>
      </c>
      <c r="B19" s="16" t="s">
        <v>669</v>
      </c>
      <c r="C19" s="16" t="s">
        <v>110</v>
      </c>
      <c r="D19" s="16" t="s">
        <v>111</v>
      </c>
      <c r="E19" s="16" t="s">
        <v>216</v>
      </c>
      <c r="F19" s="16" t="s">
        <v>123</v>
      </c>
      <c r="G19" s="16">
        <v>-5.4836000000000003E-2</v>
      </c>
      <c r="H19" s="16">
        <v>-2.1174000000000005E-2</v>
      </c>
      <c r="I19" s="16">
        <v>0.117897</v>
      </c>
      <c r="J19" s="16">
        <v>7.2449E-2</v>
      </c>
      <c r="K19" s="16">
        <v>0.117897</v>
      </c>
      <c r="L19" s="16">
        <v>7.2449E-2</v>
      </c>
      <c r="M19" s="16">
        <v>0.17932300000000001</v>
      </c>
      <c r="N19" s="16">
        <v>0.224547</v>
      </c>
      <c r="O19" s="16">
        <v>0.433444</v>
      </c>
      <c r="P19" s="9">
        <v>0.35014899999999999</v>
      </c>
    </row>
    <row r="20" spans="1:16" x14ac:dyDescent="0.25">
      <c r="A20" s="5" t="s">
        <v>95</v>
      </c>
      <c r="B20" s="3" t="s">
        <v>241</v>
      </c>
      <c r="C20" s="3" t="s">
        <v>212</v>
      </c>
      <c r="D20" s="3" t="s">
        <v>213</v>
      </c>
      <c r="E20" s="3" t="s">
        <v>233</v>
      </c>
      <c r="F20" s="3" t="s">
        <v>214</v>
      </c>
      <c r="G20" s="3">
        <v>-5.5273999999999997E-2</v>
      </c>
      <c r="H20" s="3">
        <v>-1.389999999999933E-4</v>
      </c>
      <c r="I20" s="3">
        <v>0.23283200000000001</v>
      </c>
      <c r="J20" s="3">
        <v>-1.4629999999999921E-3</v>
      </c>
      <c r="K20" s="3">
        <v>0.23283200000000001</v>
      </c>
      <c r="L20" s="3">
        <v>-1.4629999999999921E-3</v>
      </c>
      <c r="M20" s="3">
        <v>0.16067200000000001</v>
      </c>
      <c r="N20" s="3">
        <v>-4.1779999999999873E-3</v>
      </c>
      <c r="O20" s="3">
        <v>0.373832</v>
      </c>
      <c r="P20" s="8">
        <v>-3.4700000000000286E-3</v>
      </c>
    </row>
    <row r="21" spans="1:16" x14ac:dyDescent="0.25">
      <c r="A21" s="5" t="s">
        <v>492</v>
      </c>
      <c r="B21" s="3" t="s">
        <v>675</v>
      </c>
      <c r="C21" s="3" t="s">
        <v>758</v>
      </c>
      <c r="D21" s="3" t="s">
        <v>117</v>
      </c>
      <c r="E21" s="3" t="s">
        <v>218</v>
      </c>
      <c r="F21" s="3" t="s">
        <v>676</v>
      </c>
      <c r="G21" s="3">
        <v>3.5992000000000003E-2</v>
      </c>
      <c r="H21" s="3">
        <v>1.1900000000000004E-2</v>
      </c>
      <c r="I21" s="3">
        <v>0.25967499999999999</v>
      </c>
      <c r="J21" s="3">
        <v>9.4779999999999864E-3</v>
      </c>
      <c r="K21" s="3">
        <v>0.25967499999999999</v>
      </c>
      <c r="L21" s="3">
        <v>9.4779999999999864E-3</v>
      </c>
      <c r="M21" s="3">
        <v>0.25805800000000001</v>
      </c>
      <c r="N21" s="3">
        <v>-3.4843999999999986E-2</v>
      </c>
      <c r="O21" s="3">
        <v>0.97085299999999997</v>
      </c>
      <c r="P21" s="8">
        <v>6.5599999999998992E-4</v>
      </c>
    </row>
    <row r="22" spans="1:16" x14ac:dyDescent="0.25">
      <c r="A22" s="6" t="s">
        <v>370</v>
      </c>
      <c r="B22" s="16" t="s">
        <v>520</v>
      </c>
      <c r="C22" s="16" t="s">
        <v>758</v>
      </c>
      <c r="D22" s="16" t="s">
        <v>117</v>
      </c>
      <c r="E22" s="16" t="s">
        <v>218</v>
      </c>
      <c r="F22" s="16" t="s">
        <v>121</v>
      </c>
      <c r="G22" s="16">
        <v>3.5623000000000002E-2</v>
      </c>
      <c r="H22" s="16">
        <v>1.1531000000000003E-2</v>
      </c>
      <c r="I22" s="16">
        <v>0.35971199999999998</v>
      </c>
      <c r="J22" s="16">
        <v>0.10951499999999997</v>
      </c>
      <c r="K22" s="16">
        <v>0.35971199999999998</v>
      </c>
      <c r="L22" s="16">
        <v>0.10951499999999997</v>
      </c>
      <c r="M22" s="16">
        <v>0.35910300000000001</v>
      </c>
      <c r="N22" s="16">
        <v>6.620100000000001E-2</v>
      </c>
      <c r="O22" s="16">
        <v>1.240877</v>
      </c>
      <c r="P22" s="9">
        <v>0.27068000000000003</v>
      </c>
    </row>
    <row r="23" spans="1:16" x14ac:dyDescent="0.25">
      <c r="A23" s="6" t="s">
        <v>468</v>
      </c>
      <c r="B23" s="16" t="s">
        <v>715</v>
      </c>
      <c r="C23" s="16" t="s">
        <v>116</v>
      </c>
      <c r="D23" s="16" t="s">
        <v>117</v>
      </c>
      <c r="E23" s="16" t="s">
        <v>218</v>
      </c>
      <c r="F23" s="16" t="s">
        <v>121</v>
      </c>
      <c r="G23" s="16">
        <v>2.4868999999999999E-2</v>
      </c>
      <c r="H23" s="16">
        <v>7.7699999999999991E-4</v>
      </c>
      <c r="I23" s="16">
        <v>0.24885099999999999</v>
      </c>
      <c r="J23" s="16">
        <v>-1.3460000000000139E-3</v>
      </c>
      <c r="K23" s="16">
        <v>0.24885099999999999</v>
      </c>
      <c r="L23" s="16">
        <v>-1.3460000000000139E-3</v>
      </c>
      <c r="M23" s="16">
        <v>0.289549</v>
      </c>
      <c r="N23" s="16">
        <v>-3.3529999999999949E-3</v>
      </c>
      <c r="O23" s="16">
        <v>0.96526800000000001</v>
      </c>
      <c r="P23" s="9">
        <v>-4.9289999999999612E-3</v>
      </c>
    </row>
    <row r="24" spans="1:16" x14ac:dyDescent="0.25">
      <c r="A24" s="6" t="s">
        <v>397</v>
      </c>
      <c r="B24" s="16" t="s">
        <v>517</v>
      </c>
      <c r="C24" s="16" t="s">
        <v>758</v>
      </c>
      <c r="D24" s="16" t="s">
        <v>117</v>
      </c>
      <c r="E24" s="16" t="s">
        <v>218</v>
      </c>
      <c r="F24" s="16" t="s">
        <v>121</v>
      </c>
      <c r="G24" s="16">
        <v>2.4496E-2</v>
      </c>
      <c r="H24" s="16">
        <v>4.0400000000000158E-4</v>
      </c>
      <c r="I24" s="16">
        <v>0.25799</v>
      </c>
      <c r="J24" s="16">
        <v>7.7929999999999944E-3</v>
      </c>
      <c r="K24" s="16">
        <v>0.25799</v>
      </c>
      <c r="L24" s="16">
        <v>7.7929999999999944E-3</v>
      </c>
      <c r="M24" s="16">
        <v>0.24199899999999999</v>
      </c>
      <c r="N24" s="16">
        <v>-5.0903000000000004E-2</v>
      </c>
      <c r="O24" s="16">
        <v>0.83126500000000003</v>
      </c>
      <c r="P24" s="9">
        <v>-0.13893199999999994</v>
      </c>
    </row>
    <row r="25" spans="1:16" x14ac:dyDescent="0.25">
      <c r="A25" s="6" t="s">
        <v>488</v>
      </c>
      <c r="B25" s="16" t="s">
        <v>674</v>
      </c>
      <c r="C25" s="16" t="s">
        <v>116</v>
      </c>
      <c r="D25" s="16" t="s">
        <v>117</v>
      </c>
      <c r="E25" s="16" t="s">
        <v>218</v>
      </c>
      <c r="F25" s="16" t="s">
        <v>121</v>
      </c>
      <c r="G25" s="16">
        <v>2.4003E-2</v>
      </c>
      <c r="H25" s="16">
        <v>-8.8999999999998802E-5</v>
      </c>
      <c r="I25" s="16">
        <v>0.24967300000000001</v>
      </c>
      <c r="J25" s="16">
        <v>-5.2399999999999669E-4</v>
      </c>
      <c r="K25" s="16">
        <v>0.24967300000000001</v>
      </c>
      <c r="L25" s="16">
        <v>-5.2399999999999669E-4</v>
      </c>
      <c r="M25" s="16">
        <v>0.29125000000000001</v>
      </c>
      <c r="N25" s="16">
        <v>-1.6519999999999868E-3</v>
      </c>
      <c r="O25" s="16">
        <v>0.96651500000000001</v>
      </c>
      <c r="P25" s="9">
        <v>-3.6819999999999631E-3</v>
      </c>
    </row>
    <row r="26" spans="1:16" x14ac:dyDescent="0.25">
      <c r="A26" s="6" t="s">
        <v>374</v>
      </c>
      <c r="B26" s="16" t="s">
        <v>515</v>
      </c>
      <c r="C26" s="16" t="s">
        <v>116</v>
      </c>
      <c r="D26" s="16" t="s">
        <v>117</v>
      </c>
      <c r="E26" s="16" t="s">
        <v>218</v>
      </c>
      <c r="F26" s="16" t="s">
        <v>121</v>
      </c>
      <c r="G26" s="16">
        <v>2.3771E-2</v>
      </c>
      <c r="H26" s="16">
        <v>-3.2099999999999837E-4</v>
      </c>
      <c r="I26" s="16">
        <v>0.24541399999999999</v>
      </c>
      <c r="J26" s="16">
        <v>-4.7830000000000095E-3</v>
      </c>
      <c r="K26" s="16">
        <v>0.24541399999999999</v>
      </c>
      <c r="L26" s="16">
        <v>-4.7830000000000095E-3</v>
      </c>
      <c r="M26" s="16">
        <v>0.27929799999999999</v>
      </c>
      <c r="N26" s="16">
        <v>-1.3604000000000005E-2</v>
      </c>
      <c r="O26" s="16">
        <v>0.93705099999999997</v>
      </c>
      <c r="P26" s="9">
        <v>-3.3146000000000009E-2</v>
      </c>
    </row>
    <row r="27" spans="1:16" x14ac:dyDescent="0.25">
      <c r="A27" s="6" t="s">
        <v>375</v>
      </c>
      <c r="B27" s="16" t="s">
        <v>518</v>
      </c>
      <c r="C27" s="16" t="s">
        <v>758</v>
      </c>
      <c r="D27" s="16" t="s">
        <v>117</v>
      </c>
      <c r="E27" s="16" t="s">
        <v>218</v>
      </c>
      <c r="F27" s="16" t="s">
        <v>519</v>
      </c>
      <c r="G27" s="16">
        <v>1.8775E-2</v>
      </c>
      <c r="H27" s="16">
        <v>-5.3169999999999988E-3</v>
      </c>
      <c r="I27" s="16">
        <v>0.235953</v>
      </c>
      <c r="J27" s="16">
        <v>-1.4244000000000007E-2</v>
      </c>
      <c r="K27" s="16">
        <v>0.235953</v>
      </c>
      <c r="L27" s="16">
        <v>-1.4244000000000007E-2</v>
      </c>
      <c r="M27" s="16">
        <v>0.27154</v>
      </c>
      <c r="N27" s="16">
        <v>-2.1361999999999992E-2</v>
      </c>
      <c r="O27" s="16">
        <v>0.98528499999999997</v>
      </c>
      <c r="P27" s="9">
        <v>1.508799999999999E-2</v>
      </c>
    </row>
    <row r="28" spans="1:16" x14ac:dyDescent="0.25">
      <c r="A28" s="6" t="s">
        <v>472</v>
      </c>
      <c r="B28" s="16" t="s">
        <v>713</v>
      </c>
      <c r="C28" s="16" t="s">
        <v>757</v>
      </c>
      <c r="D28" s="16" t="s">
        <v>117</v>
      </c>
      <c r="E28" s="16" t="s">
        <v>218</v>
      </c>
      <c r="F28" s="16" t="s">
        <v>714</v>
      </c>
      <c r="G28" s="16">
        <v>1.3117E-2</v>
      </c>
      <c r="H28" s="16">
        <v>-1.0974999999999999E-2</v>
      </c>
      <c r="I28" s="16">
        <v>0.22431200000000001</v>
      </c>
      <c r="J28" s="16">
        <v>-2.5884999999999991E-2</v>
      </c>
      <c r="K28" s="16">
        <v>0.22431200000000001</v>
      </c>
      <c r="L28" s="16">
        <v>-2.5884999999999991E-2</v>
      </c>
      <c r="M28" s="16">
        <v>0.192579</v>
      </c>
      <c r="N28" s="16">
        <v>-0.100323</v>
      </c>
      <c r="O28" s="16">
        <v>0.939473</v>
      </c>
      <c r="P28" s="9">
        <v>-3.0723999999999974E-2</v>
      </c>
    </row>
    <row r="29" spans="1:16" x14ac:dyDescent="0.25">
      <c r="A29" s="6" t="s">
        <v>486</v>
      </c>
      <c r="B29" s="16" t="s">
        <v>677</v>
      </c>
      <c r="C29" s="16" t="s">
        <v>122</v>
      </c>
      <c r="D29" s="16" t="s">
        <v>117</v>
      </c>
      <c r="E29" s="16" t="s">
        <v>218</v>
      </c>
      <c r="F29" s="16" t="s">
        <v>678</v>
      </c>
      <c r="G29" s="16">
        <v>-3.4880000000000002E-3</v>
      </c>
      <c r="H29" s="16">
        <v>-2.758E-2</v>
      </c>
      <c r="I29" s="16">
        <v>6.5709000000000004E-2</v>
      </c>
      <c r="J29" s="16">
        <v>-0.18448799999999999</v>
      </c>
      <c r="K29" s="16">
        <v>6.5709000000000004E-2</v>
      </c>
      <c r="L29" s="16">
        <v>-0.18448799999999999</v>
      </c>
      <c r="M29" s="16">
        <v>0.73724599999999996</v>
      </c>
      <c r="N29" s="16">
        <v>0.44434399999999996</v>
      </c>
      <c r="O29" s="16">
        <v>0.81724699999999995</v>
      </c>
      <c r="P29" s="9">
        <v>-0.15295000000000003</v>
      </c>
    </row>
    <row r="30" spans="1:16" x14ac:dyDescent="0.25">
      <c r="A30" s="6" t="s">
        <v>96</v>
      </c>
      <c r="B30" s="16" t="s">
        <v>244</v>
      </c>
      <c r="C30" s="16" t="s">
        <v>757</v>
      </c>
      <c r="D30" s="16" t="s">
        <v>117</v>
      </c>
      <c r="E30" s="16" t="s">
        <v>218</v>
      </c>
      <c r="F30" s="16" t="s">
        <v>112</v>
      </c>
      <c r="G30" s="16">
        <v>-5.2310000000000004E-3</v>
      </c>
      <c r="H30" s="16">
        <v>-2.9322999999999998E-2</v>
      </c>
      <c r="I30" s="16">
        <v>0.124253</v>
      </c>
      <c r="J30" s="16">
        <v>-0.125944</v>
      </c>
      <c r="K30" s="16">
        <v>0.124253</v>
      </c>
      <c r="L30" s="16">
        <v>-0.125944</v>
      </c>
      <c r="M30" s="16">
        <v>0.111396</v>
      </c>
      <c r="N30" s="16">
        <v>-0.181506</v>
      </c>
      <c r="O30" s="16">
        <v>0.34443699999999999</v>
      </c>
      <c r="P30" s="9">
        <v>-0.62575999999999998</v>
      </c>
    </row>
    <row r="31" spans="1:16" x14ac:dyDescent="0.25">
      <c r="A31" s="6" t="s">
        <v>378</v>
      </c>
      <c r="B31" s="16" t="s">
        <v>516</v>
      </c>
      <c r="C31" s="16" t="s">
        <v>757</v>
      </c>
      <c r="D31" s="16" t="s">
        <v>117</v>
      </c>
      <c r="E31" s="16" t="s">
        <v>218</v>
      </c>
      <c r="F31" s="16" t="s">
        <v>112</v>
      </c>
      <c r="G31" s="16">
        <v>-5.8809999999999999E-3</v>
      </c>
      <c r="H31" s="16">
        <v>-2.9973E-2</v>
      </c>
      <c r="I31" s="16">
        <v>0.121944</v>
      </c>
      <c r="J31" s="16">
        <v>-0.12825300000000001</v>
      </c>
      <c r="K31" s="16">
        <v>0.121944</v>
      </c>
      <c r="L31" s="16">
        <v>-0.12825300000000001</v>
      </c>
      <c r="M31" s="16">
        <v>0.104682</v>
      </c>
      <c r="N31" s="16">
        <v>-0.18822</v>
      </c>
      <c r="O31" s="16">
        <v>0.33132200000000001</v>
      </c>
      <c r="P31" s="9">
        <v>-0.63887499999999997</v>
      </c>
    </row>
    <row r="32" spans="1:16" x14ac:dyDescent="0.25">
      <c r="A32" s="6" t="s">
        <v>406</v>
      </c>
      <c r="B32" s="16" t="s">
        <v>521</v>
      </c>
      <c r="C32" s="16" t="s">
        <v>122</v>
      </c>
      <c r="D32" s="16" t="s">
        <v>117</v>
      </c>
      <c r="E32" s="16" t="s">
        <v>218</v>
      </c>
      <c r="F32" s="16" t="s">
        <v>522</v>
      </c>
      <c r="G32" s="16">
        <v>-2.4417999999999999E-2</v>
      </c>
      <c r="H32" s="16">
        <v>-4.8509999999999998E-2</v>
      </c>
      <c r="I32" s="16">
        <v>7.5627E-2</v>
      </c>
      <c r="J32" s="16">
        <v>-0.17457</v>
      </c>
      <c r="K32" s="16">
        <v>7.5627E-2</v>
      </c>
      <c r="L32" s="16">
        <v>-0.17457</v>
      </c>
      <c r="M32" s="16">
        <v>0.47843200000000002</v>
      </c>
      <c r="N32" s="16">
        <v>0.18553000000000003</v>
      </c>
      <c r="O32" s="16">
        <v>0.65822199999999997</v>
      </c>
      <c r="P32" s="9">
        <v>-0.311975</v>
      </c>
    </row>
    <row r="33" spans="1:16" x14ac:dyDescent="0.25">
      <c r="A33" s="5" t="s">
        <v>394</v>
      </c>
      <c r="B33" s="3" t="s">
        <v>819</v>
      </c>
      <c r="C33" s="3" t="s">
        <v>191</v>
      </c>
      <c r="D33" s="3" t="s">
        <v>192</v>
      </c>
      <c r="E33" s="3" t="s">
        <v>232</v>
      </c>
      <c r="F33" s="3" t="s">
        <v>174</v>
      </c>
      <c r="G33" s="3">
        <v>-1.2076E-2</v>
      </c>
      <c r="H33" s="3">
        <v>6.5512000000000001E-2</v>
      </c>
      <c r="I33" s="3">
        <v>3.7789999999999997E-2</v>
      </c>
      <c r="J33" s="3">
        <v>-1.6460000000000002E-2</v>
      </c>
      <c r="K33" s="3">
        <v>3.7789999999999997E-2</v>
      </c>
      <c r="L33" s="3">
        <v>-1.6460000000000002E-2</v>
      </c>
      <c r="M33" s="3">
        <v>7.8700000000000003E-3</v>
      </c>
      <c r="N33" s="3">
        <v>0.14155699999999999</v>
      </c>
      <c r="O33" s="3">
        <v>0.21349899999999999</v>
      </c>
      <c r="P33" s="8">
        <v>2.5892999999999999E-2</v>
      </c>
    </row>
    <row r="34" spans="1:16" x14ac:dyDescent="0.25">
      <c r="A34" s="6" t="s">
        <v>504</v>
      </c>
      <c r="B34" s="16" t="s">
        <v>716</v>
      </c>
      <c r="C34" s="16" t="s">
        <v>191</v>
      </c>
      <c r="D34" s="16" t="s">
        <v>192</v>
      </c>
      <c r="E34" s="16" t="s">
        <v>232</v>
      </c>
      <c r="F34" s="16" t="s">
        <v>717</v>
      </c>
      <c r="G34" s="16">
        <v>-7.9807000000000003E-2</v>
      </c>
      <c r="H34" s="16">
        <v>-2.2189999999999988E-3</v>
      </c>
      <c r="I34" s="16">
        <v>5.0735000000000002E-2</v>
      </c>
      <c r="J34" s="16">
        <v>-3.5149999999999973E-3</v>
      </c>
      <c r="K34" s="16">
        <v>5.0735000000000002E-2</v>
      </c>
      <c r="L34" s="16">
        <v>-3.5149999999999973E-3</v>
      </c>
      <c r="M34" s="16">
        <v>-0.12917500000000001</v>
      </c>
      <c r="N34" s="16">
        <v>4.5119999999999882E-3</v>
      </c>
      <c r="O34" s="16">
        <v>0.24526100000000001</v>
      </c>
      <c r="P34" s="9">
        <v>5.7655000000000012E-2</v>
      </c>
    </row>
    <row r="35" spans="1:16" x14ac:dyDescent="0.25">
      <c r="A35" s="6" t="s">
        <v>354</v>
      </c>
      <c r="B35" s="16" t="s">
        <v>523</v>
      </c>
      <c r="C35" s="16" t="s">
        <v>191</v>
      </c>
      <c r="D35" s="16" t="s">
        <v>192</v>
      </c>
      <c r="E35" s="16" t="s">
        <v>232</v>
      </c>
      <c r="F35" s="16" t="s">
        <v>524</v>
      </c>
      <c r="G35" s="16">
        <v>-9.6781000000000006E-2</v>
      </c>
      <c r="H35" s="16">
        <v>-1.9193000000000002E-2</v>
      </c>
      <c r="I35" s="16">
        <v>1.9310000000000001E-2</v>
      </c>
      <c r="J35" s="16">
        <v>-3.4939999999999999E-2</v>
      </c>
      <c r="K35" s="16">
        <v>1.9310000000000001E-2</v>
      </c>
      <c r="L35" s="16">
        <v>-3.4939999999999999E-2</v>
      </c>
      <c r="M35" s="16">
        <v>-0.15049399999999999</v>
      </c>
      <c r="N35" s="16">
        <v>-1.6806999999999989E-2</v>
      </c>
      <c r="O35" s="16">
        <v>3.7768999999999997E-2</v>
      </c>
      <c r="P35" s="9">
        <v>-0.149837</v>
      </c>
    </row>
    <row r="36" spans="1:16" x14ac:dyDescent="0.25">
      <c r="A36" s="5" t="s">
        <v>40</v>
      </c>
      <c r="B36" s="3" t="s">
        <v>169</v>
      </c>
      <c r="C36" s="3" t="s">
        <v>163</v>
      </c>
      <c r="D36" s="3" t="s">
        <v>164</v>
      </c>
      <c r="E36" s="3" t="s">
        <v>228</v>
      </c>
      <c r="F36" s="3" t="s">
        <v>170</v>
      </c>
      <c r="G36" s="3">
        <v>5.9699999999999998E-4</v>
      </c>
      <c r="H36" s="3">
        <v>2.0136000000000001E-2</v>
      </c>
      <c r="I36" s="3">
        <v>0.25283699999999998</v>
      </c>
      <c r="J36" s="3">
        <v>8.3421999999999968E-2</v>
      </c>
      <c r="K36" s="3">
        <v>0.25283699999999998</v>
      </c>
      <c r="L36" s="3">
        <v>8.3421999999999968E-2</v>
      </c>
      <c r="M36" s="3">
        <v>0.62450499999999998</v>
      </c>
      <c r="N36" s="3">
        <v>0.30728499999999997</v>
      </c>
      <c r="O36" s="3">
        <v>0.74810399999999999</v>
      </c>
      <c r="P36" s="8">
        <v>-4.9444999999999961E-2</v>
      </c>
    </row>
    <row r="37" spans="1:16" x14ac:dyDescent="0.25">
      <c r="A37" s="6" t="s">
        <v>38</v>
      </c>
      <c r="B37" s="16" t="s">
        <v>245</v>
      </c>
      <c r="C37" s="16" t="s">
        <v>163</v>
      </c>
      <c r="D37" s="16" t="s">
        <v>164</v>
      </c>
      <c r="E37" s="16" t="s">
        <v>228</v>
      </c>
      <c r="F37" s="16" t="s">
        <v>165</v>
      </c>
      <c r="G37" s="16">
        <v>-1.4834999999999999E-2</v>
      </c>
      <c r="H37" s="16">
        <v>4.7040000000000016E-3</v>
      </c>
      <c r="I37" s="16">
        <v>0.17926</v>
      </c>
      <c r="J37" s="16">
        <v>9.8449999999999926E-3</v>
      </c>
      <c r="K37" s="16">
        <v>0.17926</v>
      </c>
      <c r="L37" s="16">
        <v>9.8449999999999926E-3</v>
      </c>
      <c r="M37" s="16">
        <v>0.43407299999999999</v>
      </c>
      <c r="N37" s="16">
        <v>0.11685299999999998</v>
      </c>
      <c r="O37" s="16">
        <v>1.342006</v>
      </c>
      <c r="P37" s="9">
        <v>0.54445700000000008</v>
      </c>
    </row>
    <row r="38" spans="1:16" x14ac:dyDescent="0.25">
      <c r="A38" s="6" t="s">
        <v>503</v>
      </c>
      <c r="B38" s="16" t="s">
        <v>718</v>
      </c>
      <c r="C38" s="16" t="s">
        <v>163</v>
      </c>
      <c r="D38" s="16" t="s">
        <v>164</v>
      </c>
      <c r="E38" s="16" t="s">
        <v>228</v>
      </c>
      <c r="F38" s="16" t="s">
        <v>719</v>
      </c>
      <c r="G38" s="16">
        <v>-2.2273000000000001E-2</v>
      </c>
      <c r="H38" s="16">
        <v>-2.7340000000000003E-3</v>
      </c>
      <c r="I38" s="16">
        <v>0.17305599999999999</v>
      </c>
      <c r="J38" s="16">
        <v>3.6409999999999776E-3</v>
      </c>
      <c r="K38" s="16">
        <v>0.17305599999999999</v>
      </c>
      <c r="L38" s="16">
        <v>3.6409999999999776E-3</v>
      </c>
      <c r="M38" s="16">
        <v>0.30834499999999998</v>
      </c>
      <c r="N38" s="16">
        <v>-8.8750000000000218E-3</v>
      </c>
      <c r="O38" s="16">
        <v>0.75787099999999996</v>
      </c>
      <c r="P38" s="9">
        <v>-3.9677999999999991E-2</v>
      </c>
    </row>
    <row r="39" spans="1:16" x14ac:dyDescent="0.25">
      <c r="A39" s="5" t="s">
        <v>450</v>
      </c>
      <c r="B39" s="3" t="s">
        <v>525</v>
      </c>
      <c r="C39" s="3" t="s">
        <v>526</v>
      </c>
      <c r="D39" s="3" t="s">
        <v>527</v>
      </c>
      <c r="E39" s="3" t="s">
        <v>528</v>
      </c>
      <c r="F39" s="3" t="s">
        <v>121</v>
      </c>
      <c r="G39" s="3">
        <v>-0.10928599999999999</v>
      </c>
      <c r="H39" s="3">
        <v>-1.1056999999999997E-2</v>
      </c>
      <c r="I39" s="3">
        <v>1.8190000000000001E-2</v>
      </c>
      <c r="J39" s="3">
        <v>-9.9179999999999997E-3</v>
      </c>
      <c r="K39" s="3">
        <v>1.8190000000000001E-2</v>
      </c>
      <c r="L39" s="3">
        <v>-9.9179999999999997E-3</v>
      </c>
      <c r="M39" s="3">
        <v>-7.8456999999999999E-2</v>
      </c>
      <c r="N39" s="3">
        <v>-9.1579999999999995E-2</v>
      </c>
      <c r="O39" s="3">
        <v>0.35830600000000001</v>
      </c>
      <c r="P39" s="8">
        <v>-9.0524999999999967E-2</v>
      </c>
    </row>
    <row r="40" spans="1:16" x14ac:dyDescent="0.25">
      <c r="A40" s="5" t="s">
        <v>502</v>
      </c>
      <c r="B40" s="3" t="s">
        <v>720</v>
      </c>
      <c r="C40" s="3" t="s">
        <v>176</v>
      </c>
      <c r="D40" s="3" t="s">
        <v>177</v>
      </c>
      <c r="E40" s="3" t="s">
        <v>231</v>
      </c>
      <c r="F40" s="3" t="s">
        <v>721</v>
      </c>
      <c r="G40" s="3">
        <v>7.0958999999999994E-2</v>
      </c>
      <c r="H40" s="3">
        <v>1.7439999999999956E-3</v>
      </c>
      <c r="I40" s="3">
        <v>0.30546800000000002</v>
      </c>
      <c r="J40" s="3">
        <v>7.6370000000000049E-3</v>
      </c>
      <c r="K40" s="3">
        <v>0.30546800000000002</v>
      </c>
      <c r="L40" s="3">
        <v>7.6370000000000049E-3</v>
      </c>
      <c r="M40" s="3">
        <v>0.30739</v>
      </c>
      <c r="N40" s="3">
        <v>5.2650000000000197E-3</v>
      </c>
      <c r="O40" s="3">
        <v>0.73316000000000003</v>
      </c>
      <c r="P40" s="8">
        <v>1.4612000000000069E-2</v>
      </c>
    </row>
    <row r="41" spans="1:16" x14ac:dyDescent="0.25">
      <c r="A41" s="6" t="s">
        <v>432</v>
      </c>
      <c r="B41" s="16" t="s">
        <v>533</v>
      </c>
      <c r="C41" s="16" t="s">
        <v>176</v>
      </c>
      <c r="D41" s="16" t="s">
        <v>177</v>
      </c>
      <c r="E41" s="16" t="s">
        <v>231</v>
      </c>
      <c r="F41" s="16" t="s">
        <v>121</v>
      </c>
      <c r="G41" s="16">
        <v>6.4065999999999998E-2</v>
      </c>
      <c r="H41" s="16">
        <v>-5.1490000000000008E-3</v>
      </c>
      <c r="I41" s="16">
        <v>0.36811100000000002</v>
      </c>
      <c r="J41" s="16">
        <v>7.0280000000000009E-2</v>
      </c>
      <c r="K41" s="16">
        <v>0.36811100000000002</v>
      </c>
      <c r="L41" s="16">
        <v>7.0280000000000009E-2</v>
      </c>
      <c r="M41" s="16">
        <v>0.34988200000000003</v>
      </c>
      <c r="N41" s="16">
        <v>4.7757000000000049E-2</v>
      </c>
      <c r="O41" s="16">
        <v>1.246291</v>
      </c>
      <c r="P41" s="9">
        <v>0.52774300000000007</v>
      </c>
    </row>
    <row r="42" spans="1:16" x14ac:dyDescent="0.25">
      <c r="A42" s="6" t="s">
        <v>93</v>
      </c>
      <c r="B42" s="16" t="s">
        <v>247</v>
      </c>
      <c r="C42" s="16" t="s">
        <v>176</v>
      </c>
      <c r="D42" s="16" t="s">
        <v>177</v>
      </c>
      <c r="E42" s="16" t="s">
        <v>231</v>
      </c>
      <c r="F42" s="16" t="s">
        <v>162</v>
      </c>
      <c r="G42" s="16">
        <v>5.4533999999999999E-2</v>
      </c>
      <c r="H42" s="16">
        <v>-1.4681E-2</v>
      </c>
      <c r="I42" s="16">
        <v>0.35073399999999999</v>
      </c>
      <c r="J42" s="16">
        <v>5.2902999999999978E-2</v>
      </c>
      <c r="K42" s="16">
        <v>0.35073399999999999</v>
      </c>
      <c r="L42" s="16">
        <v>5.2902999999999978E-2</v>
      </c>
      <c r="M42" s="16">
        <v>0.15115600000000001</v>
      </c>
      <c r="N42" s="16">
        <v>-0.15096899999999996</v>
      </c>
      <c r="O42" s="16">
        <v>1.328546</v>
      </c>
      <c r="P42" s="9">
        <v>0.60999800000000004</v>
      </c>
    </row>
    <row r="43" spans="1:16" x14ac:dyDescent="0.25">
      <c r="A43" s="6" t="s">
        <v>48</v>
      </c>
      <c r="B43" s="16" t="s">
        <v>246</v>
      </c>
      <c r="C43" s="16" t="s">
        <v>176</v>
      </c>
      <c r="D43" s="16" t="s">
        <v>177</v>
      </c>
      <c r="E43" s="16" t="s">
        <v>231</v>
      </c>
      <c r="F43" s="16" t="s">
        <v>178</v>
      </c>
      <c r="G43" s="16">
        <v>3.1613000000000002E-2</v>
      </c>
      <c r="H43" s="16">
        <v>-3.7601999999999997E-2</v>
      </c>
      <c r="I43" s="16">
        <v>0.21632799999999999</v>
      </c>
      <c r="J43" s="16">
        <v>-8.150300000000002E-2</v>
      </c>
      <c r="K43" s="16">
        <v>0.21632799999999999</v>
      </c>
      <c r="L43" s="16">
        <v>-8.150300000000002E-2</v>
      </c>
      <c r="M43" s="16">
        <v>0.37145800000000001</v>
      </c>
      <c r="N43" s="16">
        <v>6.9333000000000033E-2</v>
      </c>
      <c r="O43" s="16">
        <v>1.653912</v>
      </c>
      <c r="P43" s="9">
        <v>0.93536400000000008</v>
      </c>
    </row>
    <row r="44" spans="1:16" x14ac:dyDescent="0.25">
      <c r="A44" s="6" t="s">
        <v>500</v>
      </c>
      <c r="B44" s="16" t="s">
        <v>679</v>
      </c>
      <c r="C44" s="16" t="s">
        <v>176</v>
      </c>
      <c r="D44" s="16" t="s">
        <v>177</v>
      </c>
      <c r="E44" s="16" t="s">
        <v>231</v>
      </c>
      <c r="F44" s="16" t="s">
        <v>121</v>
      </c>
      <c r="G44" s="16">
        <v>1.8748999999999998E-2</v>
      </c>
      <c r="H44" s="16">
        <v>-5.0465999999999997E-2</v>
      </c>
      <c r="I44" s="16">
        <v>0.31350899999999998</v>
      </c>
      <c r="J44" s="16">
        <v>1.567799999999997E-2</v>
      </c>
      <c r="K44" s="16">
        <v>0.31350899999999998</v>
      </c>
      <c r="L44" s="16">
        <v>1.567799999999997E-2</v>
      </c>
      <c r="M44" s="16">
        <v>0.248588</v>
      </c>
      <c r="N44" s="16">
        <v>-5.3536999999999973E-2</v>
      </c>
      <c r="O44" s="16">
        <v>0.96110099999999998</v>
      </c>
      <c r="P44" s="9">
        <v>0.24255300000000002</v>
      </c>
    </row>
    <row r="45" spans="1:16" x14ac:dyDescent="0.25">
      <c r="A45" s="6" t="s">
        <v>451</v>
      </c>
      <c r="B45" s="16" t="s">
        <v>531</v>
      </c>
      <c r="C45" s="16" t="s">
        <v>176</v>
      </c>
      <c r="D45" s="16" t="s">
        <v>177</v>
      </c>
      <c r="E45" s="16" t="s">
        <v>231</v>
      </c>
      <c r="F45" s="16" t="s">
        <v>532</v>
      </c>
      <c r="G45" s="16">
        <v>-3.2699999999999999E-3</v>
      </c>
      <c r="H45" s="16">
        <v>-7.2484999999999994E-2</v>
      </c>
      <c r="I45" s="16">
        <v>-1.0649E-2</v>
      </c>
      <c r="J45" s="16">
        <v>-0.30848000000000003</v>
      </c>
      <c r="K45" s="16">
        <v>-1.0649E-2</v>
      </c>
      <c r="L45" s="16">
        <v>-0.30848000000000003</v>
      </c>
      <c r="M45" s="16">
        <v>-7.3647000000000004E-2</v>
      </c>
      <c r="N45" s="16">
        <v>-0.37577199999999999</v>
      </c>
      <c r="O45" s="16">
        <v>0.49465599999999998</v>
      </c>
      <c r="P45" s="9">
        <v>-0.22389199999999998</v>
      </c>
    </row>
    <row r="46" spans="1:16" x14ac:dyDescent="0.25">
      <c r="A46" s="6" t="s">
        <v>423</v>
      </c>
      <c r="B46" s="16" t="s">
        <v>529</v>
      </c>
      <c r="C46" s="16" t="s">
        <v>176</v>
      </c>
      <c r="D46" s="16" t="s">
        <v>177</v>
      </c>
      <c r="E46" s="16" t="s">
        <v>231</v>
      </c>
      <c r="F46" s="16" t="s">
        <v>530</v>
      </c>
      <c r="G46" s="16">
        <v>-6.1543E-2</v>
      </c>
      <c r="H46" s="16">
        <v>-0.13075799999999999</v>
      </c>
      <c r="I46" s="16">
        <v>-0.191856</v>
      </c>
      <c r="J46" s="16">
        <v>-0.48968699999999998</v>
      </c>
      <c r="K46" s="16">
        <v>-0.191856</v>
      </c>
      <c r="L46" s="16">
        <v>-0.48968699999999998</v>
      </c>
      <c r="M46" s="16">
        <v>-0.50278199999999995</v>
      </c>
      <c r="N46" s="16">
        <v>-0.80490699999999993</v>
      </c>
      <c r="O46" s="16">
        <v>0.54914399999999997</v>
      </c>
      <c r="P46" s="9">
        <v>-0.169404</v>
      </c>
    </row>
    <row r="47" spans="1:16" x14ac:dyDescent="0.25">
      <c r="A47" s="6" t="s">
        <v>501</v>
      </c>
      <c r="B47" s="16" t="s">
        <v>722</v>
      </c>
      <c r="C47" s="16" t="s">
        <v>176</v>
      </c>
      <c r="D47" s="16" t="s">
        <v>177</v>
      </c>
      <c r="E47" s="16" t="s">
        <v>231</v>
      </c>
      <c r="F47" s="16" t="s">
        <v>723</v>
      </c>
      <c r="G47" s="16">
        <v>-0.12243800000000001</v>
      </c>
      <c r="H47" s="16">
        <v>-0.19165300000000002</v>
      </c>
      <c r="I47" s="16">
        <v>1.4339999999999999E-3</v>
      </c>
      <c r="J47" s="16">
        <v>-0.29639700000000002</v>
      </c>
      <c r="K47" s="16">
        <v>1.4339999999999999E-3</v>
      </c>
      <c r="L47" s="16">
        <v>-0.29639700000000002</v>
      </c>
      <c r="M47" s="16">
        <v>-1.2468E-2</v>
      </c>
      <c r="N47" s="16">
        <v>-0.31459299999999996</v>
      </c>
      <c r="O47" s="16">
        <v>0.51687899999999998</v>
      </c>
      <c r="P47" s="9">
        <v>-0.20166899999999999</v>
      </c>
    </row>
    <row r="48" spans="1:16" x14ac:dyDescent="0.25">
      <c r="A48" s="5" t="s">
        <v>505</v>
      </c>
      <c r="B48" s="3" t="s">
        <v>724</v>
      </c>
      <c r="C48" s="3" t="s">
        <v>166</v>
      </c>
      <c r="D48" s="3" t="s">
        <v>167</v>
      </c>
      <c r="E48" s="3" t="s">
        <v>229</v>
      </c>
      <c r="F48" s="3" t="s">
        <v>725</v>
      </c>
      <c r="G48" s="3">
        <v>0.121795</v>
      </c>
      <c r="H48" s="3">
        <v>0.150557</v>
      </c>
      <c r="I48" s="3">
        <v>0.26506600000000002</v>
      </c>
      <c r="J48" s="3">
        <v>0.11723200000000003</v>
      </c>
      <c r="K48" s="3">
        <v>0.26506600000000002</v>
      </c>
      <c r="L48" s="3">
        <v>0.11723200000000003</v>
      </c>
      <c r="M48" s="3">
        <v>0.12571599999999999</v>
      </c>
      <c r="N48" s="3">
        <v>-2.8432000000000013E-2</v>
      </c>
      <c r="O48" s="3">
        <v>0.866919</v>
      </c>
      <c r="P48" s="8">
        <v>0.34784400000000004</v>
      </c>
    </row>
    <row r="49" spans="1:16" x14ac:dyDescent="0.25">
      <c r="A49" s="6" t="s">
        <v>39</v>
      </c>
      <c r="B49" s="16" t="s">
        <v>248</v>
      </c>
      <c r="C49" s="16" t="s">
        <v>166</v>
      </c>
      <c r="D49" s="16" t="s">
        <v>167</v>
      </c>
      <c r="E49" s="16" t="s">
        <v>229</v>
      </c>
      <c r="F49" s="16" t="s">
        <v>168</v>
      </c>
      <c r="G49" s="16">
        <v>-4.5663000000000002E-2</v>
      </c>
      <c r="H49" s="16">
        <v>-1.6901000000000003E-2</v>
      </c>
      <c r="I49" s="16">
        <v>0.12189800000000001</v>
      </c>
      <c r="J49" s="16">
        <v>-2.5935999999999987E-2</v>
      </c>
      <c r="K49" s="16">
        <v>0.12189800000000001</v>
      </c>
      <c r="L49" s="16">
        <v>-2.5935999999999987E-2</v>
      </c>
      <c r="M49" s="16">
        <v>0.10335</v>
      </c>
      <c r="N49" s="16">
        <v>-5.079800000000001E-2</v>
      </c>
      <c r="O49" s="16">
        <v>0.42430400000000001</v>
      </c>
      <c r="P49" s="9">
        <v>-9.4770999999999939E-2</v>
      </c>
    </row>
    <row r="50" spans="1:16" x14ac:dyDescent="0.25">
      <c r="A50" s="5" t="s">
        <v>18</v>
      </c>
      <c r="B50" s="3" t="s">
        <v>266</v>
      </c>
      <c r="C50" s="3" t="s">
        <v>759</v>
      </c>
      <c r="D50" s="3" t="s">
        <v>760</v>
      </c>
      <c r="E50" s="3" t="s">
        <v>761</v>
      </c>
      <c r="F50" s="3" t="s">
        <v>147</v>
      </c>
      <c r="G50" s="3">
        <v>-2.3199000000000001E-2</v>
      </c>
      <c r="H50" s="3">
        <v>-5.7470000000000021E-3</v>
      </c>
      <c r="I50" s="3">
        <v>0.139761</v>
      </c>
      <c r="J50" s="3">
        <v>9.0609999999999857E-3</v>
      </c>
      <c r="K50" s="3">
        <v>0.139761</v>
      </c>
      <c r="L50" s="3">
        <v>9.0609999999999857E-3</v>
      </c>
      <c r="M50" s="3">
        <v>0.17306299999999999</v>
      </c>
      <c r="N50" s="3">
        <v>5.1948999999999995E-2</v>
      </c>
      <c r="O50" s="3">
        <v>0.600684</v>
      </c>
      <c r="P50" s="8">
        <v>9.0439000000000047E-2</v>
      </c>
    </row>
    <row r="51" spans="1:16" x14ac:dyDescent="0.25">
      <c r="A51" s="6" t="s">
        <v>91</v>
      </c>
      <c r="B51" s="16" t="s">
        <v>255</v>
      </c>
      <c r="C51" s="16" t="s">
        <v>759</v>
      </c>
      <c r="D51" s="16" t="s">
        <v>760</v>
      </c>
      <c r="E51" s="16" t="s">
        <v>761</v>
      </c>
      <c r="F51" s="16" t="s">
        <v>147</v>
      </c>
      <c r="G51" s="16">
        <v>-2.4E-2</v>
      </c>
      <c r="H51" s="16">
        <v>-6.5480000000000017E-3</v>
      </c>
      <c r="I51" s="16">
        <v>0.13664899999999999</v>
      </c>
      <c r="J51" s="16">
        <v>5.9489999999999821E-3</v>
      </c>
      <c r="K51" s="16">
        <v>0.13664899999999999</v>
      </c>
      <c r="L51" s="16">
        <v>5.9489999999999821E-3</v>
      </c>
      <c r="M51" s="16">
        <v>0.16408700000000001</v>
      </c>
      <c r="N51" s="16">
        <v>4.2973000000000011E-2</v>
      </c>
      <c r="O51" s="16">
        <v>0.58044499999999999</v>
      </c>
      <c r="P51" s="9">
        <v>7.020000000000004E-2</v>
      </c>
    </row>
    <row r="52" spans="1:16" x14ac:dyDescent="0.25">
      <c r="A52" s="6" t="s">
        <v>484</v>
      </c>
      <c r="B52" s="16" t="s">
        <v>680</v>
      </c>
      <c r="C52" s="16" t="s">
        <v>759</v>
      </c>
      <c r="D52" s="16" t="s">
        <v>760</v>
      </c>
      <c r="E52" s="16" t="s">
        <v>761</v>
      </c>
      <c r="F52" s="16" t="s">
        <v>147</v>
      </c>
      <c r="G52" s="16">
        <v>-3.3523999999999998E-2</v>
      </c>
      <c r="H52" s="16">
        <v>-1.6071999999999999E-2</v>
      </c>
      <c r="I52" s="16">
        <v>7.1818000000000007E-2</v>
      </c>
      <c r="J52" s="16">
        <v>-5.8882000000000004E-2</v>
      </c>
      <c r="K52" s="16">
        <v>7.1818000000000007E-2</v>
      </c>
      <c r="L52" s="16">
        <v>-5.8882000000000004E-2</v>
      </c>
      <c r="M52" s="16">
        <v>0.25014399999999998</v>
      </c>
      <c r="N52" s="16">
        <v>0.12902999999999998</v>
      </c>
      <c r="O52" s="16">
        <v>0.69045699999999999</v>
      </c>
      <c r="P52" s="9">
        <v>0.18021200000000004</v>
      </c>
    </row>
    <row r="53" spans="1:16" x14ac:dyDescent="0.25">
      <c r="A53" s="6" t="s">
        <v>58</v>
      </c>
      <c r="B53" s="16" t="s">
        <v>249</v>
      </c>
      <c r="C53" s="16" t="s">
        <v>759</v>
      </c>
      <c r="D53" s="16" t="s">
        <v>760</v>
      </c>
      <c r="E53" s="16" t="s">
        <v>761</v>
      </c>
      <c r="F53" s="16" t="s">
        <v>147</v>
      </c>
      <c r="G53" s="16">
        <v>-5.0464000000000002E-2</v>
      </c>
      <c r="H53" s="16">
        <v>-3.3012E-2</v>
      </c>
      <c r="I53" s="16">
        <v>5.6455999999999999E-2</v>
      </c>
      <c r="J53" s="16">
        <v>-7.4244000000000004E-2</v>
      </c>
      <c r="K53" s="16">
        <v>5.6455999999999999E-2</v>
      </c>
      <c r="L53" s="16">
        <v>-7.4244000000000004E-2</v>
      </c>
      <c r="M53" s="16">
        <v>7.4261999999999995E-2</v>
      </c>
      <c r="N53" s="16">
        <v>-4.6852000000000005E-2</v>
      </c>
      <c r="O53" s="16">
        <v>0.25118699999999999</v>
      </c>
      <c r="P53" s="9">
        <v>-0.25905799999999995</v>
      </c>
    </row>
    <row r="54" spans="1:16" x14ac:dyDescent="0.25">
      <c r="A54" s="5" t="s">
        <v>47</v>
      </c>
      <c r="B54" s="3" t="s">
        <v>250</v>
      </c>
      <c r="C54" s="3" t="s">
        <v>762</v>
      </c>
      <c r="D54" s="3" t="s">
        <v>763</v>
      </c>
      <c r="E54" s="3" t="s">
        <v>764</v>
      </c>
      <c r="F54" s="3" t="s">
        <v>175</v>
      </c>
      <c r="G54" s="3">
        <v>5.2379999999999996E-3</v>
      </c>
      <c r="H54" s="3">
        <v>-9.6300000000000031E-4</v>
      </c>
      <c r="I54" s="3">
        <v>0.153034</v>
      </c>
      <c r="J54" s="3">
        <v>-4.029999999999867E-4</v>
      </c>
      <c r="K54" s="3">
        <v>0.153034</v>
      </c>
      <c r="L54" s="3">
        <v>-4.029999999999867E-4</v>
      </c>
      <c r="M54" s="3">
        <v>8.7475999999999998E-2</v>
      </c>
      <c r="N54" s="3">
        <v>-3.0540999999999999E-2</v>
      </c>
      <c r="O54" s="3">
        <v>0.60088299999999994</v>
      </c>
      <c r="P54" s="8">
        <v>-3.9970000000000283E-3</v>
      </c>
    </row>
    <row r="55" spans="1:16" x14ac:dyDescent="0.25">
      <c r="A55" s="6" t="s">
        <v>383</v>
      </c>
      <c r="B55" s="16" t="s">
        <v>536</v>
      </c>
      <c r="C55" s="16" t="s">
        <v>762</v>
      </c>
      <c r="D55" s="16" t="s">
        <v>763</v>
      </c>
      <c r="E55" s="16" t="s">
        <v>764</v>
      </c>
      <c r="F55" s="16" t="s">
        <v>537</v>
      </c>
      <c r="G55" s="16">
        <v>4.2240000000000003E-3</v>
      </c>
      <c r="H55" s="16">
        <v>-1.9769999999999996E-3</v>
      </c>
      <c r="I55" s="16">
        <v>0.14586499999999999</v>
      </c>
      <c r="J55" s="16">
        <v>-7.5719999999999954E-3</v>
      </c>
      <c r="K55" s="16">
        <v>0.14586499999999999</v>
      </c>
      <c r="L55" s="16">
        <v>-7.5719999999999954E-3</v>
      </c>
      <c r="M55" s="16">
        <v>0.192413</v>
      </c>
      <c r="N55" s="16">
        <v>7.4396000000000004E-2</v>
      </c>
      <c r="O55" s="16">
        <v>0.70859799999999995</v>
      </c>
      <c r="P55" s="9">
        <v>0.10371799999999998</v>
      </c>
    </row>
    <row r="56" spans="1:16" x14ac:dyDescent="0.25">
      <c r="A56" s="5" t="s">
        <v>74</v>
      </c>
      <c r="B56" s="3" t="s">
        <v>194</v>
      </c>
      <c r="C56" s="3" t="s">
        <v>765</v>
      </c>
      <c r="D56" s="3" t="s">
        <v>766</v>
      </c>
      <c r="E56" s="3" t="s">
        <v>767</v>
      </c>
      <c r="F56" s="3" t="s">
        <v>146</v>
      </c>
      <c r="G56" s="3">
        <v>8.1626000000000004E-2</v>
      </c>
      <c r="H56" s="3">
        <v>2.1000000000000185E-4</v>
      </c>
      <c r="I56" s="3">
        <v>0.21862000000000001</v>
      </c>
      <c r="J56" s="3">
        <v>-2.4109999999999965E-3</v>
      </c>
      <c r="K56" s="3">
        <v>0.21862000000000001</v>
      </c>
      <c r="L56" s="3">
        <v>-2.4109999999999965E-3</v>
      </c>
      <c r="M56" s="3">
        <v>0.11981899999999999</v>
      </c>
      <c r="N56" s="3">
        <v>-6.3870000000000177E-3</v>
      </c>
      <c r="O56" s="3">
        <v>0.70523400000000003</v>
      </c>
      <c r="P56" s="8">
        <v>-1.6106999999999982E-2</v>
      </c>
    </row>
    <row r="57" spans="1:16" x14ac:dyDescent="0.25">
      <c r="A57" s="6" t="s">
        <v>387</v>
      </c>
      <c r="B57" s="16" t="s">
        <v>547</v>
      </c>
      <c r="C57" s="16" t="s">
        <v>765</v>
      </c>
      <c r="D57" s="16" t="s">
        <v>766</v>
      </c>
      <c r="E57" s="16" t="s">
        <v>767</v>
      </c>
      <c r="F57" s="16" t="s">
        <v>548</v>
      </c>
      <c r="G57" s="16">
        <v>4.7427999999999998E-2</v>
      </c>
      <c r="H57" s="16">
        <v>-3.3988000000000004E-2</v>
      </c>
      <c r="I57" s="16">
        <v>0.16980200000000001</v>
      </c>
      <c r="J57" s="16">
        <v>-5.1228999999999997E-2</v>
      </c>
      <c r="K57" s="16">
        <v>0.16980200000000001</v>
      </c>
      <c r="L57" s="16">
        <v>-5.1228999999999997E-2</v>
      </c>
      <c r="M57" s="16">
        <v>7.8976000000000005E-2</v>
      </c>
      <c r="N57" s="16">
        <v>-4.7230000000000008E-2</v>
      </c>
      <c r="O57" s="16">
        <v>0.60288900000000001</v>
      </c>
      <c r="P57" s="9">
        <v>-0.118452</v>
      </c>
    </row>
    <row r="58" spans="1:16" x14ac:dyDescent="0.25">
      <c r="A58" s="6" t="s">
        <v>29</v>
      </c>
      <c r="B58" s="16" t="s">
        <v>261</v>
      </c>
      <c r="C58" s="16" t="s">
        <v>765</v>
      </c>
      <c r="D58" s="16" t="s">
        <v>766</v>
      </c>
      <c r="E58" s="16" t="s">
        <v>767</v>
      </c>
      <c r="F58" s="16" t="s">
        <v>126</v>
      </c>
      <c r="G58" s="16">
        <v>4.4257999999999999E-2</v>
      </c>
      <c r="H58" s="16">
        <v>-3.7158000000000004E-2</v>
      </c>
      <c r="I58" s="16">
        <v>0.16381599999999999</v>
      </c>
      <c r="J58" s="16">
        <v>-5.7215000000000016E-2</v>
      </c>
      <c r="K58" s="16">
        <v>0.16381599999999999</v>
      </c>
      <c r="L58" s="16">
        <v>-5.7215000000000016E-2</v>
      </c>
      <c r="M58" s="16">
        <v>1.9179000000000002E-2</v>
      </c>
      <c r="N58" s="16">
        <v>-0.10702700000000001</v>
      </c>
      <c r="O58" s="16">
        <v>0.65154800000000002</v>
      </c>
      <c r="P58" s="9">
        <v>-6.9792999999999994E-2</v>
      </c>
    </row>
    <row r="59" spans="1:16" x14ac:dyDescent="0.25">
      <c r="A59" s="6" t="s">
        <v>17</v>
      </c>
      <c r="B59" s="16" t="s">
        <v>267</v>
      </c>
      <c r="C59" s="16" t="s">
        <v>765</v>
      </c>
      <c r="D59" s="16" t="s">
        <v>766</v>
      </c>
      <c r="E59" s="16" t="s">
        <v>767</v>
      </c>
      <c r="F59" s="16" t="s">
        <v>112</v>
      </c>
      <c r="G59" s="16">
        <v>1.4808999999999999E-2</v>
      </c>
      <c r="H59" s="16">
        <v>-6.6607E-2</v>
      </c>
      <c r="I59" s="16">
        <v>0.14706900000000001</v>
      </c>
      <c r="J59" s="16">
        <v>-7.3962E-2</v>
      </c>
      <c r="K59" s="16">
        <v>0.14706900000000001</v>
      </c>
      <c r="L59" s="16">
        <v>-7.3962E-2</v>
      </c>
      <c r="M59" s="16">
        <v>-3.225E-3</v>
      </c>
      <c r="N59" s="16">
        <v>-0.12943100000000002</v>
      </c>
      <c r="O59" s="16">
        <v>0.54195099999999996</v>
      </c>
      <c r="P59" s="9">
        <v>-0.17939000000000005</v>
      </c>
    </row>
    <row r="60" spans="1:16" x14ac:dyDescent="0.25">
      <c r="A60" s="6" t="s">
        <v>55</v>
      </c>
      <c r="B60" s="16" t="s">
        <v>254</v>
      </c>
      <c r="C60" s="16" t="s">
        <v>765</v>
      </c>
      <c r="D60" s="16" t="s">
        <v>766</v>
      </c>
      <c r="E60" s="16" t="s">
        <v>767</v>
      </c>
      <c r="F60" s="16" t="s">
        <v>112</v>
      </c>
      <c r="G60" s="16">
        <v>1.4369E-2</v>
      </c>
      <c r="H60" s="16">
        <v>-6.7046999999999995E-2</v>
      </c>
      <c r="I60" s="16">
        <v>0.14410500000000001</v>
      </c>
      <c r="J60" s="16">
        <v>-7.6925999999999994E-2</v>
      </c>
      <c r="K60" s="16">
        <v>0.14410500000000001</v>
      </c>
      <c r="L60" s="16">
        <v>-7.6925999999999994E-2</v>
      </c>
      <c r="M60" s="16">
        <v>-1.0564E-2</v>
      </c>
      <c r="N60" s="16">
        <v>-0.13677</v>
      </c>
      <c r="O60" s="16">
        <v>0.52299700000000005</v>
      </c>
      <c r="P60" s="9">
        <v>-0.19834399999999996</v>
      </c>
    </row>
    <row r="61" spans="1:16" x14ac:dyDescent="0.25">
      <c r="A61" s="6" t="s">
        <v>414</v>
      </c>
      <c r="B61" s="16" t="s">
        <v>539</v>
      </c>
      <c r="C61" s="16" t="s">
        <v>765</v>
      </c>
      <c r="D61" s="16" t="s">
        <v>766</v>
      </c>
      <c r="E61" s="16" t="s">
        <v>767</v>
      </c>
      <c r="F61" s="16" t="s">
        <v>146</v>
      </c>
      <c r="G61" s="16">
        <v>-1.7780000000000001E-3</v>
      </c>
      <c r="H61" s="16">
        <v>-8.3194000000000004E-2</v>
      </c>
      <c r="I61" s="16">
        <v>0.15270900000000001</v>
      </c>
      <c r="J61" s="16">
        <v>-6.8321999999999994E-2</v>
      </c>
      <c r="K61" s="16">
        <v>0.15270900000000001</v>
      </c>
      <c r="L61" s="16">
        <v>-6.8321999999999994E-2</v>
      </c>
      <c r="M61" s="16">
        <v>0.14216400000000001</v>
      </c>
      <c r="N61" s="16">
        <v>1.5958E-2</v>
      </c>
      <c r="O61" s="16">
        <v>0.61334900000000003</v>
      </c>
      <c r="P61" s="9">
        <v>-0.10799199999999998</v>
      </c>
    </row>
    <row r="62" spans="1:16" x14ac:dyDescent="0.25">
      <c r="A62" s="5" t="s">
        <v>76</v>
      </c>
      <c r="B62" s="3" t="s">
        <v>196</v>
      </c>
      <c r="C62" s="3" t="s">
        <v>768</v>
      </c>
      <c r="D62" s="3" t="s">
        <v>769</v>
      </c>
      <c r="E62" s="3" t="s">
        <v>770</v>
      </c>
      <c r="F62" s="3" t="s">
        <v>197</v>
      </c>
      <c r="G62" s="3">
        <v>1.3598000000000001E-2</v>
      </c>
      <c r="H62" s="3">
        <v>2.4229000000000001E-2</v>
      </c>
      <c r="I62" s="3">
        <v>7.3446999999999998E-2</v>
      </c>
      <c r="J62" s="3">
        <v>-7.0990000000000081E-3</v>
      </c>
      <c r="K62" s="3">
        <v>7.3446999999999998E-2</v>
      </c>
      <c r="L62" s="3">
        <v>-7.0990000000000081E-3</v>
      </c>
      <c r="M62" s="3">
        <v>9.1685000000000003E-2</v>
      </c>
      <c r="N62" s="3">
        <v>3.2296999999999999E-2</v>
      </c>
      <c r="O62" s="3">
        <v>0.46244400000000002</v>
      </c>
      <c r="P62" s="8">
        <v>4.0588000000000013E-2</v>
      </c>
    </row>
    <row r="63" spans="1:16" x14ac:dyDescent="0.25">
      <c r="A63" s="6" t="s">
        <v>90</v>
      </c>
      <c r="B63" s="16" t="s">
        <v>209</v>
      </c>
      <c r="C63" s="16" t="s">
        <v>768</v>
      </c>
      <c r="D63" s="16" t="s">
        <v>769</v>
      </c>
      <c r="E63" s="16" t="s">
        <v>770</v>
      </c>
      <c r="F63" s="16" t="s">
        <v>210</v>
      </c>
      <c r="G63" s="16">
        <v>4.692E-3</v>
      </c>
      <c r="H63" s="16">
        <v>1.5323E-2</v>
      </c>
      <c r="I63" s="16">
        <v>9.3237E-2</v>
      </c>
      <c r="J63" s="16">
        <v>1.2690999999999994E-2</v>
      </c>
      <c r="K63" s="16">
        <v>9.3237E-2</v>
      </c>
      <c r="L63" s="16">
        <v>1.2690999999999994E-2</v>
      </c>
      <c r="M63" s="16">
        <v>0.13972599999999999</v>
      </c>
      <c r="N63" s="16">
        <v>8.0337999999999993E-2</v>
      </c>
      <c r="O63" s="16">
        <v>0.48416399999999998</v>
      </c>
      <c r="P63" s="9">
        <v>6.2307999999999975E-2</v>
      </c>
    </row>
    <row r="64" spans="1:16" x14ac:dyDescent="0.25">
      <c r="A64" s="6" t="s">
        <v>425</v>
      </c>
      <c r="B64" s="16" t="s">
        <v>552</v>
      </c>
      <c r="C64" s="16" t="s">
        <v>768</v>
      </c>
      <c r="D64" s="16" t="s">
        <v>769</v>
      </c>
      <c r="E64" s="16" t="s">
        <v>770</v>
      </c>
      <c r="F64" s="16" t="s">
        <v>148</v>
      </c>
      <c r="G64" s="16">
        <v>-2.104E-3</v>
      </c>
      <c r="H64" s="16">
        <v>8.5269999999999999E-3</v>
      </c>
      <c r="I64" s="16">
        <v>7.3853000000000002E-2</v>
      </c>
      <c r="J64" s="16">
        <v>-6.6930000000000045E-3</v>
      </c>
      <c r="K64" s="16">
        <v>7.3853000000000002E-2</v>
      </c>
      <c r="L64" s="16">
        <v>-6.6930000000000045E-3</v>
      </c>
      <c r="M64" s="16">
        <v>0.19911899999999999</v>
      </c>
      <c r="N64" s="16">
        <v>0.13973099999999999</v>
      </c>
      <c r="O64" s="16">
        <v>0.516706</v>
      </c>
      <c r="P64" s="9">
        <v>9.484999999999999E-2</v>
      </c>
    </row>
    <row r="65" spans="1:16" x14ac:dyDescent="0.25">
      <c r="A65" s="6" t="s">
        <v>437</v>
      </c>
      <c r="B65" s="16" t="s">
        <v>540</v>
      </c>
      <c r="C65" s="16" t="s">
        <v>768</v>
      </c>
      <c r="D65" s="16" t="s">
        <v>769</v>
      </c>
      <c r="E65" s="16" t="s">
        <v>770</v>
      </c>
      <c r="F65" s="16" t="s">
        <v>112</v>
      </c>
      <c r="G65" s="16">
        <v>-2.8417999999999999E-2</v>
      </c>
      <c r="H65" s="16">
        <v>-1.7786999999999997E-2</v>
      </c>
      <c r="I65" s="16">
        <v>5.3379000000000003E-2</v>
      </c>
      <c r="J65" s="16">
        <v>-2.7167000000000004E-2</v>
      </c>
      <c r="K65" s="16">
        <v>5.3379000000000003E-2</v>
      </c>
      <c r="L65" s="16">
        <v>-2.7167000000000004E-2</v>
      </c>
      <c r="M65" s="16">
        <v>9.0621999999999994E-2</v>
      </c>
      <c r="N65" s="16">
        <v>3.1233999999999991E-2</v>
      </c>
      <c r="O65" s="16">
        <v>0.34654200000000002</v>
      </c>
      <c r="P65" s="9">
        <v>-7.5313999999999992E-2</v>
      </c>
    </row>
    <row r="66" spans="1:16" x14ac:dyDescent="0.25">
      <c r="A66" s="5" t="s">
        <v>448</v>
      </c>
      <c r="B66" s="3" t="s">
        <v>542</v>
      </c>
      <c r="C66" s="3" t="s">
        <v>771</v>
      </c>
      <c r="D66" s="3" t="s">
        <v>125</v>
      </c>
      <c r="E66" s="3" t="s">
        <v>220</v>
      </c>
      <c r="F66" s="3" t="s">
        <v>543</v>
      </c>
      <c r="G66" s="3">
        <v>2.0289999999999999E-2</v>
      </c>
      <c r="H66" s="3">
        <v>1.6944999999999998E-2</v>
      </c>
      <c r="I66" s="3">
        <v>0.14175299999999999</v>
      </c>
      <c r="J66" s="3">
        <v>2.6373999999999995E-2</v>
      </c>
      <c r="K66" s="3">
        <v>0.14175299999999999</v>
      </c>
      <c r="L66" s="3">
        <v>2.6373999999999995E-2</v>
      </c>
      <c r="M66" s="3">
        <v>4.1526E-2</v>
      </c>
      <c r="N66" s="3">
        <v>3.8580000000000003E-3</v>
      </c>
      <c r="O66" s="3">
        <v>0.723186</v>
      </c>
      <c r="P66" s="8">
        <v>0.29392499999999999</v>
      </c>
    </row>
    <row r="67" spans="1:16" x14ac:dyDescent="0.25">
      <c r="A67" s="6" t="s">
        <v>80</v>
      </c>
      <c r="B67" s="16" t="s">
        <v>263</v>
      </c>
      <c r="C67" s="16" t="s">
        <v>771</v>
      </c>
      <c r="D67" s="16" t="s">
        <v>125</v>
      </c>
      <c r="E67" s="16" t="s">
        <v>220</v>
      </c>
      <c r="F67" s="16" t="s">
        <v>203</v>
      </c>
      <c r="G67" s="16">
        <v>1.6726000000000001E-2</v>
      </c>
      <c r="H67" s="16">
        <v>1.3381000000000001E-2</v>
      </c>
      <c r="I67" s="16">
        <v>0.14174</v>
      </c>
      <c r="J67" s="16">
        <v>2.6361000000000009E-2</v>
      </c>
      <c r="K67" s="16">
        <v>0.14174</v>
      </c>
      <c r="L67" s="16">
        <v>2.6361000000000009E-2</v>
      </c>
      <c r="M67" s="16">
        <v>0.113164</v>
      </c>
      <c r="N67" s="16">
        <v>7.5496000000000008E-2</v>
      </c>
      <c r="O67" s="16">
        <v>0.55940400000000001</v>
      </c>
      <c r="P67" s="9">
        <v>0.13014300000000001</v>
      </c>
    </row>
    <row r="68" spans="1:16" x14ac:dyDescent="0.25">
      <c r="A68" s="6" t="s">
        <v>351</v>
      </c>
      <c r="B68" s="16" t="s">
        <v>541</v>
      </c>
      <c r="C68" s="16" t="s">
        <v>771</v>
      </c>
      <c r="D68" s="16" t="s">
        <v>125</v>
      </c>
      <c r="E68" s="16" t="s">
        <v>220</v>
      </c>
      <c r="F68" s="16" t="s">
        <v>148</v>
      </c>
      <c r="G68" s="16">
        <v>3.6740000000000002E-3</v>
      </c>
      <c r="H68" s="16">
        <v>3.290000000000003E-4</v>
      </c>
      <c r="I68" s="16">
        <v>0.117621</v>
      </c>
      <c r="J68" s="16">
        <v>2.2420000000000079E-3</v>
      </c>
      <c r="K68" s="16">
        <v>0.117621</v>
      </c>
      <c r="L68" s="16">
        <v>2.2420000000000079E-3</v>
      </c>
      <c r="M68" s="16">
        <v>0.10481500000000001</v>
      </c>
      <c r="N68" s="16">
        <v>6.7147000000000012E-2</v>
      </c>
      <c r="O68" s="16">
        <v>0.63736499999999996</v>
      </c>
      <c r="P68" s="9">
        <v>0.20810399999999996</v>
      </c>
    </row>
    <row r="69" spans="1:16" x14ac:dyDescent="0.25">
      <c r="A69" s="6" t="s">
        <v>20</v>
      </c>
      <c r="B69" s="16" t="s">
        <v>259</v>
      </c>
      <c r="C69" s="16" t="s">
        <v>771</v>
      </c>
      <c r="D69" s="16" t="s">
        <v>125</v>
      </c>
      <c r="E69" s="16" t="s">
        <v>220</v>
      </c>
      <c r="F69" s="16" t="s">
        <v>148</v>
      </c>
      <c r="G69" s="16">
        <v>3.333E-3</v>
      </c>
      <c r="H69" s="16">
        <v>-1.1999999999999858E-5</v>
      </c>
      <c r="I69" s="16">
        <v>0.11718199999999999</v>
      </c>
      <c r="J69" s="16">
        <v>1.802999999999999E-3</v>
      </c>
      <c r="K69" s="16">
        <v>0.11718199999999999</v>
      </c>
      <c r="L69" s="16">
        <v>1.802999999999999E-3</v>
      </c>
      <c r="M69" s="16">
        <v>0.10388600000000001</v>
      </c>
      <c r="N69" s="16">
        <v>6.6217999999999999E-2</v>
      </c>
      <c r="O69" s="16">
        <v>0.63472700000000004</v>
      </c>
      <c r="P69" s="9">
        <v>0.20546600000000004</v>
      </c>
    </row>
    <row r="70" spans="1:16" x14ac:dyDescent="0.25">
      <c r="A70" s="6" t="s">
        <v>73</v>
      </c>
      <c r="B70" s="16" t="s">
        <v>251</v>
      </c>
      <c r="C70" s="16" t="s">
        <v>771</v>
      </c>
      <c r="D70" s="16" t="s">
        <v>125</v>
      </c>
      <c r="E70" s="16" t="s">
        <v>220</v>
      </c>
      <c r="F70" s="16" t="s">
        <v>148</v>
      </c>
      <c r="G70" s="16">
        <v>2.875E-3</v>
      </c>
      <c r="H70" s="16">
        <v>-4.6999999999999993E-4</v>
      </c>
      <c r="I70" s="16">
        <v>0.11523899999999999</v>
      </c>
      <c r="J70" s="16">
        <v>-1.4000000000000123E-4</v>
      </c>
      <c r="K70" s="16">
        <v>0.11523899999999999</v>
      </c>
      <c r="L70" s="16">
        <v>-1.4000000000000123E-4</v>
      </c>
      <c r="M70" s="16">
        <v>9.8605999999999999E-2</v>
      </c>
      <c r="N70" s="16">
        <v>6.0937999999999999E-2</v>
      </c>
      <c r="O70" s="16">
        <v>0.62213700000000005</v>
      </c>
      <c r="P70" s="9">
        <v>0.19287600000000005</v>
      </c>
    </row>
    <row r="71" spans="1:16" x14ac:dyDescent="0.25">
      <c r="A71" s="6" t="s">
        <v>57</v>
      </c>
      <c r="B71" s="16" t="s">
        <v>257</v>
      </c>
      <c r="C71" s="16" t="s">
        <v>771</v>
      </c>
      <c r="D71" s="16" t="s">
        <v>125</v>
      </c>
      <c r="E71" s="16" t="s">
        <v>220</v>
      </c>
      <c r="F71" s="16" t="s">
        <v>148</v>
      </c>
      <c r="G71" s="16">
        <v>2.8389999999999999E-3</v>
      </c>
      <c r="H71" s="16">
        <v>-5.0599999999999994E-4</v>
      </c>
      <c r="I71" s="16">
        <v>0.11322500000000001</v>
      </c>
      <c r="J71" s="16">
        <v>-2.1539999999999893E-3</v>
      </c>
      <c r="K71" s="16">
        <v>0.11322500000000001</v>
      </c>
      <c r="L71" s="16">
        <v>-2.1539999999999893E-3</v>
      </c>
      <c r="M71" s="16">
        <v>9.0981999999999993E-2</v>
      </c>
      <c r="N71" s="16">
        <v>5.3313999999999993E-2</v>
      </c>
      <c r="O71" s="16">
        <v>0.60231599999999996</v>
      </c>
      <c r="P71" s="9">
        <v>0.17305499999999996</v>
      </c>
    </row>
    <row r="72" spans="1:16" x14ac:dyDescent="0.25">
      <c r="A72" s="6" t="s">
        <v>78</v>
      </c>
      <c r="B72" s="16" t="s">
        <v>199</v>
      </c>
      <c r="C72" s="16" t="s">
        <v>771</v>
      </c>
      <c r="D72" s="16" t="s">
        <v>125</v>
      </c>
      <c r="E72" s="16" t="s">
        <v>220</v>
      </c>
      <c r="F72" s="16" t="s">
        <v>200</v>
      </c>
      <c r="G72" s="16">
        <v>-5.5700000000000003E-3</v>
      </c>
      <c r="H72" s="16">
        <v>-8.9149999999999993E-3</v>
      </c>
      <c r="I72" s="16">
        <v>8.6433999999999997E-2</v>
      </c>
      <c r="J72" s="16">
        <v>-2.8944999999999999E-2</v>
      </c>
      <c r="K72" s="16">
        <v>8.6433999999999997E-2</v>
      </c>
      <c r="L72" s="16">
        <v>-2.8944999999999999E-2</v>
      </c>
      <c r="M72" s="16">
        <v>5.6887E-2</v>
      </c>
      <c r="N72" s="16">
        <v>1.9219E-2</v>
      </c>
      <c r="O72" s="16">
        <v>0.48885499999999998</v>
      </c>
      <c r="P72" s="9">
        <v>5.959399999999998E-2</v>
      </c>
    </row>
    <row r="73" spans="1:16" x14ac:dyDescent="0.25">
      <c r="A73" s="6" t="s">
        <v>325</v>
      </c>
      <c r="B73" s="16" t="s">
        <v>549</v>
      </c>
      <c r="C73" s="16" t="s">
        <v>771</v>
      </c>
      <c r="D73" s="16" t="s">
        <v>125</v>
      </c>
      <c r="E73" s="16" t="s">
        <v>220</v>
      </c>
      <c r="F73" s="16" t="s">
        <v>148</v>
      </c>
      <c r="G73" s="16">
        <v>-7.4580000000000002E-3</v>
      </c>
      <c r="H73" s="16">
        <v>-1.0803E-2</v>
      </c>
      <c r="I73" s="16">
        <v>7.4989E-2</v>
      </c>
      <c r="J73" s="16">
        <v>-4.0389999999999995E-2</v>
      </c>
      <c r="K73" s="16">
        <v>7.4989E-2</v>
      </c>
      <c r="L73" s="16">
        <v>-4.0389999999999995E-2</v>
      </c>
      <c r="M73" s="16">
        <v>0.15745999999999999</v>
      </c>
      <c r="N73" s="16">
        <v>0.11979199999999998</v>
      </c>
      <c r="O73" s="16">
        <v>0.54384600000000005</v>
      </c>
      <c r="P73" s="9">
        <v>0.11458500000000005</v>
      </c>
    </row>
    <row r="74" spans="1:16" x14ac:dyDescent="0.25">
      <c r="A74" s="6" t="s">
        <v>31</v>
      </c>
      <c r="B74" s="16" t="s">
        <v>258</v>
      </c>
      <c r="C74" s="16" t="s">
        <v>771</v>
      </c>
      <c r="D74" s="16" t="s">
        <v>125</v>
      </c>
      <c r="E74" s="16" t="s">
        <v>220</v>
      </c>
      <c r="F74" s="16" t="s">
        <v>145</v>
      </c>
      <c r="G74" s="16">
        <v>-7.5310000000000004E-3</v>
      </c>
      <c r="H74" s="16">
        <v>-1.0876E-2</v>
      </c>
      <c r="I74" s="16">
        <v>0.12385500000000001</v>
      </c>
      <c r="J74" s="16">
        <v>8.4760000000000113E-3</v>
      </c>
      <c r="K74" s="16">
        <v>0.12385500000000001</v>
      </c>
      <c r="L74" s="16">
        <v>8.4760000000000113E-3</v>
      </c>
      <c r="M74" s="16">
        <v>0.18184700000000001</v>
      </c>
      <c r="N74" s="16">
        <v>0.144179</v>
      </c>
      <c r="O74" s="16">
        <v>0.60222399999999998</v>
      </c>
      <c r="P74" s="9">
        <v>0.17296299999999998</v>
      </c>
    </row>
    <row r="75" spans="1:16" x14ac:dyDescent="0.25">
      <c r="A75" s="6" t="s">
        <v>16</v>
      </c>
      <c r="B75" s="16" t="s">
        <v>252</v>
      </c>
      <c r="C75" s="16" t="s">
        <v>771</v>
      </c>
      <c r="D75" s="16" t="s">
        <v>125</v>
      </c>
      <c r="E75" s="16" t="s">
        <v>220</v>
      </c>
      <c r="F75" s="16" t="s">
        <v>145</v>
      </c>
      <c r="G75" s="16">
        <v>-7.6769999999999998E-3</v>
      </c>
      <c r="H75" s="16">
        <v>-1.1022000000000001E-2</v>
      </c>
      <c r="I75" s="16">
        <v>0.123913</v>
      </c>
      <c r="J75" s="16">
        <v>8.5339999999999999E-3</v>
      </c>
      <c r="K75" s="16">
        <v>0.123913</v>
      </c>
      <c r="L75" s="16">
        <v>8.5339999999999999E-3</v>
      </c>
      <c r="M75" s="16">
        <v>0.182223</v>
      </c>
      <c r="N75" s="16">
        <v>0.14455499999999999</v>
      </c>
      <c r="O75" s="16">
        <v>0.60288299999999995</v>
      </c>
      <c r="P75" s="9">
        <v>0.17362199999999994</v>
      </c>
    </row>
    <row r="76" spans="1:16" x14ac:dyDescent="0.25">
      <c r="A76" s="6" t="s">
        <v>335</v>
      </c>
      <c r="B76" s="16" t="s">
        <v>550</v>
      </c>
      <c r="C76" s="16" t="s">
        <v>771</v>
      </c>
      <c r="D76" s="16" t="s">
        <v>125</v>
      </c>
      <c r="E76" s="16" t="s">
        <v>220</v>
      </c>
      <c r="F76" s="16" t="s">
        <v>148</v>
      </c>
      <c r="G76" s="16">
        <v>-7.8320000000000004E-3</v>
      </c>
      <c r="H76" s="16">
        <v>-1.1176999999999999E-2</v>
      </c>
      <c r="I76" s="16">
        <v>7.4119000000000004E-2</v>
      </c>
      <c r="J76" s="16">
        <v>-4.1259999999999991E-2</v>
      </c>
      <c r="K76" s="16">
        <v>7.4119000000000004E-2</v>
      </c>
      <c r="L76" s="16">
        <v>-4.1259999999999991E-2</v>
      </c>
      <c r="M76" s="16">
        <v>0.155808</v>
      </c>
      <c r="N76" s="16">
        <v>0.11814</v>
      </c>
      <c r="O76" s="16">
        <v>0.54116200000000003</v>
      </c>
      <c r="P76" s="9">
        <v>0.11190100000000003</v>
      </c>
    </row>
    <row r="77" spans="1:16" x14ac:dyDescent="0.25">
      <c r="A77" s="6" t="s">
        <v>83</v>
      </c>
      <c r="B77" s="16" t="s">
        <v>268</v>
      </c>
      <c r="C77" s="16" t="s">
        <v>771</v>
      </c>
      <c r="D77" s="16" t="s">
        <v>125</v>
      </c>
      <c r="E77" s="16" t="s">
        <v>220</v>
      </c>
      <c r="F77" s="16" t="s">
        <v>148</v>
      </c>
      <c r="G77" s="16">
        <v>-9.2560000000000003E-3</v>
      </c>
      <c r="H77" s="16">
        <v>-1.2601000000000001E-2</v>
      </c>
      <c r="I77" s="16">
        <v>8.1564999999999999E-2</v>
      </c>
      <c r="J77" s="16">
        <v>-3.3813999999999997E-2</v>
      </c>
      <c r="K77" s="16">
        <v>8.1564999999999999E-2</v>
      </c>
      <c r="L77" s="16">
        <v>-3.3813999999999997E-2</v>
      </c>
      <c r="M77" s="16">
        <v>6.1844999999999997E-2</v>
      </c>
      <c r="N77" s="16">
        <v>2.4176999999999997E-2</v>
      </c>
      <c r="O77" s="16">
        <v>0.421597</v>
      </c>
      <c r="P77" s="9">
        <v>-7.6640000000000041E-3</v>
      </c>
    </row>
    <row r="78" spans="1:16" x14ac:dyDescent="0.25">
      <c r="A78" s="6" t="s">
        <v>408</v>
      </c>
      <c r="B78" s="16" t="s">
        <v>538</v>
      </c>
      <c r="C78" s="16" t="s">
        <v>771</v>
      </c>
      <c r="D78" s="16" t="s">
        <v>125</v>
      </c>
      <c r="E78" s="16" t="s">
        <v>220</v>
      </c>
      <c r="F78" s="16" t="s">
        <v>148</v>
      </c>
      <c r="G78" s="16">
        <v>-1.0956E-2</v>
      </c>
      <c r="H78" s="16">
        <v>-1.4301000000000001E-2</v>
      </c>
      <c r="I78" s="16">
        <v>7.6415999999999998E-2</v>
      </c>
      <c r="J78" s="16">
        <v>-3.8962999999999998E-2</v>
      </c>
      <c r="K78" s="16">
        <v>7.6415999999999998E-2</v>
      </c>
      <c r="L78" s="16">
        <v>-3.8962999999999998E-2</v>
      </c>
      <c r="M78" s="16">
        <v>5.1316000000000001E-2</v>
      </c>
      <c r="N78" s="16">
        <v>1.3648E-2</v>
      </c>
      <c r="O78" s="16">
        <v>0.40802699999999997</v>
      </c>
      <c r="P78" s="9">
        <v>-2.1234000000000031E-2</v>
      </c>
    </row>
    <row r="79" spans="1:16" x14ac:dyDescent="0.25">
      <c r="A79" s="6" t="s">
        <v>415</v>
      </c>
      <c r="B79" s="16" t="s">
        <v>554</v>
      </c>
      <c r="C79" s="16" t="s">
        <v>771</v>
      </c>
      <c r="D79" s="16" t="s">
        <v>125</v>
      </c>
      <c r="E79" s="16" t="s">
        <v>220</v>
      </c>
      <c r="F79" s="16" t="s">
        <v>112</v>
      </c>
      <c r="G79" s="16">
        <v>-3.1647000000000002E-2</v>
      </c>
      <c r="H79" s="16">
        <v>-3.4992000000000002E-2</v>
      </c>
      <c r="I79" s="16">
        <v>6.3216999999999995E-2</v>
      </c>
      <c r="J79" s="16">
        <v>-5.2162E-2</v>
      </c>
      <c r="K79" s="16">
        <v>6.3216999999999995E-2</v>
      </c>
      <c r="L79" s="16">
        <v>-5.2162E-2</v>
      </c>
      <c r="M79" s="16">
        <v>8.5733000000000004E-2</v>
      </c>
      <c r="N79" s="16">
        <v>4.8065000000000004E-2</v>
      </c>
      <c r="O79" s="16">
        <v>0.24235599999999999</v>
      </c>
      <c r="P79" s="9">
        <v>-0.18690500000000002</v>
      </c>
    </row>
    <row r="80" spans="1:16" x14ac:dyDescent="0.25">
      <c r="A80" s="5" t="s">
        <v>30</v>
      </c>
      <c r="B80" s="3" t="s">
        <v>265</v>
      </c>
      <c r="C80" s="3" t="s">
        <v>772</v>
      </c>
      <c r="D80" s="3" t="s">
        <v>773</v>
      </c>
      <c r="E80" s="3" t="s">
        <v>774</v>
      </c>
      <c r="F80" s="3" t="s">
        <v>141</v>
      </c>
      <c r="G80" s="3">
        <v>4.8936E-2</v>
      </c>
      <c r="H80" s="3">
        <v>3.1897000000000002E-2</v>
      </c>
      <c r="I80" s="3">
        <v>0.16498699999999999</v>
      </c>
      <c r="J80" s="3">
        <v>1.3444999999999985E-2</v>
      </c>
      <c r="K80" s="3">
        <v>0.16498699999999999</v>
      </c>
      <c r="L80" s="3">
        <v>1.3444999999999985E-2</v>
      </c>
      <c r="M80" s="3">
        <v>1.248E-2</v>
      </c>
      <c r="N80" s="3">
        <v>6.2269999999999999E-3</v>
      </c>
      <c r="O80" s="3">
        <v>0.44877099999999998</v>
      </c>
      <c r="P80" s="8">
        <v>5.562499999999998E-2</v>
      </c>
    </row>
    <row r="81" spans="1:16" x14ac:dyDescent="0.25">
      <c r="A81" s="6" t="s">
        <v>14</v>
      </c>
      <c r="B81" s="16" t="s">
        <v>253</v>
      </c>
      <c r="C81" s="16" t="s">
        <v>772</v>
      </c>
      <c r="D81" s="16" t="s">
        <v>773</v>
      </c>
      <c r="E81" s="16" t="s">
        <v>774</v>
      </c>
      <c r="F81" s="16" t="s">
        <v>141</v>
      </c>
      <c r="G81" s="16">
        <v>4.8043000000000002E-2</v>
      </c>
      <c r="H81" s="16">
        <v>3.1004000000000004E-2</v>
      </c>
      <c r="I81" s="16">
        <v>0.16488</v>
      </c>
      <c r="J81" s="16">
        <v>1.3337999999999989E-2</v>
      </c>
      <c r="K81" s="16">
        <v>0.16488</v>
      </c>
      <c r="L81" s="16">
        <v>1.3337999999999989E-2</v>
      </c>
      <c r="M81" s="16">
        <v>1.4102E-2</v>
      </c>
      <c r="N81" s="16">
        <v>7.8490000000000001E-3</v>
      </c>
      <c r="O81" s="16">
        <v>0.45011600000000002</v>
      </c>
      <c r="P81" s="9">
        <v>5.6970000000000021E-2</v>
      </c>
    </row>
    <row r="82" spans="1:16" x14ac:dyDescent="0.25">
      <c r="A82" s="6" t="s">
        <v>400</v>
      </c>
      <c r="B82" s="16" t="s">
        <v>534</v>
      </c>
      <c r="C82" s="16" t="s">
        <v>772</v>
      </c>
      <c r="D82" s="16" t="s">
        <v>773</v>
      </c>
      <c r="E82" s="16" t="s">
        <v>774</v>
      </c>
      <c r="F82" s="16" t="s">
        <v>112</v>
      </c>
      <c r="G82" s="16">
        <v>3.2211999999999998E-2</v>
      </c>
      <c r="H82" s="16">
        <v>1.5172999999999999E-2</v>
      </c>
      <c r="I82" s="16">
        <v>0.35563</v>
      </c>
      <c r="J82" s="16">
        <v>0.20408799999999999</v>
      </c>
      <c r="K82" s="16">
        <v>0.35563</v>
      </c>
      <c r="L82" s="16">
        <v>0.20408799999999999</v>
      </c>
      <c r="M82" s="16">
        <v>0.18628</v>
      </c>
      <c r="N82" s="16">
        <v>0.18002699999999999</v>
      </c>
      <c r="O82" s="16">
        <v>1.3595120000000001</v>
      </c>
      <c r="P82" s="9">
        <v>0.96636600000000006</v>
      </c>
    </row>
    <row r="83" spans="1:16" x14ac:dyDescent="0.25">
      <c r="A83" s="6" t="s">
        <v>412</v>
      </c>
      <c r="B83" s="16" t="s">
        <v>555</v>
      </c>
      <c r="C83" s="16" t="s">
        <v>772</v>
      </c>
      <c r="D83" s="16" t="s">
        <v>773</v>
      </c>
      <c r="E83" s="16" t="s">
        <v>774</v>
      </c>
      <c r="F83" s="16" t="s">
        <v>112</v>
      </c>
      <c r="G83" s="16">
        <v>1.7474E-2</v>
      </c>
      <c r="H83" s="16">
        <v>4.3500000000000136E-4</v>
      </c>
      <c r="I83" s="16">
        <v>0.130356</v>
      </c>
      <c r="J83" s="16">
        <v>-2.118600000000001E-2</v>
      </c>
      <c r="K83" s="16">
        <v>0.130356</v>
      </c>
      <c r="L83" s="16">
        <v>-2.118600000000001E-2</v>
      </c>
      <c r="M83" s="16">
        <v>-0.121674</v>
      </c>
      <c r="N83" s="16">
        <v>-0.12792700000000001</v>
      </c>
      <c r="O83" s="16">
        <v>0.32685199999999998</v>
      </c>
      <c r="P83" s="9">
        <v>-6.629400000000002E-2</v>
      </c>
    </row>
    <row r="84" spans="1:16" x14ac:dyDescent="0.25">
      <c r="A84" s="6" t="s">
        <v>409</v>
      </c>
      <c r="B84" s="16" t="s">
        <v>544</v>
      </c>
      <c r="C84" s="16" t="s">
        <v>772</v>
      </c>
      <c r="D84" s="16" t="s">
        <v>773</v>
      </c>
      <c r="E84" s="16" t="s">
        <v>774</v>
      </c>
      <c r="F84" s="16" t="s">
        <v>204</v>
      </c>
      <c r="G84" s="16">
        <v>1.6975000000000001E-2</v>
      </c>
      <c r="H84" s="16">
        <v>-6.3999999999998086E-5</v>
      </c>
      <c r="I84" s="16">
        <v>0.150425</v>
      </c>
      <c r="J84" s="16">
        <v>-1.1170000000000069E-3</v>
      </c>
      <c r="K84" s="16">
        <v>0.150425</v>
      </c>
      <c r="L84" s="16">
        <v>-1.1170000000000069E-3</v>
      </c>
      <c r="M84" s="16">
        <v>5.4770000000000001E-3</v>
      </c>
      <c r="N84" s="16">
        <v>-7.7599999999999978E-4</v>
      </c>
      <c r="O84" s="16">
        <v>0.38856499999999999</v>
      </c>
      <c r="P84" s="9">
        <v>-4.5810000000000017E-3</v>
      </c>
    </row>
    <row r="85" spans="1:16" x14ac:dyDescent="0.25">
      <c r="A85" s="6" t="s">
        <v>89</v>
      </c>
      <c r="B85" s="16" t="s">
        <v>207</v>
      </c>
      <c r="C85" s="16" t="s">
        <v>772</v>
      </c>
      <c r="D85" s="16" t="s">
        <v>773</v>
      </c>
      <c r="E85" s="16" t="s">
        <v>774</v>
      </c>
      <c r="F85" s="16" t="s">
        <v>208</v>
      </c>
      <c r="G85" s="16">
        <v>1.4312999999999999E-2</v>
      </c>
      <c r="H85" s="16">
        <v>-2.7259999999999993E-3</v>
      </c>
      <c r="I85" s="16">
        <v>0.133578</v>
      </c>
      <c r="J85" s="16">
        <v>-1.7964000000000008E-2</v>
      </c>
      <c r="K85" s="16">
        <v>0.133578</v>
      </c>
      <c r="L85" s="16">
        <v>-1.7964000000000008E-2</v>
      </c>
      <c r="M85" s="16">
        <v>2.2471000000000001E-2</v>
      </c>
      <c r="N85" s="16">
        <v>1.6218000000000003E-2</v>
      </c>
      <c r="O85" s="16">
        <v>0.44795099999999999</v>
      </c>
      <c r="P85" s="9">
        <v>5.4804999999999993E-2</v>
      </c>
    </row>
    <row r="86" spans="1:16" x14ac:dyDescent="0.25">
      <c r="A86" s="6" t="s">
        <v>87</v>
      </c>
      <c r="B86" s="16" t="s">
        <v>264</v>
      </c>
      <c r="C86" s="16" t="s">
        <v>772</v>
      </c>
      <c r="D86" s="16" t="s">
        <v>773</v>
      </c>
      <c r="E86" s="16" t="s">
        <v>774</v>
      </c>
      <c r="F86" s="16" t="s">
        <v>204</v>
      </c>
      <c r="G86" s="16">
        <v>1.2370000000000001E-2</v>
      </c>
      <c r="H86" s="16">
        <v>-4.6689999999999978E-3</v>
      </c>
      <c r="I86" s="16">
        <v>0.228377</v>
      </c>
      <c r="J86" s="16">
        <v>7.6834999999999987E-2</v>
      </c>
      <c r="K86" s="16">
        <v>0.228377</v>
      </c>
      <c r="L86" s="16">
        <v>7.6834999999999987E-2</v>
      </c>
      <c r="M86" s="16">
        <v>-7.2300000000000003E-3</v>
      </c>
      <c r="N86" s="16">
        <v>-1.3483E-2</v>
      </c>
      <c r="O86" s="16">
        <v>0.73023400000000005</v>
      </c>
      <c r="P86" s="9">
        <v>0.33708800000000005</v>
      </c>
    </row>
    <row r="87" spans="1:16" x14ac:dyDescent="0.25">
      <c r="A87" s="6" t="s">
        <v>435</v>
      </c>
      <c r="B87" s="16" t="s">
        <v>551</v>
      </c>
      <c r="C87" s="16" t="s">
        <v>772</v>
      </c>
      <c r="D87" s="16" t="s">
        <v>773</v>
      </c>
      <c r="E87" s="16" t="s">
        <v>774</v>
      </c>
      <c r="F87" s="16" t="s">
        <v>204</v>
      </c>
      <c r="G87" s="16">
        <v>8.9079999999999993E-3</v>
      </c>
      <c r="H87" s="16">
        <v>-8.1309999999999993E-3</v>
      </c>
      <c r="I87" s="16">
        <v>0.119354</v>
      </c>
      <c r="J87" s="16">
        <v>-3.2188000000000008E-2</v>
      </c>
      <c r="K87" s="16">
        <v>0.119354</v>
      </c>
      <c r="L87" s="16">
        <v>-3.2188000000000008E-2</v>
      </c>
      <c r="M87" s="16">
        <v>1.2750000000000001E-3</v>
      </c>
      <c r="N87" s="16">
        <v>-4.9779999999999998E-3</v>
      </c>
      <c r="O87" s="16">
        <v>0.46226499999999998</v>
      </c>
      <c r="P87" s="9">
        <v>6.9118999999999986E-2</v>
      </c>
    </row>
    <row r="88" spans="1:16" x14ac:dyDescent="0.25">
      <c r="A88" s="6" t="s">
        <v>455</v>
      </c>
      <c r="B88" s="16" t="s">
        <v>553</v>
      </c>
      <c r="C88" s="16" t="s">
        <v>772</v>
      </c>
      <c r="D88" s="16" t="s">
        <v>773</v>
      </c>
      <c r="E88" s="16" t="s">
        <v>774</v>
      </c>
      <c r="F88" s="16" t="s">
        <v>112</v>
      </c>
      <c r="G88" s="16">
        <v>3.1749999999999999E-3</v>
      </c>
      <c r="H88" s="16">
        <v>-1.3863999999999998E-2</v>
      </c>
      <c r="I88" s="16">
        <v>0.113676</v>
      </c>
      <c r="J88" s="16">
        <v>-3.7866000000000011E-2</v>
      </c>
      <c r="K88" s="16">
        <v>0.113676</v>
      </c>
      <c r="L88" s="16">
        <v>-3.7866000000000011E-2</v>
      </c>
      <c r="M88" s="16">
        <v>-0.15579799999999999</v>
      </c>
      <c r="N88" s="16">
        <v>-0.162051</v>
      </c>
      <c r="O88" s="16">
        <v>4.0526E-2</v>
      </c>
      <c r="P88" s="9">
        <v>-0.35261999999999999</v>
      </c>
    </row>
    <row r="89" spans="1:16" x14ac:dyDescent="0.25">
      <c r="A89" s="6" t="s">
        <v>19</v>
      </c>
      <c r="B89" s="16" t="s">
        <v>262</v>
      </c>
      <c r="C89" s="16" t="s">
        <v>772</v>
      </c>
      <c r="D89" s="16" t="s">
        <v>773</v>
      </c>
      <c r="E89" s="16" t="s">
        <v>774</v>
      </c>
      <c r="F89" s="16" t="s">
        <v>121</v>
      </c>
      <c r="G89" s="16">
        <v>-1.36E-4</v>
      </c>
      <c r="H89" s="16">
        <v>-1.7174999999999999E-2</v>
      </c>
      <c r="I89" s="16">
        <v>0.187752</v>
      </c>
      <c r="J89" s="16">
        <v>3.6209999999999992E-2</v>
      </c>
      <c r="K89" s="16">
        <v>0.187752</v>
      </c>
      <c r="L89" s="16">
        <v>3.6209999999999992E-2</v>
      </c>
      <c r="M89" s="16">
        <v>-0.14324000000000001</v>
      </c>
      <c r="N89" s="16">
        <v>-0.14949300000000001</v>
      </c>
      <c r="O89" s="16">
        <v>0.44592399999999999</v>
      </c>
      <c r="P89" s="9">
        <v>5.2777999999999992E-2</v>
      </c>
    </row>
    <row r="90" spans="1:16" x14ac:dyDescent="0.25">
      <c r="A90" s="6" t="s">
        <v>454</v>
      </c>
      <c r="B90" s="16" t="s">
        <v>535</v>
      </c>
      <c r="C90" s="16" t="s">
        <v>772</v>
      </c>
      <c r="D90" s="16" t="s">
        <v>773</v>
      </c>
      <c r="E90" s="16" t="s">
        <v>774</v>
      </c>
      <c r="F90" s="16" t="s">
        <v>121</v>
      </c>
      <c r="G90" s="16">
        <v>-2.7300000000000002E-4</v>
      </c>
      <c r="H90" s="16">
        <v>-1.7311999999999998E-2</v>
      </c>
      <c r="I90" s="16">
        <v>0.18781500000000001</v>
      </c>
      <c r="J90" s="16">
        <v>3.6273E-2</v>
      </c>
      <c r="K90" s="16">
        <v>0.18781500000000001</v>
      </c>
      <c r="L90" s="16">
        <v>3.6273E-2</v>
      </c>
      <c r="M90" s="16">
        <v>-0.14230400000000001</v>
      </c>
      <c r="N90" s="16">
        <v>-0.14855700000000002</v>
      </c>
      <c r="O90" s="16">
        <v>0.44746000000000002</v>
      </c>
      <c r="P90" s="9">
        <v>5.4314000000000029E-2</v>
      </c>
    </row>
    <row r="91" spans="1:16" x14ac:dyDescent="0.25">
      <c r="A91" s="6" t="s">
        <v>56</v>
      </c>
      <c r="B91" s="16" t="s">
        <v>256</v>
      </c>
      <c r="C91" s="16" t="s">
        <v>772</v>
      </c>
      <c r="D91" s="16" t="s">
        <v>773</v>
      </c>
      <c r="E91" s="16" t="s">
        <v>774</v>
      </c>
      <c r="F91" s="16" t="s">
        <v>121</v>
      </c>
      <c r="G91" s="16">
        <v>-7.8700000000000005E-4</v>
      </c>
      <c r="H91" s="16">
        <v>-1.7825999999999998E-2</v>
      </c>
      <c r="I91" s="16">
        <v>0.184923</v>
      </c>
      <c r="J91" s="16">
        <v>3.3380999999999994E-2</v>
      </c>
      <c r="K91" s="16">
        <v>0.184923</v>
      </c>
      <c r="L91" s="16">
        <v>3.3380999999999994E-2</v>
      </c>
      <c r="M91" s="16">
        <v>-0.149592</v>
      </c>
      <c r="N91" s="16">
        <v>-0.15584500000000001</v>
      </c>
      <c r="O91" s="16">
        <v>0.427985</v>
      </c>
      <c r="P91" s="9">
        <v>3.4839000000000009E-2</v>
      </c>
    </row>
    <row r="92" spans="1:16" x14ac:dyDescent="0.25">
      <c r="A92" s="6" t="s">
        <v>81</v>
      </c>
      <c r="B92" s="16" t="s">
        <v>260</v>
      </c>
      <c r="C92" s="16" t="s">
        <v>772</v>
      </c>
      <c r="D92" s="16" t="s">
        <v>773</v>
      </c>
      <c r="E92" s="16" t="s">
        <v>774</v>
      </c>
      <c r="F92" s="16" t="s">
        <v>112</v>
      </c>
      <c r="G92" s="16">
        <v>-1.3010000000000001E-3</v>
      </c>
      <c r="H92" s="16">
        <v>-1.8339999999999999E-2</v>
      </c>
      <c r="I92" s="16">
        <v>0.20642199999999999</v>
      </c>
      <c r="J92" s="16">
        <v>5.4879999999999984E-2</v>
      </c>
      <c r="K92" s="16">
        <v>0.20642199999999999</v>
      </c>
      <c r="L92" s="16">
        <v>5.4879999999999984E-2</v>
      </c>
      <c r="M92" s="16">
        <v>7.4681999999999998E-2</v>
      </c>
      <c r="N92" s="16">
        <v>6.8429000000000004E-2</v>
      </c>
      <c r="O92" s="16">
        <v>0.62392700000000001</v>
      </c>
      <c r="P92" s="9">
        <v>0.23078100000000001</v>
      </c>
    </row>
    <row r="93" spans="1:16" x14ac:dyDescent="0.25">
      <c r="A93" s="6" t="s">
        <v>417</v>
      </c>
      <c r="B93" s="16" t="s">
        <v>545</v>
      </c>
      <c r="C93" s="16" t="s">
        <v>772</v>
      </c>
      <c r="D93" s="16" t="s">
        <v>773</v>
      </c>
      <c r="E93" s="16" t="s">
        <v>774</v>
      </c>
      <c r="F93" s="16" t="s">
        <v>546</v>
      </c>
      <c r="G93" s="16">
        <v>-1.2789E-2</v>
      </c>
      <c r="H93" s="16">
        <v>-2.9828E-2</v>
      </c>
      <c r="I93" s="16">
        <v>0.10408199999999999</v>
      </c>
      <c r="J93" s="16">
        <v>-4.7460000000000016E-2</v>
      </c>
      <c r="K93" s="16">
        <v>0.10408199999999999</v>
      </c>
      <c r="L93" s="16">
        <v>-4.7460000000000016E-2</v>
      </c>
      <c r="M93" s="16">
        <v>-3.3592999999999998E-2</v>
      </c>
      <c r="N93" s="16">
        <v>-3.9845999999999999E-2</v>
      </c>
      <c r="O93" s="16">
        <v>0.33050000000000002</v>
      </c>
      <c r="P93" s="9">
        <v>-6.2645999999999979E-2</v>
      </c>
    </row>
    <row r="94" spans="1:16" x14ac:dyDescent="0.25">
      <c r="A94" s="6" t="s">
        <v>458</v>
      </c>
      <c r="B94" s="16" t="s">
        <v>726</v>
      </c>
      <c r="C94" s="16" t="s">
        <v>772</v>
      </c>
      <c r="D94" s="16" t="s">
        <v>773</v>
      </c>
      <c r="E94" s="16" t="s">
        <v>774</v>
      </c>
      <c r="F94" s="16" t="s">
        <v>727</v>
      </c>
      <c r="G94" s="16">
        <v>-3.5693000000000003E-2</v>
      </c>
      <c r="H94" s="16">
        <v>-5.2732000000000001E-2</v>
      </c>
      <c r="I94" s="16">
        <v>9.8338999999999996E-2</v>
      </c>
      <c r="J94" s="16">
        <v>-5.3203000000000014E-2</v>
      </c>
      <c r="K94" s="16">
        <v>9.8338999999999996E-2</v>
      </c>
      <c r="L94" s="16">
        <v>-5.3203000000000014E-2</v>
      </c>
      <c r="M94" s="16">
        <v>-7.0966000000000001E-2</v>
      </c>
      <c r="N94" s="16">
        <v>-7.7218999999999996E-2</v>
      </c>
      <c r="O94" s="16">
        <v>0.32396399999999997</v>
      </c>
      <c r="P94" s="9">
        <v>-6.9182000000000021E-2</v>
      </c>
    </row>
    <row r="95" spans="1:16" x14ac:dyDescent="0.25">
      <c r="A95" s="5" t="s">
        <v>418</v>
      </c>
      <c r="B95" s="3" t="s">
        <v>556</v>
      </c>
      <c r="C95" s="3" t="s">
        <v>269</v>
      </c>
      <c r="D95" s="3" t="s">
        <v>270</v>
      </c>
      <c r="E95" s="3" t="s">
        <v>271</v>
      </c>
      <c r="F95" s="3" t="s">
        <v>112</v>
      </c>
      <c r="G95" s="3">
        <v>-3.738E-3</v>
      </c>
      <c r="H95" s="3">
        <v>1.6071000000000002E-2</v>
      </c>
      <c r="I95" s="3">
        <v>0.16595199999999999</v>
      </c>
      <c r="J95" s="3">
        <v>2.2268999999999983E-2</v>
      </c>
      <c r="K95" s="3">
        <v>0.16595199999999999</v>
      </c>
      <c r="L95" s="3">
        <v>2.2268999999999983E-2</v>
      </c>
      <c r="M95" s="3">
        <v>0.23021900000000001</v>
      </c>
      <c r="N95" s="3">
        <v>5.153000000000002E-2</v>
      </c>
      <c r="O95" s="3">
        <v>0.55453399999999997</v>
      </c>
      <c r="P95" s="8">
        <v>3.8038999999999934E-2</v>
      </c>
    </row>
    <row r="96" spans="1:16" x14ac:dyDescent="0.25">
      <c r="A96" s="6" t="s">
        <v>88</v>
      </c>
      <c r="B96" s="16" t="s">
        <v>205</v>
      </c>
      <c r="C96" s="16" t="s">
        <v>775</v>
      </c>
      <c r="D96" s="16" t="s">
        <v>270</v>
      </c>
      <c r="E96" s="16" t="s">
        <v>271</v>
      </c>
      <c r="F96" s="16" t="s">
        <v>206</v>
      </c>
      <c r="G96" s="16">
        <v>-9.6710000000000008E-3</v>
      </c>
      <c r="H96" s="16">
        <v>1.0137999999999999E-2</v>
      </c>
      <c r="I96" s="16">
        <v>0.17030699999999999</v>
      </c>
      <c r="J96" s="16">
        <v>2.6623999999999981E-2</v>
      </c>
      <c r="K96" s="16">
        <v>0.17030699999999999</v>
      </c>
      <c r="L96" s="16">
        <v>2.6623999999999981E-2</v>
      </c>
      <c r="M96" s="16">
        <v>0.24557300000000001</v>
      </c>
      <c r="N96" s="16">
        <v>6.6884000000000027E-2</v>
      </c>
      <c r="O96" s="16">
        <v>0.56519799999999998</v>
      </c>
      <c r="P96" s="9">
        <v>4.8702999999999941E-2</v>
      </c>
    </row>
    <row r="97" spans="1:16" x14ac:dyDescent="0.25">
      <c r="A97" s="6" t="s">
        <v>69</v>
      </c>
      <c r="B97" s="16" t="s">
        <v>242</v>
      </c>
      <c r="C97" s="16" t="s">
        <v>775</v>
      </c>
      <c r="D97" s="16" t="s">
        <v>270</v>
      </c>
      <c r="E97" s="16" t="s">
        <v>271</v>
      </c>
      <c r="F97" s="16" t="s">
        <v>121</v>
      </c>
      <c r="G97" s="16">
        <v>-2.2095E-2</v>
      </c>
      <c r="H97" s="16">
        <v>-2.2859999999999998E-3</v>
      </c>
      <c r="I97" s="16">
        <v>0.15319099999999999</v>
      </c>
      <c r="J97" s="16">
        <v>9.5079999999999887E-3</v>
      </c>
      <c r="K97" s="16">
        <v>0.15319099999999999</v>
      </c>
      <c r="L97" s="16">
        <v>9.5079999999999887E-3</v>
      </c>
      <c r="M97" s="16">
        <v>0.21242900000000001</v>
      </c>
      <c r="N97" s="16">
        <v>3.374000000000002E-2</v>
      </c>
      <c r="O97" s="16">
        <v>0.59690799999999999</v>
      </c>
      <c r="P97" s="9">
        <v>8.0412999999999957E-2</v>
      </c>
    </row>
    <row r="98" spans="1:16" x14ac:dyDescent="0.25">
      <c r="A98" s="6" t="s">
        <v>4</v>
      </c>
      <c r="B98" s="16" t="s">
        <v>243</v>
      </c>
      <c r="C98" s="16" t="s">
        <v>775</v>
      </c>
      <c r="D98" s="16" t="s">
        <v>270</v>
      </c>
      <c r="E98" s="16" t="s">
        <v>271</v>
      </c>
      <c r="F98" s="16" t="s">
        <v>118</v>
      </c>
      <c r="G98" s="16">
        <v>-2.5107999999999998E-2</v>
      </c>
      <c r="H98" s="16">
        <v>-5.2989999999999982E-3</v>
      </c>
      <c r="I98" s="16">
        <v>0.159854</v>
      </c>
      <c r="J98" s="16">
        <v>1.6170999999999991E-2</v>
      </c>
      <c r="K98" s="16">
        <v>0.159854</v>
      </c>
      <c r="L98" s="16">
        <v>1.6170999999999991E-2</v>
      </c>
      <c r="M98" s="16">
        <v>0.240699</v>
      </c>
      <c r="N98" s="16">
        <v>6.201000000000001E-2</v>
      </c>
      <c r="O98" s="16">
        <v>0.60538899999999995</v>
      </c>
      <c r="P98" s="9">
        <v>8.8893999999999918E-2</v>
      </c>
    </row>
    <row r="99" spans="1:16" x14ac:dyDescent="0.25">
      <c r="A99" s="6" t="s">
        <v>497</v>
      </c>
      <c r="B99" s="16" t="s">
        <v>672</v>
      </c>
      <c r="C99" s="16" t="s">
        <v>775</v>
      </c>
      <c r="D99" s="16" t="s">
        <v>270</v>
      </c>
      <c r="E99" s="16" t="s">
        <v>271</v>
      </c>
      <c r="F99" s="16" t="s">
        <v>118</v>
      </c>
      <c r="G99" s="16">
        <v>-2.5231E-2</v>
      </c>
      <c r="H99" s="16">
        <v>-5.4219999999999997E-3</v>
      </c>
      <c r="I99" s="16">
        <v>0.15979499999999999</v>
      </c>
      <c r="J99" s="16">
        <v>1.6111999999999987E-2</v>
      </c>
      <c r="K99" s="16">
        <v>0.15979499999999999</v>
      </c>
      <c r="L99" s="16">
        <v>1.6111999999999987E-2</v>
      </c>
      <c r="M99" s="16">
        <v>0.24110200000000001</v>
      </c>
      <c r="N99" s="16">
        <v>6.2413000000000024E-2</v>
      </c>
      <c r="O99" s="16">
        <v>0.60594400000000004</v>
      </c>
      <c r="P99" s="9">
        <v>8.9449000000000001E-2</v>
      </c>
    </row>
    <row r="100" spans="1:16" x14ac:dyDescent="0.25">
      <c r="A100" s="6" t="s">
        <v>496</v>
      </c>
      <c r="B100" s="16" t="s">
        <v>673</v>
      </c>
      <c r="C100" s="16" t="s">
        <v>775</v>
      </c>
      <c r="D100" s="16" t="s">
        <v>270</v>
      </c>
      <c r="E100" s="16" t="s">
        <v>271</v>
      </c>
      <c r="F100" s="16" t="s">
        <v>118</v>
      </c>
      <c r="G100" s="16">
        <v>-2.5391E-2</v>
      </c>
      <c r="H100" s="16">
        <v>-5.5820000000000002E-3</v>
      </c>
      <c r="I100" s="16">
        <v>0.158417</v>
      </c>
      <c r="J100" s="16">
        <v>1.4733999999999997E-2</v>
      </c>
      <c r="K100" s="16">
        <v>0.158417</v>
      </c>
      <c r="L100" s="16">
        <v>1.4733999999999997E-2</v>
      </c>
      <c r="M100" s="16">
        <v>0.236316</v>
      </c>
      <c r="N100" s="16">
        <v>5.7627000000000012E-2</v>
      </c>
      <c r="O100" s="16">
        <v>0.59560500000000005</v>
      </c>
      <c r="P100" s="9">
        <v>7.9110000000000014E-2</v>
      </c>
    </row>
    <row r="101" spans="1:16" x14ac:dyDescent="0.25">
      <c r="A101" s="6" t="s">
        <v>53</v>
      </c>
      <c r="B101" s="16" t="s">
        <v>183</v>
      </c>
      <c r="C101" s="16" t="s">
        <v>775</v>
      </c>
      <c r="D101" s="16" t="s">
        <v>270</v>
      </c>
      <c r="E101" s="16" t="s">
        <v>271</v>
      </c>
      <c r="F101" s="16" t="s">
        <v>184</v>
      </c>
      <c r="G101" s="16">
        <v>-2.6610999999999999E-2</v>
      </c>
      <c r="H101" s="16">
        <v>-6.801999999999999E-3</v>
      </c>
      <c r="I101" s="16">
        <v>0.120422</v>
      </c>
      <c r="J101" s="16">
        <v>-2.3261000000000004E-2</v>
      </c>
      <c r="K101" s="16">
        <v>0.120422</v>
      </c>
      <c r="L101" s="16">
        <v>-2.3261000000000004E-2</v>
      </c>
      <c r="M101" s="16">
        <v>0.29408600000000001</v>
      </c>
      <c r="N101" s="16">
        <v>0.11539700000000003</v>
      </c>
      <c r="O101" s="16">
        <v>0.63350600000000001</v>
      </c>
      <c r="P101" s="9">
        <v>0.11701099999999998</v>
      </c>
    </row>
    <row r="102" spans="1:16" x14ac:dyDescent="0.25">
      <c r="A102" s="5" t="s">
        <v>67</v>
      </c>
      <c r="B102" s="3" t="s">
        <v>273</v>
      </c>
      <c r="C102" s="3" t="s">
        <v>113</v>
      </c>
      <c r="D102" s="3" t="s">
        <v>114</v>
      </c>
      <c r="E102" s="3" t="s">
        <v>217</v>
      </c>
      <c r="F102" s="3" t="s">
        <v>187</v>
      </c>
      <c r="G102" s="3">
        <v>7.0888000000000007E-2</v>
      </c>
      <c r="H102" s="3">
        <v>1.8300000000000261E-4</v>
      </c>
      <c r="I102" s="3">
        <v>0.331206</v>
      </c>
      <c r="J102" s="3">
        <v>-2.3560000000000247E-3</v>
      </c>
      <c r="K102" s="3">
        <v>0.331206</v>
      </c>
      <c r="L102" s="3">
        <v>-2.3560000000000247E-3</v>
      </c>
      <c r="M102" s="3">
        <v>0.34195999999999999</v>
      </c>
      <c r="N102" s="3">
        <v>-6.3540000000000263E-3</v>
      </c>
      <c r="O102" s="3">
        <v>1.3643190000000001</v>
      </c>
      <c r="P102" s="8">
        <v>-1.8316999999999917E-2</v>
      </c>
    </row>
    <row r="103" spans="1:16" x14ac:dyDescent="0.25">
      <c r="A103" s="6" t="s">
        <v>82</v>
      </c>
      <c r="B103" s="16" t="s">
        <v>275</v>
      </c>
      <c r="C103" s="16" t="s">
        <v>113</v>
      </c>
      <c r="D103" s="16" t="s">
        <v>114</v>
      </c>
      <c r="E103" s="16" t="s">
        <v>217</v>
      </c>
      <c r="F103" s="16" t="s">
        <v>187</v>
      </c>
      <c r="G103" s="16">
        <v>7.0613999999999996E-2</v>
      </c>
      <c r="H103" s="16">
        <v>-9.1000000000007741E-5</v>
      </c>
      <c r="I103" s="16">
        <v>0.33264300000000002</v>
      </c>
      <c r="J103" s="16">
        <v>-9.1900000000000315E-4</v>
      </c>
      <c r="K103" s="16">
        <v>0.33264300000000002</v>
      </c>
      <c r="L103" s="16">
        <v>-9.1900000000000315E-4</v>
      </c>
      <c r="M103" s="16">
        <v>0.34762399999999999</v>
      </c>
      <c r="N103" s="16">
        <v>-6.9000000000002393E-4</v>
      </c>
      <c r="O103" s="16">
        <v>1.3799650000000001</v>
      </c>
      <c r="P103" s="9">
        <v>-2.6709999999998679E-3</v>
      </c>
    </row>
    <row r="104" spans="1:16" x14ac:dyDescent="0.25">
      <c r="A104" s="6" t="s">
        <v>3</v>
      </c>
      <c r="B104" s="16" t="s">
        <v>272</v>
      </c>
      <c r="C104" s="16" t="s">
        <v>113</v>
      </c>
      <c r="D104" s="16" t="s">
        <v>114</v>
      </c>
      <c r="E104" s="16" t="s">
        <v>217</v>
      </c>
      <c r="F104" s="16" t="s">
        <v>115</v>
      </c>
      <c r="G104" s="16">
        <v>6.9665000000000005E-2</v>
      </c>
      <c r="H104" s="16">
        <v>-1.0399999999999993E-3</v>
      </c>
      <c r="I104" s="16">
        <v>0.326629</v>
      </c>
      <c r="J104" s="16">
        <v>-6.9330000000000225E-3</v>
      </c>
      <c r="K104" s="16">
        <v>0.326629</v>
      </c>
      <c r="L104" s="16">
        <v>-6.9330000000000225E-3</v>
      </c>
      <c r="M104" s="16">
        <v>0.30198999999999998</v>
      </c>
      <c r="N104" s="16">
        <v>-4.6324000000000032E-2</v>
      </c>
      <c r="O104" s="16">
        <v>1.322727</v>
      </c>
      <c r="P104" s="9">
        <v>-5.990899999999999E-2</v>
      </c>
    </row>
    <row r="105" spans="1:16" x14ac:dyDescent="0.25">
      <c r="A105" s="6" t="s">
        <v>328</v>
      </c>
      <c r="B105" s="16" t="s">
        <v>557</v>
      </c>
      <c r="C105" s="16" t="s">
        <v>113</v>
      </c>
      <c r="D105" s="16" t="s">
        <v>114</v>
      </c>
      <c r="E105" s="16" t="s">
        <v>217</v>
      </c>
      <c r="F105" s="16" t="s">
        <v>558</v>
      </c>
      <c r="G105" s="16">
        <v>6.2643000000000004E-2</v>
      </c>
      <c r="H105" s="16">
        <v>-8.0619999999999997E-3</v>
      </c>
      <c r="I105" s="16">
        <v>0.313558</v>
      </c>
      <c r="J105" s="16">
        <v>-2.0004000000000022E-2</v>
      </c>
      <c r="K105" s="16">
        <v>0.313558</v>
      </c>
      <c r="L105" s="16">
        <v>-2.0004000000000022E-2</v>
      </c>
      <c r="M105" s="16">
        <v>0.28848000000000001</v>
      </c>
      <c r="N105" s="16">
        <v>-5.9833999999999998E-2</v>
      </c>
      <c r="O105" s="16">
        <v>1.123772</v>
      </c>
      <c r="P105" s="9">
        <v>-0.25886399999999998</v>
      </c>
    </row>
    <row r="106" spans="1:16" x14ac:dyDescent="0.25">
      <c r="A106" s="6" t="s">
        <v>476</v>
      </c>
      <c r="B106" s="16" t="s">
        <v>681</v>
      </c>
      <c r="C106" s="16" t="s">
        <v>113</v>
      </c>
      <c r="D106" s="16" t="s">
        <v>114</v>
      </c>
      <c r="E106" s="16" t="s">
        <v>217</v>
      </c>
      <c r="F106" s="16" t="s">
        <v>121</v>
      </c>
      <c r="G106" s="16">
        <v>5.8391999999999999E-2</v>
      </c>
      <c r="H106" s="16">
        <v>-1.2313000000000004E-2</v>
      </c>
      <c r="I106" s="16">
        <v>0.3579</v>
      </c>
      <c r="J106" s="16">
        <v>2.4337999999999971E-2</v>
      </c>
      <c r="K106" s="16">
        <v>0.3579</v>
      </c>
      <c r="L106" s="16">
        <v>2.4337999999999971E-2</v>
      </c>
      <c r="M106" s="16">
        <v>0.24868399999999999</v>
      </c>
      <c r="N106" s="16">
        <v>-9.9630000000000024E-2</v>
      </c>
      <c r="O106" s="16">
        <v>0.98513700000000004</v>
      </c>
      <c r="P106" s="9">
        <v>-0.39749899999999994</v>
      </c>
    </row>
    <row r="107" spans="1:16" x14ac:dyDescent="0.25">
      <c r="A107" s="6" t="s">
        <v>411</v>
      </c>
      <c r="B107" s="16" t="s">
        <v>559</v>
      </c>
      <c r="C107" s="16" t="s">
        <v>113</v>
      </c>
      <c r="D107" s="16" t="s">
        <v>114</v>
      </c>
      <c r="E107" s="16" t="s">
        <v>217</v>
      </c>
      <c r="F107" s="16" t="s">
        <v>112</v>
      </c>
      <c r="G107" s="16">
        <v>5.5139000000000001E-2</v>
      </c>
      <c r="H107" s="16">
        <v>-1.5566000000000003E-2</v>
      </c>
      <c r="I107" s="16">
        <v>0.31097000000000002</v>
      </c>
      <c r="J107" s="16">
        <v>-2.2592000000000001E-2</v>
      </c>
      <c r="K107" s="16">
        <v>0.31097000000000002</v>
      </c>
      <c r="L107" s="16">
        <v>-2.2592000000000001E-2</v>
      </c>
      <c r="M107" s="16">
        <v>0.28526699999999999</v>
      </c>
      <c r="N107" s="16">
        <v>-6.304700000000002E-2</v>
      </c>
      <c r="O107" s="16">
        <v>1.4126559999999999</v>
      </c>
      <c r="P107" s="9">
        <v>3.0019999999999936E-2</v>
      </c>
    </row>
    <row r="108" spans="1:16" x14ac:dyDescent="0.25">
      <c r="A108" s="6" t="s">
        <v>36</v>
      </c>
      <c r="B108" s="16" t="s">
        <v>276</v>
      </c>
      <c r="C108" s="16" t="s">
        <v>113</v>
      </c>
      <c r="D108" s="16" t="s">
        <v>114</v>
      </c>
      <c r="E108" s="16" t="s">
        <v>217</v>
      </c>
      <c r="F108" s="16" t="s">
        <v>161</v>
      </c>
      <c r="G108" s="16">
        <v>4.9124000000000001E-2</v>
      </c>
      <c r="H108" s="16">
        <v>-2.1581000000000003E-2</v>
      </c>
      <c r="I108" s="16">
        <v>0.25576399999999999</v>
      </c>
      <c r="J108" s="16">
        <v>-7.7798000000000034E-2</v>
      </c>
      <c r="K108" s="16">
        <v>0.25576399999999999</v>
      </c>
      <c r="L108" s="16">
        <v>-7.7798000000000034E-2</v>
      </c>
      <c r="M108" s="16">
        <v>0.31106699999999998</v>
      </c>
      <c r="N108" s="16">
        <v>-3.724700000000003E-2</v>
      </c>
      <c r="O108" s="16">
        <v>1.482774</v>
      </c>
      <c r="P108" s="9">
        <v>0.10013800000000006</v>
      </c>
    </row>
    <row r="109" spans="1:16" x14ac:dyDescent="0.25">
      <c r="A109" s="6" t="s">
        <v>92</v>
      </c>
      <c r="B109" s="16" t="s">
        <v>274</v>
      </c>
      <c r="C109" s="16" t="s">
        <v>113</v>
      </c>
      <c r="D109" s="16" t="s">
        <v>114</v>
      </c>
      <c r="E109" s="16" t="s">
        <v>217</v>
      </c>
      <c r="F109" s="16" t="s">
        <v>121</v>
      </c>
      <c r="G109" s="16">
        <v>3.9287999999999997E-2</v>
      </c>
      <c r="H109" s="16">
        <v>-3.1417000000000007E-2</v>
      </c>
      <c r="I109" s="16">
        <v>0.25444800000000001</v>
      </c>
      <c r="J109" s="16">
        <v>-7.9114000000000018E-2</v>
      </c>
      <c r="K109" s="16">
        <v>0.25444800000000001</v>
      </c>
      <c r="L109" s="16">
        <v>-7.9114000000000018E-2</v>
      </c>
      <c r="M109" s="16">
        <v>0.206233</v>
      </c>
      <c r="N109" s="16">
        <v>-0.14208100000000001</v>
      </c>
      <c r="O109" s="16">
        <v>1.089035</v>
      </c>
      <c r="P109" s="9">
        <v>-0.293601</v>
      </c>
    </row>
    <row r="110" spans="1:16" x14ac:dyDescent="0.25">
      <c r="A110" s="5" t="s">
        <v>482</v>
      </c>
      <c r="B110" s="3" t="s">
        <v>729</v>
      </c>
      <c r="C110" s="3" t="s">
        <v>119</v>
      </c>
      <c r="D110" s="3" t="s">
        <v>120</v>
      </c>
      <c r="E110" s="3" t="s">
        <v>219</v>
      </c>
      <c r="F110" s="3" t="s">
        <v>730</v>
      </c>
      <c r="G110" s="3">
        <v>8.7514999999999996E-2</v>
      </c>
      <c r="H110" s="3">
        <v>0.11199099999999999</v>
      </c>
      <c r="I110" s="3">
        <v>1.39625</v>
      </c>
      <c r="J110" s="3">
        <v>1.1076900000000001</v>
      </c>
      <c r="K110" s="3">
        <v>1.39625</v>
      </c>
      <c r="L110" s="3">
        <v>1.1076900000000001</v>
      </c>
      <c r="M110" s="3">
        <v>1.477336</v>
      </c>
      <c r="N110" s="3">
        <v>1.218146</v>
      </c>
      <c r="O110" s="3">
        <v>7.5108370000000004</v>
      </c>
      <c r="P110" s="8">
        <v>6.4412420000000008</v>
      </c>
    </row>
    <row r="111" spans="1:16" x14ac:dyDescent="0.25">
      <c r="A111" s="6" t="s">
        <v>453</v>
      </c>
      <c r="B111" s="16" t="s">
        <v>578</v>
      </c>
      <c r="C111" s="16" t="s">
        <v>119</v>
      </c>
      <c r="D111" s="16" t="s">
        <v>120</v>
      </c>
      <c r="E111" s="16" t="s">
        <v>219</v>
      </c>
      <c r="F111" s="16" t="s">
        <v>132</v>
      </c>
      <c r="G111" s="16">
        <v>7.5356000000000006E-2</v>
      </c>
      <c r="H111" s="16">
        <v>9.9832000000000004E-2</v>
      </c>
      <c r="I111" s="16">
        <v>0.25289099999999998</v>
      </c>
      <c r="J111" s="16">
        <v>-3.5669000000000006E-2</v>
      </c>
      <c r="K111" s="16">
        <v>0.25289099999999998</v>
      </c>
      <c r="L111" s="16">
        <v>-3.5669000000000006E-2</v>
      </c>
      <c r="M111" s="16">
        <v>0.866981</v>
      </c>
      <c r="N111" s="16">
        <v>0.60779099999999997</v>
      </c>
      <c r="O111" s="16">
        <v>0.76747900000000002</v>
      </c>
      <c r="P111" s="9">
        <v>-0.30211600000000005</v>
      </c>
    </row>
    <row r="112" spans="1:16" x14ac:dyDescent="0.25">
      <c r="A112" s="6" t="s">
        <v>86</v>
      </c>
      <c r="B112" s="16" t="s">
        <v>279</v>
      </c>
      <c r="C112" s="16" t="s">
        <v>119</v>
      </c>
      <c r="D112" s="16" t="s">
        <v>120</v>
      </c>
      <c r="E112" s="16" t="s">
        <v>219</v>
      </c>
      <c r="F112" s="16" t="s">
        <v>121</v>
      </c>
      <c r="G112" s="16">
        <v>3.0748000000000001E-2</v>
      </c>
      <c r="H112" s="16">
        <v>5.5224000000000002E-2</v>
      </c>
      <c r="I112" s="16">
        <v>0.14025199999999999</v>
      </c>
      <c r="J112" s="16">
        <v>-0.148308</v>
      </c>
      <c r="K112" s="16">
        <v>0.14025199999999999</v>
      </c>
      <c r="L112" s="16">
        <v>-0.148308</v>
      </c>
      <c r="M112" s="16">
        <v>0.15807299999999999</v>
      </c>
      <c r="N112" s="16">
        <v>-0.10111699999999998</v>
      </c>
      <c r="O112" s="16">
        <v>0.43118000000000001</v>
      </c>
      <c r="P112" s="9">
        <v>-0.63841500000000007</v>
      </c>
    </row>
    <row r="113" spans="1:16" x14ac:dyDescent="0.25">
      <c r="A113" s="6" t="s">
        <v>396</v>
      </c>
      <c r="B113" s="16" t="s">
        <v>567</v>
      </c>
      <c r="C113" s="16" t="s">
        <v>119</v>
      </c>
      <c r="D113" s="16" t="s">
        <v>120</v>
      </c>
      <c r="E113" s="16" t="s">
        <v>219</v>
      </c>
      <c r="F113" s="16" t="s">
        <v>121</v>
      </c>
      <c r="G113" s="16">
        <v>3.0058999999999999E-2</v>
      </c>
      <c r="H113" s="16">
        <v>5.4535E-2</v>
      </c>
      <c r="I113" s="16">
        <v>0.137848</v>
      </c>
      <c r="J113" s="16">
        <v>-0.15071199999999998</v>
      </c>
      <c r="K113" s="16">
        <v>0.137848</v>
      </c>
      <c r="L113" s="16">
        <v>-0.15071199999999998</v>
      </c>
      <c r="M113" s="16">
        <v>0.15148500000000001</v>
      </c>
      <c r="N113" s="16">
        <v>-0.10770499999999997</v>
      </c>
      <c r="O113" s="16">
        <v>0.417458</v>
      </c>
      <c r="P113" s="9">
        <v>-0.65213700000000008</v>
      </c>
    </row>
    <row r="114" spans="1:16" x14ac:dyDescent="0.25">
      <c r="A114" s="6" t="s">
        <v>334</v>
      </c>
      <c r="B114" s="16" t="s">
        <v>580</v>
      </c>
      <c r="C114" s="16" t="s">
        <v>119</v>
      </c>
      <c r="D114" s="16" t="s">
        <v>120</v>
      </c>
      <c r="E114" s="16" t="s">
        <v>219</v>
      </c>
      <c r="F114" s="16" t="s">
        <v>132</v>
      </c>
      <c r="G114" s="16">
        <v>2.7782999999999999E-2</v>
      </c>
      <c r="H114" s="16">
        <v>5.2259E-2</v>
      </c>
      <c r="I114" s="16">
        <v>8.1009999999999999E-2</v>
      </c>
      <c r="J114" s="16">
        <v>-0.20754999999999998</v>
      </c>
      <c r="K114" s="16">
        <v>8.1009999999999999E-2</v>
      </c>
      <c r="L114" s="16">
        <v>-0.20754999999999998</v>
      </c>
      <c r="M114" s="16">
        <v>0.48374</v>
      </c>
      <c r="N114" s="16">
        <v>0.22455000000000003</v>
      </c>
      <c r="O114" s="16">
        <v>0.45555200000000001</v>
      </c>
      <c r="P114" s="9">
        <v>-0.61404300000000012</v>
      </c>
    </row>
    <row r="115" spans="1:16" x14ac:dyDescent="0.25">
      <c r="A115" s="6" t="s">
        <v>333</v>
      </c>
      <c r="B115" s="16" t="s">
        <v>579</v>
      </c>
      <c r="C115" s="16" t="s">
        <v>119</v>
      </c>
      <c r="D115" s="16" t="s">
        <v>120</v>
      </c>
      <c r="E115" s="16" t="s">
        <v>219</v>
      </c>
      <c r="F115" s="16" t="s">
        <v>132</v>
      </c>
      <c r="G115" s="16">
        <v>2.7609000000000002E-2</v>
      </c>
      <c r="H115" s="16">
        <v>5.2085000000000006E-2</v>
      </c>
      <c r="I115" s="16">
        <v>8.4140000000000006E-2</v>
      </c>
      <c r="J115" s="16">
        <v>-0.20441999999999999</v>
      </c>
      <c r="K115" s="16">
        <v>8.4140000000000006E-2</v>
      </c>
      <c r="L115" s="16">
        <v>-0.20441999999999999</v>
      </c>
      <c r="M115" s="16">
        <v>0.49421799999999999</v>
      </c>
      <c r="N115" s="16">
        <v>0.23502800000000001</v>
      </c>
      <c r="O115" s="16">
        <v>0.47236499999999998</v>
      </c>
      <c r="P115" s="9">
        <v>-0.59723000000000015</v>
      </c>
    </row>
    <row r="116" spans="1:16" x14ac:dyDescent="0.25">
      <c r="A116" s="6" t="s">
        <v>469</v>
      </c>
      <c r="B116" s="16" t="s">
        <v>728</v>
      </c>
      <c r="C116" s="16" t="s">
        <v>119</v>
      </c>
      <c r="D116" s="16" t="s">
        <v>120</v>
      </c>
      <c r="E116" s="16" t="s">
        <v>219</v>
      </c>
      <c r="F116" s="16" t="s">
        <v>820</v>
      </c>
      <c r="G116" s="16">
        <v>2.6610999999999999E-2</v>
      </c>
      <c r="H116" s="16">
        <v>5.1087E-2</v>
      </c>
      <c r="I116" s="16">
        <v>8.4283999999999998E-2</v>
      </c>
      <c r="J116" s="16">
        <v>-0.20427599999999999</v>
      </c>
      <c r="K116" s="16">
        <v>8.4283999999999998E-2</v>
      </c>
      <c r="L116" s="16">
        <v>-0.20427599999999999</v>
      </c>
      <c r="M116" s="16">
        <v>0.14602499999999999</v>
      </c>
      <c r="N116" s="16">
        <v>-0.11316499999999999</v>
      </c>
      <c r="O116" s="16">
        <v>0.234956</v>
      </c>
      <c r="P116" s="9">
        <v>-0.83463900000000013</v>
      </c>
    </row>
    <row r="117" spans="1:16" x14ac:dyDescent="0.25">
      <c r="A117" s="6" t="s">
        <v>364</v>
      </c>
      <c r="B117" s="16" t="s">
        <v>577</v>
      </c>
      <c r="C117" s="16" t="s">
        <v>119</v>
      </c>
      <c r="D117" s="16" t="s">
        <v>120</v>
      </c>
      <c r="E117" s="16" t="s">
        <v>219</v>
      </c>
      <c r="F117" s="16" t="s">
        <v>129</v>
      </c>
      <c r="G117" s="16">
        <v>2.3962000000000001E-2</v>
      </c>
      <c r="H117" s="16">
        <v>4.8438000000000002E-2</v>
      </c>
      <c r="I117" s="16">
        <v>8.8405999999999998E-2</v>
      </c>
      <c r="J117" s="16">
        <v>-0.200154</v>
      </c>
      <c r="K117" s="16">
        <v>8.8405999999999998E-2</v>
      </c>
      <c r="L117" s="16">
        <v>-0.200154</v>
      </c>
      <c r="M117" s="16">
        <v>0.20818999999999999</v>
      </c>
      <c r="N117" s="16">
        <v>-5.099999999999999E-2</v>
      </c>
      <c r="O117" s="16">
        <v>0.29741099999999998</v>
      </c>
      <c r="P117" s="9">
        <v>-0.77218400000000009</v>
      </c>
    </row>
    <row r="118" spans="1:16" x14ac:dyDescent="0.25">
      <c r="A118" s="6" t="s">
        <v>422</v>
      </c>
      <c r="B118" s="16" t="s">
        <v>575</v>
      </c>
      <c r="C118" s="16" t="s">
        <v>119</v>
      </c>
      <c r="D118" s="16" t="s">
        <v>120</v>
      </c>
      <c r="E118" s="16" t="s">
        <v>219</v>
      </c>
      <c r="F118" s="16" t="s">
        <v>824</v>
      </c>
      <c r="G118" s="16">
        <v>2.2293E-2</v>
      </c>
      <c r="H118" s="16">
        <v>4.6769000000000005E-2</v>
      </c>
      <c r="I118" s="16">
        <v>9.0428999999999995E-2</v>
      </c>
      <c r="J118" s="16">
        <v>-0.198131</v>
      </c>
      <c r="K118" s="16">
        <v>9.0428999999999995E-2</v>
      </c>
      <c r="L118" s="16">
        <v>-0.198131</v>
      </c>
      <c r="M118" s="16">
        <v>0.21062700000000001</v>
      </c>
      <c r="N118" s="16">
        <v>-4.8562999999999967E-2</v>
      </c>
      <c r="O118" s="16">
        <v>0.25755</v>
      </c>
      <c r="P118" s="9">
        <v>-0.81204500000000013</v>
      </c>
    </row>
    <row r="119" spans="1:16" x14ac:dyDescent="0.25">
      <c r="A119" s="6" t="s">
        <v>421</v>
      </c>
      <c r="B119" s="16" t="s">
        <v>576</v>
      </c>
      <c r="C119" s="16" t="s">
        <v>119</v>
      </c>
      <c r="D119" s="16" t="s">
        <v>120</v>
      </c>
      <c r="E119" s="16" t="s">
        <v>219</v>
      </c>
      <c r="F119" s="16" t="s">
        <v>824</v>
      </c>
      <c r="G119" s="16">
        <v>2.2034999999999999E-2</v>
      </c>
      <c r="H119" s="16">
        <v>4.6510999999999997E-2</v>
      </c>
      <c r="I119" s="16">
        <v>9.0673000000000004E-2</v>
      </c>
      <c r="J119" s="16">
        <v>-0.19788699999999998</v>
      </c>
      <c r="K119" s="16">
        <v>9.0673000000000004E-2</v>
      </c>
      <c r="L119" s="16">
        <v>-0.19788699999999998</v>
      </c>
      <c r="M119" s="16">
        <v>0.20694899999999999</v>
      </c>
      <c r="N119" s="16">
        <v>-5.2240999999999982E-2</v>
      </c>
      <c r="O119" s="16">
        <v>0.25108799999999998</v>
      </c>
      <c r="P119" s="9">
        <v>-0.8185070000000001</v>
      </c>
    </row>
    <row r="120" spans="1:16" x14ac:dyDescent="0.25">
      <c r="A120" s="6" t="s">
        <v>365</v>
      </c>
      <c r="B120" s="16" t="s">
        <v>573</v>
      </c>
      <c r="C120" s="16" t="s">
        <v>119</v>
      </c>
      <c r="D120" s="16" t="s">
        <v>120</v>
      </c>
      <c r="E120" s="16" t="s">
        <v>219</v>
      </c>
      <c r="F120" s="16" t="s">
        <v>574</v>
      </c>
      <c r="G120" s="16">
        <v>1.8089999999999998E-2</v>
      </c>
      <c r="H120" s="16">
        <v>4.2566E-2</v>
      </c>
      <c r="I120" s="16">
        <v>8.6862999999999996E-2</v>
      </c>
      <c r="J120" s="16">
        <v>-0.20169699999999999</v>
      </c>
      <c r="K120" s="16">
        <v>8.6862999999999996E-2</v>
      </c>
      <c r="L120" s="16">
        <v>-0.20169699999999999</v>
      </c>
      <c r="M120" s="16">
        <v>0.15736900000000001</v>
      </c>
      <c r="N120" s="16">
        <v>-0.10182099999999997</v>
      </c>
      <c r="O120" s="16">
        <v>0.225105</v>
      </c>
      <c r="P120" s="9">
        <v>-0.84449000000000007</v>
      </c>
    </row>
    <row r="121" spans="1:16" x14ac:dyDescent="0.25">
      <c r="A121" s="6" t="s">
        <v>46</v>
      </c>
      <c r="B121" s="16" t="s">
        <v>821</v>
      </c>
      <c r="C121" s="16" t="s">
        <v>119</v>
      </c>
      <c r="D121" s="16" t="s">
        <v>120</v>
      </c>
      <c r="E121" s="16" t="s">
        <v>219</v>
      </c>
      <c r="F121" s="16" t="s">
        <v>174</v>
      </c>
      <c r="G121" s="16">
        <v>1.77E-2</v>
      </c>
      <c r="H121" s="16">
        <v>4.2176000000000005E-2</v>
      </c>
      <c r="I121" s="16">
        <v>0.11677800000000001</v>
      </c>
      <c r="J121" s="16">
        <v>-0.17178199999999999</v>
      </c>
      <c r="K121" s="16">
        <v>0.11677800000000001</v>
      </c>
      <c r="L121" s="16">
        <v>-0.17178199999999999</v>
      </c>
      <c r="M121" s="16">
        <v>0.16628499999999999</v>
      </c>
      <c r="N121" s="16">
        <v>-9.2904999999999988E-2</v>
      </c>
      <c r="O121" s="16">
        <v>0.30493399999999998</v>
      </c>
      <c r="P121" s="9">
        <v>-0.76466100000000004</v>
      </c>
    </row>
    <row r="122" spans="1:16" x14ac:dyDescent="0.25">
      <c r="A122" s="6" t="s">
        <v>456</v>
      </c>
      <c r="B122" s="16" t="s">
        <v>582</v>
      </c>
      <c r="C122" s="16" t="s">
        <v>119</v>
      </c>
      <c r="D122" s="16" t="s">
        <v>120</v>
      </c>
      <c r="E122" s="16" t="s">
        <v>219</v>
      </c>
      <c r="F122" s="16" t="s">
        <v>132</v>
      </c>
      <c r="G122" s="16">
        <v>1.7521999999999999E-2</v>
      </c>
      <c r="H122" s="16">
        <v>4.1998000000000001E-2</v>
      </c>
      <c r="I122" s="16">
        <v>5.3039999999999997E-3</v>
      </c>
      <c r="J122" s="16">
        <v>-0.28325600000000001</v>
      </c>
      <c r="K122" s="16">
        <v>5.3039999999999997E-3</v>
      </c>
      <c r="L122" s="16">
        <v>-0.28325600000000001</v>
      </c>
      <c r="M122" s="16">
        <v>0.19575200000000001</v>
      </c>
      <c r="N122" s="16">
        <v>-6.3437999999999967E-2</v>
      </c>
      <c r="O122" s="16">
        <v>0.25203900000000001</v>
      </c>
      <c r="P122" s="9">
        <v>-0.81755600000000006</v>
      </c>
    </row>
    <row r="123" spans="1:16" x14ac:dyDescent="0.25">
      <c r="A123" s="6" t="s">
        <v>344</v>
      </c>
      <c r="B123" s="16" t="s">
        <v>568</v>
      </c>
      <c r="C123" s="16" t="s">
        <v>119</v>
      </c>
      <c r="D123" s="16" t="s">
        <v>120</v>
      </c>
      <c r="E123" s="16" t="s">
        <v>219</v>
      </c>
      <c r="F123" s="16" t="s">
        <v>121</v>
      </c>
      <c r="G123" s="16">
        <v>1.4678E-2</v>
      </c>
      <c r="H123" s="16">
        <v>3.9154000000000001E-2</v>
      </c>
      <c r="I123" s="16">
        <v>0.111583</v>
      </c>
      <c r="J123" s="16">
        <v>-0.176977</v>
      </c>
      <c r="K123" s="16">
        <v>0.111583</v>
      </c>
      <c r="L123" s="16">
        <v>-0.176977</v>
      </c>
      <c r="M123" s="16">
        <v>0.22902500000000001</v>
      </c>
      <c r="N123" s="16">
        <v>-3.016499999999997E-2</v>
      </c>
      <c r="O123" s="16">
        <v>0.21366299999999999</v>
      </c>
      <c r="P123" s="9">
        <v>-0.85593200000000014</v>
      </c>
    </row>
    <row r="124" spans="1:16" x14ac:dyDescent="0.25">
      <c r="A124" s="6" t="s">
        <v>64</v>
      </c>
      <c r="B124" s="16" t="s">
        <v>277</v>
      </c>
      <c r="C124" s="16" t="s">
        <v>119</v>
      </c>
      <c r="D124" s="16" t="s">
        <v>120</v>
      </c>
      <c r="E124" s="16" t="s">
        <v>219</v>
      </c>
      <c r="F124" s="16" t="s">
        <v>121</v>
      </c>
      <c r="G124" s="16">
        <v>1.4362E-2</v>
      </c>
      <c r="H124" s="16">
        <v>3.8837999999999998E-2</v>
      </c>
      <c r="I124" s="16">
        <v>0.182334</v>
      </c>
      <c r="J124" s="16">
        <v>-0.10622599999999999</v>
      </c>
      <c r="K124" s="16">
        <v>0.182334</v>
      </c>
      <c r="L124" s="16">
        <v>-0.10622599999999999</v>
      </c>
      <c r="M124" s="16">
        <v>0.26164500000000002</v>
      </c>
      <c r="N124" s="16">
        <v>2.4550000000000405E-3</v>
      </c>
      <c r="O124" s="16">
        <v>0.63291600000000003</v>
      </c>
      <c r="P124" s="9">
        <v>-0.43667900000000004</v>
      </c>
    </row>
    <row r="125" spans="1:16" x14ac:dyDescent="0.25">
      <c r="A125" s="6" t="s">
        <v>483</v>
      </c>
      <c r="B125" s="16" t="s">
        <v>684</v>
      </c>
      <c r="C125" s="16" t="s">
        <v>119</v>
      </c>
      <c r="D125" s="16" t="s">
        <v>120</v>
      </c>
      <c r="E125" s="16" t="s">
        <v>219</v>
      </c>
      <c r="F125" s="16" t="s">
        <v>136</v>
      </c>
      <c r="G125" s="16">
        <v>1.1349E-2</v>
      </c>
      <c r="H125" s="16">
        <v>3.5825000000000003E-2</v>
      </c>
      <c r="I125" s="16">
        <v>5.5114000000000003E-2</v>
      </c>
      <c r="J125" s="16">
        <v>-0.23344599999999999</v>
      </c>
      <c r="K125" s="16">
        <v>5.5114000000000003E-2</v>
      </c>
      <c r="L125" s="16">
        <v>-0.23344599999999999</v>
      </c>
      <c r="M125" s="16">
        <v>0.117206</v>
      </c>
      <c r="N125" s="16">
        <v>-0.14198399999999997</v>
      </c>
      <c r="O125" s="16">
        <v>0.22489899999999999</v>
      </c>
      <c r="P125" s="9">
        <v>-0.84469600000000011</v>
      </c>
    </row>
    <row r="126" spans="1:16" x14ac:dyDescent="0.25">
      <c r="A126" s="6" t="s">
        <v>430</v>
      </c>
      <c r="B126" s="16" t="s">
        <v>570</v>
      </c>
      <c r="C126" s="16" t="s">
        <v>119</v>
      </c>
      <c r="D126" s="16" t="s">
        <v>120</v>
      </c>
      <c r="E126" s="16" t="s">
        <v>219</v>
      </c>
      <c r="F126" s="16" t="s">
        <v>136</v>
      </c>
      <c r="G126" s="16">
        <v>9.7549999999999998E-3</v>
      </c>
      <c r="H126" s="16">
        <v>3.4230999999999998E-2</v>
      </c>
      <c r="I126" s="16">
        <v>3.2731000000000003E-2</v>
      </c>
      <c r="J126" s="16">
        <v>-0.25582899999999997</v>
      </c>
      <c r="K126" s="16">
        <v>3.2731000000000003E-2</v>
      </c>
      <c r="L126" s="16">
        <v>-0.25582899999999997</v>
      </c>
      <c r="M126" s="16">
        <v>8.3468000000000001E-2</v>
      </c>
      <c r="N126" s="16">
        <v>-0.17572199999999999</v>
      </c>
      <c r="O126" s="16">
        <v>0.13408100000000001</v>
      </c>
      <c r="P126" s="9">
        <v>-0.93551400000000007</v>
      </c>
    </row>
    <row r="127" spans="1:16" x14ac:dyDescent="0.25">
      <c r="A127" s="6" t="s">
        <v>419</v>
      </c>
      <c r="B127" s="16" t="s">
        <v>566</v>
      </c>
      <c r="C127" s="16" t="s">
        <v>119</v>
      </c>
      <c r="D127" s="16" t="s">
        <v>120</v>
      </c>
      <c r="E127" s="16" t="s">
        <v>219</v>
      </c>
      <c r="F127" s="16" t="s">
        <v>136</v>
      </c>
      <c r="G127" s="16">
        <v>6.365E-3</v>
      </c>
      <c r="H127" s="16">
        <v>3.0841E-2</v>
      </c>
      <c r="I127" s="16">
        <v>8.2879999999999995E-2</v>
      </c>
      <c r="J127" s="16">
        <v>-0.20567999999999997</v>
      </c>
      <c r="K127" s="16">
        <v>8.2879999999999995E-2</v>
      </c>
      <c r="L127" s="16">
        <v>-0.20567999999999997</v>
      </c>
      <c r="M127" s="16">
        <v>7.5243000000000004E-2</v>
      </c>
      <c r="N127" s="16">
        <v>-0.18394699999999997</v>
      </c>
      <c r="O127" s="16">
        <v>0.20053099999999999</v>
      </c>
      <c r="P127" s="9">
        <v>-0.86906400000000006</v>
      </c>
    </row>
    <row r="128" spans="1:16" x14ac:dyDescent="0.25">
      <c r="A128" s="6" t="s">
        <v>427</v>
      </c>
      <c r="B128" s="16" t="s">
        <v>571</v>
      </c>
      <c r="C128" s="16" t="s">
        <v>119</v>
      </c>
      <c r="D128" s="16" t="s">
        <v>120</v>
      </c>
      <c r="E128" s="16" t="s">
        <v>219</v>
      </c>
      <c r="F128" s="16" t="s">
        <v>136</v>
      </c>
      <c r="G128" s="16">
        <v>-6.613E-3</v>
      </c>
      <c r="H128" s="16">
        <v>1.7863E-2</v>
      </c>
      <c r="I128" s="16">
        <v>6.8330000000000002E-2</v>
      </c>
      <c r="J128" s="16">
        <v>-0.22022999999999998</v>
      </c>
      <c r="K128" s="16">
        <v>6.8330000000000002E-2</v>
      </c>
      <c r="L128" s="16">
        <v>-0.22022999999999998</v>
      </c>
      <c r="M128" s="16">
        <v>2.4049999999999998E-2</v>
      </c>
      <c r="N128" s="16">
        <v>-0.23513999999999999</v>
      </c>
      <c r="O128" s="16">
        <v>0.13011900000000001</v>
      </c>
      <c r="P128" s="9">
        <v>-0.93947600000000009</v>
      </c>
    </row>
    <row r="129" spans="1:16" x14ac:dyDescent="0.25">
      <c r="A129" s="6" t="s">
        <v>5</v>
      </c>
      <c r="B129" s="16" t="s">
        <v>278</v>
      </c>
      <c r="C129" s="16" t="s">
        <v>119</v>
      </c>
      <c r="D129" s="16" t="s">
        <v>120</v>
      </c>
      <c r="E129" s="16" t="s">
        <v>219</v>
      </c>
      <c r="F129" s="16" t="s">
        <v>121</v>
      </c>
      <c r="G129" s="16">
        <v>-6.9880000000000003E-3</v>
      </c>
      <c r="H129" s="16">
        <v>1.7488E-2</v>
      </c>
      <c r="I129" s="16">
        <v>0.123739</v>
      </c>
      <c r="J129" s="16">
        <v>-0.164821</v>
      </c>
      <c r="K129" s="16">
        <v>0.123739</v>
      </c>
      <c r="L129" s="16">
        <v>-0.164821</v>
      </c>
      <c r="M129" s="16">
        <v>0.18384800000000001</v>
      </c>
      <c r="N129" s="16">
        <v>-7.5341999999999965E-2</v>
      </c>
      <c r="O129" s="16">
        <v>0.52052600000000004</v>
      </c>
      <c r="P129" s="9">
        <v>-0.54906900000000003</v>
      </c>
    </row>
    <row r="130" spans="1:16" x14ac:dyDescent="0.25">
      <c r="A130" s="6" t="s">
        <v>24</v>
      </c>
      <c r="B130" s="16" t="s">
        <v>151</v>
      </c>
      <c r="C130" s="16" t="s">
        <v>119</v>
      </c>
      <c r="D130" s="16" t="s">
        <v>120</v>
      </c>
      <c r="E130" s="16" t="s">
        <v>219</v>
      </c>
      <c r="F130" s="16" t="s">
        <v>121</v>
      </c>
      <c r="G130" s="16">
        <v>-7.3220000000000004E-3</v>
      </c>
      <c r="H130" s="16">
        <v>1.7154000000000003E-2</v>
      </c>
      <c r="I130" s="16">
        <v>0.12579099999999999</v>
      </c>
      <c r="J130" s="16">
        <v>-0.162769</v>
      </c>
      <c r="K130" s="16">
        <v>0.12579099999999999</v>
      </c>
      <c r="L130" s="16">
        <v>-0.162769</v>
      </c>
      <c r="M130" s="16">
        <v>0.19270499999999999</v>
      </c>
      <c r="N130" s="16">
        <v>-6.6484999999999989E-2</v>
      </c>
      <c r="O130" s="16" t="s">
        <v>152</v>
      </c>
      <c r="P130" s="9"/>
    </row>
    <row r="131" spans="1:16" x14ac:dyDescent="0.25">
      <c r="A131" s="6" t="s">
        <v>413</v>
      </c>
      <c r="B131" s="16" t="s">
        <v>561</v>
      </c>
      <c r="C131" s="16" t="s">
        <v>119</v>
      </c>
      <c r="D131" s="16" t="s">
        <v>120</v>
      </c>
      <c r="E131" s="16" t="s">
        <v>219</v>
      </c>
      <c r="F131" s="16" t="s">
        <v>562</v>
      </c>
      <c r="G131" s="16">
        <v>-1.6979000000000001E-2</v>
      </c>
      <c r="H131" s="16">
        <v>7.4970000000000002E-3</v>
      </c>
      <c r="I131" s="16">
        <v>3.8497999999999998E-2</v>
      </c>
      <c r="J131" s="16">
        <v>-0.25006200000000001</v>
      </c>
      <c r="K131" s="16">
        <v>3.8497999999999998E-2</v>
      </c>
      <c r="L131" s="16">
        <v>-0.25006200000000001</v>
      </c>
      <c r="M131" s="16">
        <v>3.1671999999999999E-2</v>
      </c>
      <c r="N131" s="16">
        <v>-0.22751799999999997</v>
      </c>
      <c r="O131" s="16">
        <v>0.17754500000000001</v>
      </c>
      <c r="P131" s="9">
        <v>-0.89205000000000001</v>
      </c>
    </row>
    <row r="132" spans="1:16" x14ac:dyDescent="0.25">
      <c r="A132" s="6" t="s">
        <v>499</v>
      </c>
      <c r="B132" s="16" t="s">
        <v>682</v>
      </c>
      <c r="C132" s="16" t="s">
        <v>119</v>
      </c>
      <c r="D132" s="16" t="s">
        <v>120</v>
      </c>
      <c r="E132" s="16" t="s">
        <v>219</v>
      </c>
      <c r="F132" s="16" t="s">
        <v>683</v>
      </c>
      <c r="G132" s="16">
        <v>-2.8687000000000001E-2</v>
      </c>
      <c r="H132" s="16">
        <v>-4.2109999999999995E-3</v>
      </c>
      <c r="I132" s="16">
        <v>5.7651000000000001E-2</v>
      </c>
      <c r="J132" s="16">
        <v>-0.23090899999999998</v>
      </c>
      <c r="K132" s="16">
        <v>5.7651000000000001E-2</v>
      </c>
      <c r="L132" s="16">
        <v>-0.23090899999999998</v>
      </c>
      <c r="M132" s="16">
        <v>0.34710099999999999</v>
      </c>
      <c r="N132" s="16">
        <v>8.7911000000000017E-2</v>
      </c>
      <c r="O132" s="16">
        <v>0.46798800000000002</v>
      </c>
      <c r="P132" s="9">
        <v>-0.601607</v>
      </c>
    </row>
    <row r="133" spans="1:16" x14ac:dyDescent="0.25">
      <c r="A133" s="6" t="s">
        <v>329</v>
      </c>
      <c r="B133" s="16" t="s">
        <v>564</v>
      </c>
      <c r="C133" s="16" t="s">
        <v>119</v>
      </c>
      <c r="D133" s="16" t="s">
        <v>120</v>
      </c>
      <c r="E133" s="16" t="s">
        <v>219</v>
      </c>
      <c r="F133" s="16" t="s">
        <v>162</v>
      </c>
      <c r="G133" s="16">
        <v>-3.1986000000000001E-2</v>
      </c>
      <c r="H133" s="16">
        <v>-7.5099999999999993E-3</v>
      </c>
      <c r="I133" s="16">
        <v>8.5044999999999996E-2</v>
      </c>
      <c r="J133" s="16">
        <v>-0.203515</v>
      </c>
      <c r="K133" s="16">
        <v>8.5044999999999996E-2</v>
      </c>
      <c r="L133" s="16">
        <v>-0.203515</v>
      </c>
      <c r="M133" s="16">
        <v>3.3042000000000002E-2</v>
      </c>
      <c r="N133" s="16">
        <v>-0.22614799999999996</v>
      </c>
      <c r="O133" s="16">
        <v>0.19930899999999999</v>
      </c>
      <c r="P133" s="9">
        <v>-0.87028600000000012</v>
      </c>
    </row>
    <row r="134" spans="1:16" x14ac:dyDescent="0.25">
      <c r="A134" s="6" t="s">
        <v>457</v>
      </c>
      <c r="B134" s="16" t="s">
        <v>685</v>
      </c>
      <c r="C134" s="16" t="s">
        <v>119</v>
      </c>
      <c r="D134" s="16" t="s">
        <v>120</v>
      </c>
      <c r="E134" s="16" t="s">
        <v>219</v>
      </c>
      <c r="F134" s="16" t="s">
        <v>121</v>
      </c>
      <c r="G134" s="16">
        <v>-3.3512E-2</v>
      </c>
      <c r="H134" s="16">
        <v>-9.0359999999999989E-3</v>
      </c>
      <c r="I134" s="16">
        <v>-3.6061000000000003E-2</v>
      </c>
      <c r="J134" s="16">
        <v>-0.32462099999999999</v>
      </c>
      <c r="K134" s="16">
        <v>-3.6061000000000003E-2</v>
      </c>
      <c r="L134" s="16">
        <v>-0.32462099999999999</v>
      </c>
      <c r="M134" s="16">
        <v>-2.9685E-2</v>
      </c>
      <c r="N134" s="16">
        <v>-0.28887499999999999</v>
      </c>
      <c r="O134" s="16">
        <v>0.116787</v>
      </c>
      <c r="P134" s="9">
        <v>-0.9528080000000001</v>
      </c>
    </row>
    <row r="135" spans="1:16" x14ac:dyDescent="0.25">
      <c r="A135" s="6" t="s">
        <v>326</v>
      </c>
      <c r="B135" s="16" t="s">
        <v>565</v>
      </c>
      <c r="C135" s="16" t="s">
        <v>119</v>
      </c>
      <c r="D135" s="16" t="s">
        <v>120</v>
      </c>
      <c r="E135" s="16" t="s">
        <v>219</v>
      </c>
      <c r="F135" s="16" t="s">
        <v>162</v>
      </c>
      <c r="G135" s="16">
        <v>-5.2615000000000002E-2</v>
      </c>
      <c r="H135" s="16">
        <v>-2.8139000000000001E-2</v>
      </c>
      <c r="I135" s="16">
        <v>3.3806000000000003E-2</v>
      </c>
      <c r="J135" s="16">
        <v>-0.25475399999999998</v>
      </c>
      <c r="K135" s="16">
        <v>3.3806000000000003E-2</v>
      </c>
      <c r="L135" s="16">
        <v>-0.25475399999999998</v>
      </c>
      <c r="M135" s="16">
        <v>-6.3566999999999999E-2</v>
      </c>
      <c r="N135" s="16">
        <v>-0.32275699999999996</v>
      </c>
      <c r="O135" s="16">
        <v>0.122446</v>
      </c>
      <c r="P135" s="9">
        <v>-0.94714900000000002</v>
      </c>
    </row>
    <row r="136" spans="1:16" x14ac:dyDescent="0.25">
      <c r="A136" s="5" t="s">
        <v>44</v>
      </c>
      <c r="B136" s="3" t="s">
        <v>287</v>
      </c>
      <c r="C136" s="3" t="s">
        <v>172</v>
      </c>
      <c r="D136" s="3" t="s">
        <v>173</v>
      </c>
      <c r="E136" s="3" t="s">
        <v>230</v>
      </c>
      <c r="F136" s="3" t="s">
        <v>123</v>
      </c>
      <c r="G136" s="3">
        <v>-0.100706</v>
      </c>
      <c r="H136" s="3">
        <v>8.3960999999999994E-2</v>
      </c>
      <c r="I136" s="3">
        <v>0.10585</v>
      </c>
      <c r="J136" s="3">
        <v>0.228323</v>
      </c>
      <c r="K136" s="3">
        <v>0.10585</v>
      </c>
      <c r="L136" s="3">
        <v>0.228323</v>
      </c>
      <c r="M136" s="3">
        <v>0.17066799999999999</v>
      </c>
      <c r="N136" s="3">
        <v>0.13820399999999999</v>
      </c>
      <c r="O136" s="3">
        <v>0.40686699999999998</v>
      </c>
      <c r="P136" s="8">
        <v>-6.8591000000000013E-2</v>
      </c>
    </row>
    <row r="137" spans="1:16" x14ac:dyDescent="0.25">
      <c r="A137" s="6" t="s">
        <v>388</v>
      </c>
      <c r="B137" s="16" t="s">
        <v>594</v>
      </c>
      <c r="C137" s="16" t="s">
        <v>172</v>
      </c>
      <c r="D137" s="16" t="s">
        <v>173</v>
      </c>
      <c r="E137" s="16" t="s">
        <v>230</v>
      </c>
      <c r="F137" s="16" t="s">
        <v>215</v>
      </c>
      <c r="G137" s="16">
        <v>-0.138457</v>
      </c>
      <c r="H137" s="16">
        <v>4.6210000000000001E-2</v>
      </c>
      <c r="I137" s="16">
        <v>0.106309</v>
      </c>
      <c r="J137" s="16">
        <v>0.22878199999999999</v>
      </c>
      <c r="K137" s="16">
        <v>0.106309</v>
      </c>
      <c r="L137" s="16">
        <v>0.22878199999999999</v>
      </c>
      <c r="M137" s="16">
        <v>0.107249</v>
      </c>
      <c r="N137" s="16">
        <v>7.478499999999999E-2</v>
      </c>
      <c r="O137" s="16">
        <v>0.23885799999999999</v>
      </c>
      <c r="P137" s="9">
        <v>-0.2366</v>
      </c>
    </row>
    <row r="138" spans="1:16" x14ac:dyDescent="0.25">
      <c r="A138" s="5" t="s">
        <v>62</v>
      </c>
      <c r="B138" s="3" t="s">
        <v>290</v>
      </c>
      <c r="C138" s="3" t="s">
        <v>142</v>
      </c>
      <c r="D138" s="3" t="s">
        <v>143</v>
      </c>
      <c r="E138" s="3" t="s">
        <v>226</v>
      </c>
      <c r="F138" s="3" t="s">
        <v>160</v>
      </c>
      <c r="G138" s="3">
        <v>-5.3855E-2</v>
      </c>
      <c r="H138" s="3">
        <v>2.4512000000000006E-2</v>
      </c>
      <c r="I138" s="3">
        <v>0.109844</v>
      </c>
      <c r="J138" s="3">
        <v>2.9338000000000003E-2</v>
      </c>
      <c r="K138" s="3">
        <v>0.109844</v>
      </c>
      <c r="L138" s="3">
        <v>2.9338000000000003E-2</v>
      </c>
      <c r="M138" s="3">
        <v>-3.1979999999999999E-3</v>
      </c>
      <c r="N138" s="3">
        <v>4.0516999999999997E-2</v>
      </c>
      <c r="O138" s="3">
        <v>0.15859699999999999</v>
      </c>
      <c r="P138" s="8">
        <v>4.8844999999999986E-2</v>
      </c>
    </row>
    <row r="139" spans="1:16" x14ac:dyDescent="0.25">
      <c r="A139" s="6" t="s">
        <v>34</v>
      </c>
      <c r="B139" s="16" t="s">
        <v>288</v>
      </c>
      <c r="C139" s="16" t="s">
        <v>142</v>
      </c>
      <c r="D139" s="16" t="s">
        <v>143</v>
      </c>
      <c r="E139" s="16" t="s">
        <v>226</v>
      </c>
      <c r="F139" s="16" t="s">
        <v>160</v>
      </c>
      <c r="G139" s="16">
        <v>-5.7535000000000003E-2</v>
      </c>
      <c r="H139" s="16">
        <v>2.0832000000000003E-2</v>
      </c>
      <c r="I139" s="16">
        <v>0.105795</v>
      </c>
      <c r="J139" s="16">
        <v>2.5289000000000006E-2</v>
      </c>
      <c r="K139" s="16">
        <v>0.105795</v>
      </c>
      <c r="L139" s="16">
        <v>2.5289000000000006E-2</v>
      </c>
      <c r="M139" s="16">
        <v>-9.1439999999999994E-3</v>
      </c>
      <c r="N139" s="16">
        <v>3.4570999999999998E-2</v>
      </c>
      <c r="O139" s="16">
        <v>0.156198</v>
      </c>
      <c r="P139" s="9">
        <v>4.6446000000000001E-2</v>
      </c>
    </row>
    <row r="140" spans="1:16" x14ac:dyDescent="0.25">
      <c r="A140" s="6" t="s">
        <v>393</v>
      </c>
      <c r="B140" s="16" t="s">
        <v>601</v>
      </c>
      <c r="C140" s="16" t="s">
        <v>142</v>
      </c>
      <c r="D140" s="16" t="s">
        <v>143</v>
      </c>
      <c r="E140" s="16" t="s">
        <v>226</v>
      </c>
      <c r="F140" s="16" t="s">
        <v>144</v>
      </c>
      <c r="G140" s="16">
        <v>-6.1920999999999997E-2</v>
      </c>
      <c r="H140" s="16">
        <v>1.6446000000000009E-2</v>
      </c>
      <c r="I140" s="16">
        <v>7.7053999999999997E-2</v>
      </c>
      <c r="J140" s="16">
        <v>-3.4519999999999967E-3</v>
      </c>
      <c r="K140" s="16">
        <v>7.7053999999999997E-2</v>
      </c>
      <c r="L140" s="16">
        <v>-3.4519999999999967E-3</v>
      </c>
      <c r="M140" s="16">
        <v>-4.3483000000000001E-2</v>
      </c>
      <c r="N140" s="16">
        <v>2.319999999999961E-4</v>
      </c>
      <c r="O140" s="16">
        <v>0.16450600000000001</v>
      </c>
      <c r="P140" s="9">
        <v>5.4754000000000011E-2</v>
      </c>
    </row>
    <row r="141" spans="1:16" x14ac:dyDescent="0.25">
      <c r="A141" s="6" t="s">
        <v>391</v>
      </c>
      <c r="B141" s="16" t="s">
        <v>599</v>
      </c>
      <c r="C141" s="16" t="s">
        <v>142</v>
      </c>
      <c r="D141" s="16" t="s">
        <v>143</v>
      </c>
      <c r="E141" s="16" t="s">
        <v>226</v>
      </c>
      <c r="F141" s="16" t="s">
        <v>144</v>
      </c>
      <c r="G141" s="16">
        <v>-6.2307000000000001E-2</v>
      </c>
      <c r="H141" s="16">
        <v>1.6060000000000005E-2</v>
      </c>
      <c r="I141" s="16">
        <v>7.7768000000000004E-2</v>
      </c>
      <c r="J141" s="16">
        <v>-2.7379999999999904E-3</v>
      </c>
      <c r="K141" s="16">
        <v>7.7768000000000004E-2</v>
      </c>
      <c r="L141" s="16">
        <v>-2.7379999999999904E-3</v>
      </c>
      <c r="M141" s="16">
        <v>-4.0667000000000002E-2</v>
      </c>
      <c r="N141" s="16">
        <v>3.0479999999999952E-3</v>
      </c>
      <c r="O141" s="16">
        <v>0.17103199999999999</v>
      </c>
      <c r="P141" s="9">
        <v>6.1279999999999987E-2</v>
      </c>
    </row>
    <row r="142" spans="1:16" x14ac:dyDescent="0.25">
      <c r="A142" s="6" t="s">
        <v>390</v>
      </c>
      <c r="B142" s="16" t="s">
        <v>600</v>
      </c>
      <c r="C142" s="16" t="s">
        <v>142</v>
      </c>
      <c r="D142" s="16" t="s">
        <v>143</v>
      </c>
      <c r="E142" s="16" t="s">
        <v>226</v>
      </c>
      <c r="F142" s="16" t="s">
        <v>144</v>
      </c>
      <c r="G142" s="16">
        <v>-6.2357999999999997E-2</v>
      </c>
      <c r="H142" s="16">
        <v>1.6009000000000009E-2</v>
      </c>
      <c r="I142" s="16">
        <v>7.7536999999999995E-2</v>
      </c>
      <c r="J142" s="16">
        <v>-2.9689999999999994E-3</v>
      </c>
      <c r="K142" s="16">
        <v>7.7536999999999995E-2</v>
      </c>
      <c r="L142" s="16">
        <v>-2.9689999999999994E-3</v>
      </c>
      <c r="M142" s="16">
        <v>-4.0890999999999997E-2</v>
      </c>
      <c r="N142" s="16">
        <v>2.8240000000000001E-3</v>
      </c>
      <c r="O142" s="16">
        <v>0.17144899999999999</v>
      </c>
      <c r="P142" s="9">
        <v>6.1696999999999988E-2</v>
      </c>
    </row>
    <row r="143" spans="1:16" x14ac:dyDescent="0.25">
      <c r="A143" s="6" t="s">
        <v>389</v>
      </c>
      <c r="B143" s="16" t="s">
        <v>602</v>
      </c>
      <c r="C143" s="16" t="s">
        <v>142</v>
      </c>
      <c r="D143" s="16" t="s">
        <v>143</v>
      </c>
      <c r="E143" s="16" t="s">
        <v>226</v>
      </c>
      <c r="F143" s="16" t="s">
        <v>144</v>
      </c>
      <c r="G143" s="16">
        <v>-6.3300999999999996E-2</v>
      </c>
      <c r="H143" s="16">
        <v>1.506600000000001E-2</v>
      </c>
      <c r="I143" s="16">
        <v>7.4448E-2</v>
      </c>
      <c r="J143" s="16">
        <v>-6.0579999999999939E-3</v>
      </c>
      <c r="K143" s="16">
        <v>7.4448E-2</v>
      </c>
      <c r="L143" s="16">
        <v>-6.0579999999999939E-3</v>
      </c>
      <c r="M143" s="16">
        <v>-5.0448E-2</v>
      </c>
      <c r="N143" s="16">
        <v>-6.7330000000000029E-3</v>
      </c>
      <c r="O143" s="16">
        <v>0.150808</v>
      </c>
      <c r="P143" s="9">
        <v>4.1055999999999995E-2</v>
      </c>
    </row>
    <row r="144" spans="1:16" x14ac:dyDescent="0.25">
      <c r="A144" s="6" t="s">
        <v>376</v>
      </c>
      <c r="B144" s="16" t="s">
        <v>603</v>
      </c>
      <c r="C144" s="16" t="s">
        <v>142</v>
      </c>
      <c r="D144" s="16" t="s">
        <v>143</v>
      </c>
      <c r="E144" s="16" t="s">
        <v>226</v>
      </c>
      <c r="F144" s="16" t="s">
        <v>144</v>
      </c>
      <c r="G144" s="16">
        <v>-6.3301999999999997E-2</v>
      </c>
      <c r="H144" s="16">
        <v>1.5065000000000009E-2</v>
      </c>
      <c r="I144" s="16">
        <v>7.2607000000000005E-2</v>
      </c>
      <c r="J144" s="16">
        <v>-7.8989999999999894E-3</v>
      </c>
      <c r="K144" s="16">
        <v>7.2607000000000005E-2</v>
      </c>
      <c r="L144" s="16">
        <v>-7.8989999999999894E-3</v>
      </c>
      <c r="M144" s="16">
        <v>-0.101981</v>
      </c>
      <c r="N144" s="16">
        <v>-5.8266000000000005E-2</v>
      </c>
      <c r="O144" s="16">
        <v>0.209539</v>
      </c>
      <c r="P144" s="9">
        <v>9.9787000000000001E-2</v>
      </c>
    </row>
    <row r="145" spans="1:16" x14ac:dyDescent="0.25">
      <c r="A145" s="6" t="s">
        <v>75</v>
      </c>
      <c r="B145" s="16" t="s">
        <v>195</v>
      </c>
      <c r="C145" s="16" t="s">
        <v>142</v>
      </c>
      <c r="D145" s="16" t="s">
        <v>143</v>
      </c>
      <c r="E145" s="16" t="s">
        <v>226</v>
      </c>
      <c r="F145" s="16" t="s">
        <v>144</v>
      </c>
      <c r="G145" s="16">
        <v>-6.3818E-2</v>
      </c>
      <c r="H145" s="16">
        <v>1.4549000000000006E-2</v>
      </c>
      <c r="I145" s="16">
        <v>7.1231000000000003E-2</v>
      </c>
      <c r="J145" s="16">
        <v>-9.2749999999999916E-3</v>
      </c>
      <c r="K145" s="16">
        <v>7.1231000000000003E-2</v>
      </c>
      <c r="L145" s="16">
        <v>-9.2749999999999916E-3</v>
      </c>
      <c r="M145" s="16">
        <v>-0.105439</v>
      </c>
      <c r="N145" s="16">
        <v>-6.1724000000000008E-2</v>
      </c>
      <c r="O145" s="16">
        <v>0.202012</v>
      </c>
      <c r="P145" s="9">
        <v>9.2259999999999995E-2</v>
      </c>
    </row>
    <row r="146" spans="1:16" x14ac:dyDescent="0.25">
      <c r="A146" s="6" t="s">
        <v>385</v>
      </c>
      <c r="B146" s="16" t="s">
        <v>597</v>
      </c>
      <c r="C146" s="16" t="s">
        <v>142</v>
      </c>
      <c r="D146" s="16" t="s">
        <v>143</v>
      </c>
      <c r="E146" s="16" t="s">
        <v>226</v>
      </c>
      <c r="F146" s="16" t="s">
        <v>162</v>
      </c>
      <c r="G146" s="16">
        <v>-6.5654000000000004E-2</v>
      </c>
      <c r="H146" s="16">
        <v>1.2713000000000002E-2</v>
      </c>
      <c r="I146" s="16">
        <v>6.8891999999999995E-2</v>
      </c>
      <c r="J146" s="16">
        <v>-1.1613999999999999E-2</v>
      </c>
      <c r="K146" s="16">
        <v>6.8891999999999995E-2</v>
      </c>
      <c r="L146" s="16">
        <v>-1.1613999999999999E-2</v>
      </c>
      <c r="M146" s="16">
        <v>-2.7954E-2</v>
      </c>
      <c r="N146" s="16">
        <v>1.5760999999999997E-2</v>
      </c>
      <c r="O146" s="16">
        <v>0.28027800000000003</v>
      </c>
      <c r="P146" s="9">
        <v>0.17052600000000001</v>
      </c>
    </row>
    <row r="147" spans="1:16" x14ac:dyDescent="0.25">
      <c r="A147" s="6" t="s">
        <v>37</v>
      </c>
      <c r="B147" s="16" t="s">
        <v>289</v>
      </c>
      <c r="C147" s="16" t="s">
        <v>142</v>
      </c>
      <c r="D147" s="16" t="s">
        <v>143</v>
      </c>
      <c r="E147" s="16" t="s">
        <v>226</v>
      </c>
      <c r="F147" s="16" t="s">
        <v>162</v>
      </c>
      <c r="G147" s="16">
        <v>-6.5860000000000002E-2</v>
      </c>
      <c r="H147" s="16">
        <v>1.2507000000000004E-2</v>
      </c>
      <c r="I147" s="16">
        <v>6.7856E-2</v>
      </c>
      <c r="J147" s="16">
        <v>-1.2649999999999995E-2</v>
      </c>
      <c r="K147" s="16">
        <v>6.7856E-2</v>
      </c>
      <c r="L147" s="16">
        <v>-1.2649999999999995E-2</v>
      </c>
      <c r="M147" s="16">
        <v>-3.1123000000000001E-2</v>
      </c>
      <c r="N147" s="16">
        <v>1.2591999999999996E-2</v>
      </c>
      <c r="O147" s="16">
        <v>0.27347300000000002</v>
      </c>
      <c r="P147" s="9">
        <v>0.16372100000000001</v>
      </c>
    </row>
    <row r="148" spans="1:16" x14ac:dyDescent="0.25">
      <c r="A148" s="6" t="s">
        <v>54</v>
      </c>
      <c r="B148" s="16" t="s">
        <v>185</v>
      </c>
      <c r="C148" s="16" t="s">
        <v>142</v>
      </c>
      <c r="D148" s="16" t="s">
        <v>143</v>
      </c>
      <c r="E148" s="16" t="s">
        <v>226</v>
      </c>
      <c r="F148" s="16" t="s">
        <v>186</v>
      </c>
      <c r="G148" s="16">
        <v>-6.8106E-2</v>
      </c>
      <c r="H148" s="16">
        <v>1.0261000000000006E-2</v>
      </c>
      <c r="I148" s="16">
        <v>6.6355999999999998E-2</v>
      </c>
      <c r="J148" s="16">
        <v>-1.4149999999999996E-2</v>
      </c>
      <c r="K148" s="16">
        <v>6.6355999999999998E-2</v>
      </c>
      <c r="L148" s="16">
        <v>-1.4149999999999996E-2</v>
      </c>
      <c r="M148" s="16">
        <v>-9.3589000000000006E-2</v>
      </c>
      <c r="N148" s="16">
        <v>-4.9874000000000009E-2</v>
      </c>
      <c r="O148" s="16">
        <v>4.4595999999999997E-2</v>
      </c>
      <c r="P148" s="9">
        <v>-6.5156000000000006E-2</v>
      </c>
    </row>
    <row r="149" spans="1:16" x14ac:dyDescent="0.25">
      <c r="A149" s="6" t="s">
        <v>65</v>
      </c>
      <c r="B149" s="16" t="s">
        <v>189</v>
      </c>
      <c r="C149" s="16" t="s">
        <v>142</v>
      </c>
      <c r="D149" s="16" t="s">
        <v>143</v>
      </c>
      <c r="E149" s="16" t="s">
        <v>226</v>
      </c>
      <c r="F149" s="16" t="s">
        <v>190</v>
      </c>
      <c r="G149" s="16">
        <v>-7.0640999999999995E-2</v>
      </c>
      <c r="H149" s="16">
        <v>7.7260000000000106E-3</v>
      </c>
      <c r="I149" s="16">
        <v>6.5074999999999994E-2</v>
      </c>
      <c r="J149" s="16">
        <v>-1.5431E-2</v>
      </c>
      <c r="K149" s="16">
        <v>6.5074999999999994E-2</v>
      </c>
      <c r="L149" s="16">
        <v>-1.5431E-2</v>
      </c>
      <c r="M149" s="16">
        <v>-4.8965000000000002E-2</v>
      </c>
      <c r="N149" s="16">
        <v>-5.2500000000000047E-3</v>
      </c>
      <c r="O149" s="16">
        <v>0.11428000000000001</v>
      </c>
      <c r="P149" s="9">
        <v>4.5280000000000042E-3</v>
      </c>
    </row>
    <row r="150" spans="1:16" x14ac:dyDescent="0.25">
      <c r="A150" s="6" t="s">
        <v>23</v>
      </c>
      <c r="B150" s="16" t="s">
        <v>291</v>
      </c>
      <c r="C150" s="16" t="s">
        <v>142</v>
      </c>
      <c r="D150" s="16" t="s">
        <v>143</v>
      </c>
      <c r="E150" s="16" t="s">
        <v>226</v>
      </c>
      <c r="F150" s="16" t="s">
        <v>144</v>
      </c>
      <c r="G150" s="16">
        <v>-7.1140999999999996E-2</v>
      </c>
      <c r="H150" s="16">
        <v>7.2260000000000102E-3</v>
      </c>
      <c r="I150" s="16">
        <v>6.1971999999999999E-2</v>
      </c>
      <c r="J150" s="16">
        <v>-1.8533999999999995E-2</v>
      </c>
      <c r="K150" s="16">
        <v>6.1971999999999999E-2</v>
      </c>
      <c r="L150" s="16">
        <v>-1.8533999999999995E-2</v>
      </c>
      <c r="M150" s="16">
        <v>0.110831</v>
      </c>
      <c r="N150" s="16">
        <v>0.15454599999999999</v>
      </c>
      <c r="O150" s="16">
        <v>0.45285300000000001</v>
      </c>
      <c r="P150" s="9">
        <v>0.34310099999999999</v>
      </c>
    </row>
    <row r="151" spans="1:16" x14ac:dyDescent="0.25">
      <c r="A151" s="6" t="s">
        <v>362</v>
      </c>
      <c r="B151" s="16" t="s">
        <v>596</v>
      </c>
      <c r="C151" s="16" t="s">
        <v>142</v>
      </c>
      <c r="D151" s="16" t="s">
        <v>143</v>
      </c>
      <c r="E151" s="16" t="s">
        <v>226</v>
      </c>
      <c r="F151" s="16" t="s">
        <v>144</v>
      </c>
      <c r="G151" s="16">
        <v>-7.2653999999999996E-2</v>
      </c>
      <c r="H151" s="16">
        <v>5.7130000000000097E-3</v>
      </c>
      <c r="I151" s="16">
        <v>6.4973000000000003E-2</v>
      </c>
      <c r="J151" s="16">
        <v>-1.5532999999999991E-2</v>
      </c>
      <c r="K151" s="16">
        <v>6.4973000000000003E-2</v>
      </c>
      <c r="L151" s="16">
        <v>-1.5532999999999991E-2</v>
      </c>
      <c r="M151" s="16">
        <v>-7.7881000000000006E-2</v>
      </c>
      <c r="N151" s="16">
        <v>-3.4166000000000009E-2</v>
      </c>
      <c r="O151" s="16">
        <v>4.0175000000000002E-2</v>
      </c>
      <c r="P151" s="9">
        <v>-6.9577E-2</v>
      </c>
    </row>
    <row r="152" spans="1:16" x14ac:dyDescent="0.25">
      <c r="A152" s="6" t="s">
        <v>15</v>
      </c>
      <c r="B152" s="16" t="s">
        <v>292</v>
      </c>
      <c r="C152" s="16" t="s">
        <v>142</v>
      </c>
      <c r="D152" s="16" t="s">
        <v>143</v>
      </c>
      <c r="E152" s="16" t="s">
        <v>226</v>
      </c>
      <c r="F152" s="16" t="s">
        <v>144</v>
      </c>
      <c r="G152" s="16">
        <v>-7.3911000000000004E-2</v>
      </c>
      <c r="H152" s="16">
        <v>4.4560000000000016E-3</v>
      </c>
      <c r="I152" s="16">
        <v>6.7998000000000003E-2</v>
      </c>
      <c r="J152" s="16">
        <v>-1.2507999999999991E-2</v>
      </c>
      <c r="K152" s="16">
        <v>6.7998000000000003E-2</v>
      </c>
      <c r="L152" s="16">
        <v>-1.2507999999999991E-2</v>
      </c>
      <c r="M152" s="16">
        <v>-6.5208000000000002E-2</v>
      </c>
      <c r="N152" s="16">
        <v>-2.1493000000000005E-2</v>
      </c>
      <c r="O152" s="16">
        <v>6.7942000000000002E-2</v>
      </c>
      <c r="P152" s="9">
        <v>-4.181E-2</v>
      </c>
    </row>
    <row r="153" spans="1:16" x14ac:dyDescent="0.25">
      <c r="A153" s="6" t="s">
        <v>438</v>
      </c>
      <c r="B153" s="16" t="s">
        <v>598</v>
      </c>
      <c r="C153" s="16" t="s">
        <v>142</v>
      </c>
      <c r="D153" s="16" t="s">
        <v>143</v>
      </c>
      <c r="E153" s="16" t="s">
        <v>226</v>
      </c>
      <c r="F153" s="16" t="s">
        <v>144</v>
      </c>
      <c r="G153" s="16">
        <v>-7.7399999999999997E-2</v>
      </c>
      <c r="H153" s="16">
        <v>9.6700000000000952E-4</v>
      </c>
      <c r="I153" s="16">
        <v>-1.1227000000000001E-2</v>
      </c>
      <c r="J153" s="16">
        <v>-9.1732999999999995E-2</v>
      </c>
      <c r="K153" s="16">
        <v>-1.1227000000000001E-2</v>
      </c>
      <c r="L153" s="16">
        <v>-9.1732999999999995E-2</v>
      </c>
      <c r="M153" s="16">
        <v>-0.17354700000000001</v>
      </c>
      <c r="N153" s="16">
        <v>-0.129832</v>
      </c>
      <c r="O153" s="16">
        <v>-9.9311999999999998E-2</v>
      </c>
      <c r="P153" s="9">
        <v>-0.209064</v>
      </c>
    </row>
    <row r="154" spans="1:16" x14ac:dyDescent="0.25">
      <c r="A154" s="6" t="s">
        <v>398</v>
      </c>
      <c r="B154" s="16" t="s">
        <v>595</v>
      </c>
      <c r="C154" s="16" t="s">
        <v>142</v>
      </c>
      <c r="D154" s="16" t="s">
        <v>143</v>
      </c>
      <c r="E154" s="16" t="s">
        <v>226</v>
      </c>
      <c r="F154" s="16" t="s">
        <v>144</v>
      </c>
      <c r="G154" s="16">
        <v>-0.10566</v>
      </c>
      <c r="H154" s="16">
        <v>-2.7292999999999998E-2</v>
      </c>
      <c r="I154" s="16">
        <v>-8.2581000000000002E-2</v>
      </c>
      <c r="J154" s="16">
        <v>-0.16308699999999998</v>
      </c>
      <c r="K154" s="16">
        <v>-8.2581000000000002E-2</v>
      </c>
      <c r="L154" s="16">
        <v>-0.16308699999999998</v>
      </c>
      <c r="M154" s="16">
        <v>-0.29324099999999997</v>
      </c>
      <c r="N154" s="16">
        <v>-0.24952599999999997</v>
      </c>
      <c r="O154" s="16">
        <v>-0.23485600000000001</v>
      </c>
      <c r="P154" s="9">
        <v>-0.34460800000000003</v>
      </c>
    </row>
    <row r="155" spans="1:16" x14ac:dyDescent="0.25">
      <c r="A155" s="5" t="s">
        <v>77</v>
      </c>
      <c r="B155" s="3" t="s">
        <v>283</v>
      </c>
      <c r="C155" s="3" t="s">
        <v>776</v>
      </c>
      <c r="D155" s="3" t="s">
        <v>777</v>
      </c>
      <c r="E155" s="3" t="s">
        <v>778</v>
      </c>
      <c r="F155" s="3" t="s">
        <v>198</v>
      </c>
      <c r="G155" s="3">
        <v>-4.2173000000000002E-2</v>
      </c>
      <c r="H155" s="3">
        <v>-8.4660000000000013E-3</v>
      </c>
      <c r="I155" s="3">
        <v>2.5961999999999999E-2</v>
      </c>
      <c r="J155" s="3">
        <v>-6.0809000000000002E-2</v>
      </c>
      <c r="K155" s="3">
        <v>2.5961999999999999E-2</v>
      </c>
      <c r="L155" s="3">
        <v>-6.0809000000000002E-2</v>
      </c>
      <c r="M155" s="3">
        <v>-0.14052700000000001</v>
      </c>
      <c r="N155" s="3">
        <v>-0.16531900000000002</v>
      </c>
      <c r="O155" s="3">
        <v>0.30925399999999997</v>
      </c>
      <c r="P155" s="8">
        <v>-6.8610000000000004E-2</v>
      </c>
    </row>
    <row r="156" spans="1:16" x14ac:dyDescent="0.25">
      <c r="A156" s="5" t="s">
        <v>493</v>
      </c>
      <c r="B156" s="3" t="s">
        <v>691</v>
      </c>
      <c r="C156" s="3" t="s">
        <v>782</v>
      </c>
      <c r="D156" s="3" t="s">
        <v>780</v>
      </c>
      <c r="E156" s="3" t="s">
        <v>781</v>
      </c>
      <c r="F156" s="3" t="s">
        <v>162</v>
      </c>
      <c r="G156" s="3">
        <v>-2.2658000000000001E-2</v>
      </c>
      <c r="H156" s="3">
        <v>-1.2770000000000002E-2</v>
      </c>
      <c r="I156" s="3">
        <v>0.13389699999999999</v>
      </c>
      <c r="J156" s="3">
        <v>-4.0989999999999999E-2</v>
      </c>
      <c r="K156" s="3">
        <v>0.13389699999999999</v>
      </c>
      <c r="L156" s="3">
        <v>-4.0989999999999999E-2</v>
      </c>
      <c r="M156" s="3">
        <v>8.3360000000000004E-2</v>
      </c>
      <c r="N156" s="3">
        <v>-8.8715000000000002E-2</v>
      </c>
      <c r="O156" s="3">
        <v>0.49991999999999998</v>
      </c>
      <c r="P156" s="8">
        <v>-0.11526500000000001</v>
      </c>
    </row>
    <row r="157" spans="1:16" x14ac:dyDescent="0.25">
      <c r="A157" s="6" t="s">
        <v>330</v>
      </c>
      <c r="B157" s="16" t="s">
        <v>589</v>
      </c>
      <c r="C157" s="16" t="s">
        <v>783</v>
      </c>
      <c r="D157" s="16" t="s">
        <v>780</v>
      </c>
      <c r="E157" s="16" t="s">
        <v>781</v>
      </c>
      <c r="F157" s="16" t="s">
        <v>123</v>
      </c>
      <c r="G157" s="16">
        <v>-3.2375000000000001E-2</v>
      </c>
      <c r="H157" s="16">
        <v>-2.2487E-2</v>
      </c>
      <c r="I157" s="16">
        <v>0.10437399999999999</v>
      </c>
      <c r="J157" s="16">
        <v>-7.0512999999999992E-2</v>
      </c>
      <c r="K157" s="16">
        <v>0.10437399999999999</v>
      </c>
      <c r="L157" s="16">
        <v>-7.0512999999999992E-2</v>
      </c>
      <c r="M157" s="16">
        <v>0.11004899999999999</v>
      </c>
      <c r="N157" s="16">
        <v>-6.2026000000000012E-2</v>
      </c>
      <c r="O157" s="16">
        <v>0.46654200000000001</v>
      </c>
      <c r="P157" s="9">
        <v>-0.14864299999999997</v>
      </c>
    </row>
    <row r="158" spans="1:16" x14ac:dyDescent="0.25">
      <c r="A158" s="6" t="s">
        <v>487</v>
      </c>
      <c r="B158" s="16" t="s">
        <v>688</v>
      </c>
      <c r="C158" s="16" t="s">
        <v>779</v>
      </c>
      <c r="D158" s="16" t="s">
        <v>780</v>
      </c>
      <c r="E158" s="16" t="s">
        <v>781</v>
      </c>
      <c r="F158" s="16" t="s">
        <v>689</v>
      </c>
      <c r="G158" s="16">
        <v>-4.4148E-2</v>
      </c>
      <c r="H158" s="16">
        <v>-3.4259999999999999E-2</v>
      </c>
      <c r="I158" s="16">
        <v>0.13610900000000001</v>
      </c>
      <c r="J158" s="16">
        <v>-3.8777999999999979E-2</v>
      </c>
      <c r="K158" s="16">
        <v>0.13610900000000001</v>
      </c>
      <c r="L158" s="16">
        <v>-3.8777999999999979E-2</v>
      </c>
      <c r="M158" s="16">
        <v>0.21303</v>
      </c>
      <c r="N158" s="16">
        <v>4.0954999999999991E-2</v>
      </c>
      <c r="O158" s="16">
        <v>0.77217899999999995</v>
      </c>
      <c r="P158" s="9">
        <v>0.15699399999999997</v>
      </c>
    </row>
    <row r="159" spans="1:16" x14ac:dyDescent="0.25">
      <c r="A159" s="5" t="s">
        <v>495</v>
      </c>
      <c r="B159" s="3" t="s">
        <v>686</v>
      </c>
      <c r="C159" s="3" t="s">
        <v>784</v>
      </c>
      <c r="D159" s="3" t="s">
        <v>785</v>
      </c>
      <c r="E159" s="3" t="s">
        <v>786</v>
      </c>
      <c r="F159" s="3" t="s">
        <v>687</v>
      </c>
      <c r="G159" s="3">
        <v>-7.6247999999999996E-2</v>
      </c>
      <c r="H159" s="3">
        <v>3.1300000000000772E-4</v>
      </c>
      <c r="I159" s="3">
        <v>4.0989999999999999E-2</v>
      </c>
      <c r="J159" s="3">
        <v>7.413999999999997E-3</v>
      </c>
      <c r="K159" s="3">
        <v>4.0989999999999999E-2</v>
      </c>
      <c r="L159" s="3">
        <v>7.413999999999997E-3</v>
      </c>
      <c r="M159" s="3">
        <v>-0.16464899999999999</v>
      </c>
      <c r="N159" s="3">
        <v>-0.121308</v>
      </c>
      <c r="O159" s="3">
        <v>9.8445000000000005E-2</v>
      </c>
      <c r="P159" s="8">
        <v>-0.13573199999999999</v>
      </c>
    </row>
    <row r="160" spans="1:16" x14ac:dyDescent="0.25">
      <c r="A160" s="5" t="s">
        <v>402</v>
      </c>
      <c r="B160" s="3" t="s">
        <v>593</v>
      </c>
      <c r="C160" s="3" t="s">
        <v>791</v>
      </c>
      <c r="D160" s="3" t="s">
        <v>788</v>
      </c>
      <c r="E160" s="3" t="s">
        <v>789</v>
      </c>
      <c r="F160" s="3" t="s">
        <v>149</v>
      </c>
      <c r="G160" s="3">
        <v>-5.9875999999999999E-2</v>
      </c>
      <c r="H160" s="3">
        <v>1.6105000000000008E-2</v>
      </c>
      <c r="I160" s="3">
        <v>3.9357000000000003E-2</v>
      </c>
      <c r="J160" s="3">
        <v>-1.5983999999999998E-2</v>
      </c>
      <c r="K160" s="3">
        <v>3.9357000000000003E-2</v>
      </c>
      <c r="L160" s="3">
        <v>-1.5983999999999998E-2</v>
      </c>
      <c r="M160" s="3">
        <v>3.3054E-2</v>
      </c>
      <c r="N160" s="3">
        <v>8.1729999999999997E-3</v>
      </c>
      <c r="O160" s="3">
        <v>0.27213100000000001</v>
      </c>
      <c r="P160" s="8">
        <v>4.9350000000000005E-2</v>
      </c>
    </row>
    <row r="161" spans="1:16" x14ac:dyDescent="0.25">
      <c r="A161" s="6" t="s">
        <v>372</v>
      </c>
      <c r="B161" s="16" t="s">
        <v>592</v>
      </c>
      <c r="C161" s="16" t="s">
        <v>793</v>
      </c>
      <c r="D161" s="16" t="s">
        <v>788</v>
      </c>
      <c r="E161" s="16" t="s">
        <v>789</v>
      </c>
      <c r="F161" s="16" t="s">
        <v>124</v>
      </c>
      <c r="G161" s="16">
        <v>-6.1851999999999997E-2</v>
      </c>
      <c r="H161" s="16">
        <v>1.412900000000001E-2</v>
      </c>
      <c r="I161" s="16">
        <v>0.10939599999999999</v>
      </c>
      <c r="J161" s="16">
        <v>5.4054999999999992E-2</v>
      </c>
      <c r="K161" s="16">
        <v>0.10939599999999999</v>
      </c>
      <c r="L161" s="16">
        <v>5.4054999999999992E-2</v>
      </c>
      <c r="M161" s="16">
        <v>-4.8077000000000002E-2</v>
      </c>
      <c r="N161" s="16">
        <v>-7.2957999999999995E-2</v>
      </c>
      <c r="O161" s="16">
        <v>0.28400500000000001</v>
      </c>
      <c r="P161" s="9">
        <v>6.1224000000000001E-2</v>
      </c>
    </row>
    <row r="162" spans="1:16" x14ac:dyDescent="0.25">
      <c r="A162" s="6" t="s">
        <v>22</v>
      </c>
      <c r="B162" s="16" t="s">
        <v>286</v>
      </c>
      <c r="C162" s="16" t="s">
        <v>790</v>
      </c>
      <c r="D162" s="16" t="s">
        <v>788</v>
      </c>
      <c r="E162" s="16" t="s">
        <v>789</v>
      </c>
      <c r="F162" s="16" t="s">
        <v>150</v>
      </c>
      <c r="G162" s="16">
        <v>-6.2506000000000006E-2</v>
      </c>
      <c r="H162" s="16">
        <v>1.3475000000000001E-2</v>
      </c>
      <c r="I162" s="16">
        <v>4.8673000000000001E-2</v>
      </c>
      <c r="J162" s="16">
        <v>-6.6680000000000003E-3</v>
      </c>
      <c r="K162" s="16">
        <v>4.8673000000000001E-2</v>
      </c>
      <c r="L162" s="16">
        <v>-6.6680000000000003E-3</v>
      </c>
      <c r="M162" s="16">
        <v>0.146172</v>
      </c>
      <c r="N162" s="16">
        <v>0.121291</v>
      </c>
      <c r="O162" s="16">
        <v>0.27146300000000001</v>
      </c>
      <c r="P162" s="9">
        <v>4.8682000000000003E-2</v>
      </c>
    </row>
    <row r="163" spans="1:16" x14ac:dyDescent="0.25">
      <c r="A163" s="6" t="s">
        <v>43</v>
      </c>
      <c r="B163" s="16" t="s">
        <v>282</v>
      </c>
      <c r="C163" s="16" t="s">
        <v>790</v>
      </c>
      <c r="D163" s="16" t="s">
        <v>788</v>
      </c>
      <c r="E163" s="16" t="s">
        <v>789</v>
      </c>
      <c r="F163" s="16" t="s">
        <v>171</v>
      </c>
      <c r="G163" s="16">
        <v>-7.4021000000000003E-2</v>
      </c>
      <c r="H163" s="16">
        <v>1.9600000000000034E-3</v>
      </c>
      <c r="I163" s="16">
        <v>-2.5942E-2</v>
      </c>
      <c r="J163" s="16">
        <v>-8.1282999999999994E-2</v>
      </c>
      <c r="K163" s="16">
        <v>-2.5942E-2</v>
      </c>
      <c r="L163" s="16">
        <v>-8.1282999999999994E-2</v>
      </c>
      <c r="M163" s="16">
        <v>6.6755999999999996E-2</v>
      </c>
      <c r="N163" s="16">
        <v>4.1874999999999996E-2</v>
      </c>
      <c r="O163" s="16">
        <v>0.27582800000000002</v>
      </c>
      <c r="P163" s="9">
        <v>5.3047000000000011E-2</v>
      </c>
    </row>
    <row r="164" spans="1:16" x14ac:dyDescent="0.25">
      <c r="A164" s="6" t="s">
        <v>356</v>
      </c>
      <c r="B164" s="16" t="s">
        <v>588</v>
      </c>
      <c r="C164" s="16" t="s">
        <v>790</v>
      </c>
      <c r="D164" s="16" t="s">
        <v>788</v>
      </c>
      <c r="E164" s="16" t="s">
        <v>789</v>
      </c>
      <c r="F164" s="16" t="s">
        <v>149</v>
      </c>
      <c r="G164" s="16">
        <v>-7.4715000000000004E-2</v>
      </c>
      <c r="H164" s="16">
        <v>1.2660000000000032E-3</v>
      </c>
      <c r="I164" s="16">
        <v>4.3424999999999998E-2</v>
      </c>
      <c r="J164" s="16">
        <v>-1.1916000000000003E-2</v>
      </c>
      <c r="K164" s="16">
        <v>4.3424999999999998E-2</v>
      </c>
      <c r="L164" s="16">
        <v>-1.1916000000000003E-2</v>
      </c>
      <c r="M164" s="16">
        <v>4.7233999999999998E-2</v>
      </c>
      <c r="N164" s="16">
        <v>2.2352999999999998E-2</v>
      </c>
      <c r="O164" s="16">
        <v>0.288323</v>
      </c>
      <c r="P164" s="9">
        <v>6.5541999999999989E-2</v>
      </c>
    </row>
    <row r="165" spans="1:16" x14ac:dyDescent="0.25">
      <c r="A165" s="6" t="s">
        <v>363</v>
      </c>
      <c r="B165" s="16" t="s">
        <v>585</v>
      </c>
      <c r="C165" s="16" t="s">
        <v>791</v>
      </c>
      <c r="D165" s="16" t="s">
        <v>788</v>
      </c>
      <c r="E165" s="16" t="s">
        <v>789</v>
      </c>
      <c r="F165" s="16" t="s">
        <v>124</v>
      </c>
      <c r="G165" s="16">
        <v>-8.3557999999999993E-2</v>
      </c>
      <c r="H165" s="16">
        <v>-7.5769999999999865E-3</v>
      </c>
      <c r="I165" s="16">
        <v>3.5101E-2</v>
      </c>
      <c r="J165" s="16">
        <v>-2.0240000000000001E-2</v>
      </c>
      <c r="K165" s="16">
        <v>3.5101E-2</v>
      </c>
      <c r="L165" s="16">
        <v>-2.0240000000000001E-2</v>
      </c>
      <c r="M165" s="16">
        <v>4.9657E-2</v>
      </c>
      <c r="N165" s="16">
        <v>2.4775999999999999E-2</v>
      </c>
      <c r="O165" s="16">
        <v>0.25873699999999999</v>
      </c>
      <c r="P165" s="9">
        <v>3.5955999999999988E-2</v>
      </c>
    </row>
    <row r="166" spans="1:16" x14ac:dyDescent="0.25">
      <c r="A166" s="6" t="s">
        <v>7</v>
      </c>
      <c r="B166" s="16" t="s">
        <v>281</v>
      </c>
      <c r="C166" s="16" t="s">
        <v>791</v>
      </c>
      <c r="D166" s="16" t="s">
        <v>788</v>
      </c>
      <c r="E166" s="16" t="s">
        <v>789</v>
      </c>
      <c r="F166" s="16" t="s">
        <v>124</v>
      </c>
      <c r="G166" s="16">
        <v>-8.3784999999999998E-2</v>
      </c>
      <c r="H166" s="16">
        <v>-7.8039999999999915E-3</v>
      </c>
      <c r="I166" s="16">
        <v>3.7081999999999997E-2</v>
      </c>
      <c r="J166" s="16">
        <v>-1.8259000000000004E-2</v>
      </c>
      <c r="K166" s="16">
        <v>3.7081999999999997E-2</v>
      </c>
      <c r="L166" s="16">
        <v>-1.8259000000000004E-2</v>
      </c>
      <c r="M166" s="16">
        <v>5.2263999999999998E-2</v>
      </c>
      <c r="N166" s="16">
        <v>2.7382999999999998E-2</v>
      </c>
      <c r="O166" s="16">
        <v>0.26852599999999999</v>
      </c>
      <c r="P166" s="9">
        <v>4.574499999999998E-2</v>
      </c>
    </row>
    <row r="167" spans="1:16" x14ac:dyDescent="0.25">
      <c r="A167" s="6" t="s">
        <v>481</v>
      </c>
      <c r="B167" s="16" t="s">
        <v>690</v>
      </c>
      <c r="C167" s="16" t="s">
        <v>791</v>
      </c>
      <c r="D167" s="16" t="s">
        <v>788</v>
      </c>
      <c r="E167" s="16" t="s">
        <v>789</v>
      </c>
      <c r="F167" s="16" t="s">
        <v>124</v>
      </c>
      <c r="G167" s="16">
        <v>-8.4482000000000002E-2</v>
      </c>
      <c r="H167" s="16">
        <v>-8.5009999999999947E-3</v>
      </c>
      <c r="I167" s="16">
        <v>3.1819E-2</v>
      </c>
      <c r="J167" s="16">
        <v>-2.3522000000000001E-2</v>
      </c>
      <c r="K167" s="16">
        <v>3.1819E-2</v>
      </c>
      <c r="L167" s="16">
        <v>-2.3522000000000001E-2</v>
      </c>
      <c r="M167" s="16">
        <v>4.8619999999999997E-2</v>
      </c>
      <c r="N167" s="16">
        <v>2.3738999999999996E-2</v>
      </c>
      <c r="O167" s="16">
        <v>0.289682</v>
      </c>
      <c r="P167" s="9">
        <v>6.6900999999999988E-2</v>
      </c>
    </row>
    <row r="168" spans="1:16" x14ac:dyDescent="0.25">
      <c r="A168" s="6" t="s">
        <v>359</v>
      </c>
      <c r="B168" s="16" t="s">
        <v>590</v>
      </c>
      <c r="C168" s="16" t="s">
        <v>793</v>
      </c>
      <c r="D168" s="16" t="s">
        <v>788</v>
      </c>
      <c r="E168" s="16" t="s">
        <v>789</v>
      </c>
      <c r="F168" s="16" t="s">
        <v>591</v>
      </c>
      <c r="G168" s="16">
        <v>-8.9900999999999995E-2</v>
      </c>
      <c r="H168" s="16">
        <v>-1.3919999999999988E-2</v>
      </c>
      <c r="I168" s="16">
        <v>-3.3799999999999998E-4</v>
      </c>
      <c r="J168" s="16">
        <v>-5.5678999999999999E-2</v>
      </c>
      <c r="K168" s="16">
        <v>-3.3799999999999998E-4</v>
      </c>
      <c r="L168" s="16">
        <v>-5.5678999999999999E-2</v>
      </c>
      <c r="M168" s="16">
        <v>-1.5545E-2</v>
      </c>
      <c r="N168" s="16">
        <v>-4.0426000000000004E-2</v>
      </c>
      <c r="O168" s="16">
        <v>0.26529399999999997</v>
      </c>
      <c r="P168" s="9">
        <v>4.2512999999999967E-2</v>
      </c>
    </row>
    <row r="169" spans="1:16" x14ac:dyDescent="0.25">
      <c r="A169" s="6" t="s">
        <v>366</v>
      </c>
      <c r="B169" s="16" t="s">
        <v>583</v>
      </c>
      <c r="C169" s="16" t="s">
        <v>787</v>
      </c>
      <c r="D169" s="16" t="s">
        <v>788</v>
      </c>
      <c r="E169" s="16" t="s">
        <v>789</v>
      </c>
      <c r="F169" s="16" t="s">
        <v>124</v>
      </c>
      <c r="G169" s="16">
        <v>-9.0811000000000003E-2</v>
      </c>
      <c r="H169" s="16">
        <v>-1.4829999999999996E-2</v>
      </c>
      <c r="I169" s="16">
        <v>1.7395000000000001E-2</v>
      </c>
      <c r="J169" s="16">
        <v>-3.7946000000000001E-2</v>
      </c>
      <c r="K169" s="16">
        <v>1.7395000000000001E-2</v>
      </c>
      <c r="L169" s="16">
        <v>-3.7946000000000001E-2</v>
      </c>
      <c r="M169" s="16">
        <v>-6.6239999999999997E-3</v>
      </c>
      <c r="N169" s="16">
        <v>-3.1504999999999998E-2</v>
      </c>
      <c r="O169" s="16">
        <v>0.18704999999999999</v>
      </c>
      <c r="P169" s="9">
        <v>-3.5731000000000013E-2</v>
      </c>
    </row>
    <row r="170" spans="1:16" x14ac:dyDescent="0.25">
      <c r="A170" s="6" t="s">
        <v>452</v>
      </c>
      <c r="B170" s="16" t="s">
        <v>584</v>
      </c>
      <c r="C170" s="16" t="s">
        <v>791</v>
      </c>
      <c r="D170" s="16" t="s">
        <v>788</v>
      </c>
      <c r="E170" s="16" t="s">
        <v>789</v>
      </c>
      <c r="F170" s="16" t="s">
        <v>124</v>
      </c>
      <c r="G170" s="16">
        <v>-9.6808000000000005E-2</v>
      </c>
      <c r="H170" s="16">
        <v>-2.0826999999999998E-2</v>
      </c>
      <c r="I170" s="16">
        <v>5.0380000000000001E-2</v>
      </c>
      <c r="J170" s="16">
        <v>-4.9610000000000001E-3</v>
      </c>
      <c r="K170" s="16">
        <v>5.0380000000000001E-2</v>
      </c>
      <c r="L170" s="16">
        <v>-4.9610000000000001E-3</v>
      </c>
      <c r="M170" s="16">
        <v>2.997E-2</v>
      </c>
      <c r="N170" s="16">
        <v>5.0889999999999998E-3</v>
      </c>
      <c r="O170" s="16">
        <v>0.268673</v>
      </c>
      <c r="P170" s="9">
        <v>4.5891999999999988E-2</v>
      </c>
    </row>
    <row r="171" spans="1:16" x14ac:dyDescent="0.25">
      <c r="A171" s="6" t="s">
        <v>439</v>
      </c>
      <c r="B171" s="16" t="s">
        <v>586</v>
      </c>
      <c r="C171" s="16" t="s">
        <v>792</v>
      </c>
      <c r="D171" s="16" t="s">
        <v>788</v>
      </c>
      <c r="E171" s="16" t="s">
        <v>789</v>
      </c>
      <c r="F171" s="16" t="s">
        <v>149</v>
      </c>
      <c r="G171" s="16">
        <v>-0.101863</v>
      </c>
      <c r="H171" s="16">
        <v>-2.5881999999999988E-2</v>
      </c>
      <c r="I171" s="16">
        <v>-1.4068000000000001E-2</v>
      </c>
      <c r="J171" s="16">
        <v>-6.9408999999999998E-2</v>
      </c>
      <c r="K171" s="16">
        <v>-1.4068000000000001E-2</v>
      </c>
      <c r="L171" s="16">
        <v>-6.9408999999999998E-2</v>
      </c>
      <c r="M171" s="16">
        <v>-0.12770599999999999</v>
      </c>
      <c r="N171" s="16">
        <v>-0.15258699999999997</v>
      </c>
      <c r="O171" s="16">
        <v>0.18507699999999999</v>
      </c>
      <c r="P171" s="9">
        <v>-3.7704000000000015E-2</v>
      </c>
    </row>
    <row r="172" spans="1:16" x14ac:dyDescent="0.25">
      <c r="A172" s="6" t="s">
        <v>440</v>
      </c>
      <c r="B172" s="16" t="s">
        <v>587</v>
      </c>
      <c r="C172" s="16" t="s">
        <v>792</v>
      </c>
      <c r="D172" s="16" t="s">
        <v>788</v>
      </c>
      <c r="E172" s="16" t="s">
        <v>789</v>
      </c>
      <c r="F172" s="16" t="s">
        <v>149</v>
      </c>
      <c r="G172" s="16">
        <v>-0.101894</v>
      </c>
      <c r="H172" s="16">
        <v>-2.5912999999999992E-2</v>
      </c>
      <c r="I172" s="16">
        <v>-1.4956000000000001E-2</v>
      </c>
      <c r="J172" s="16">
        <v>-7.0296999999999998E-2</v>
      </c>
      <c r="K172" s="16">
        <v>-1.4956000000000001E-2</v>
      </c>
      <c r="L172" s="16">
        <v>-7.0296999999999998E-2</v>
      </c>
      <c r="M172" s="16">
        <v>-0.13127</v>
      </c>
      <c r="N172" s="16">
        <v>-0.15615099999999998</v>
      </c>
      <c r="O172" s="16">
        <v>0.176672</v>
      </c>
      <c r="P172" s="9">
        <v>-4.6109000000000011E-2</v>
      </c>
    </row>
    <row r="173" spans="1:16" x14ac:dyDescent="0.25">
      <c r="A173" s="6" t="s">
        <v>21</v>
      </c>
      <c r="B173" s="16" t="s">
        <v>285</v>
      </c>
      <c r="C173" s="16" t="s">
        <v>793</v>
      </c>
      <c r="D173" s="16" t="s">
        <v>788</v>
      </c>
      <c r="E173" s="16" t="s">
        <v>789</v>
      </c>
      <c r="F173" s="16" t="s">
        <v>149</v>
      </c>
      <c r="G173" s="16">
        <v>-0.10338</v>
      </c>
      <c r="H173" s="16">
        <v>-2.7398999999999993E-2</v>
      </c>
      <c r="I173" s="16">
        <v>5.1865000000000001E-2</v>
      </c>
      <c r="J173" s="16">
        <v>-3.4759999999999999E-3</v>
      </c>
      <c r="K173" s="16">
        <v>5.1865000000000001E-2</v>
      </c>
      <c r="L173" s="16">
        <v>-3.4759999999999999E-3</v>
      </c>
      <c r="M173" s="16">
        <v>0.14229</v>
      </c>
      <c r="N173" s="16">
        <v>0.117409</v>
      </c>
      <c r="O173" s="16">
        <v>0.48752099999999998</v>
      </c>
      <c r="P173" s="9">
        <v>0.26473999999999998</v>
      </c>
    </row>
    <row r="174" spans="1:16" x14ac:dyDescent="0.25">
      <c r="A174" s="6" t="s">
        <v>35</v>
      </c>
      <c r="B174" s="16" t="s">
        <v>284</v>
      </c>
      <c r="C174" s="16" t="s">
        <v>793</v>
      </c>
      <c r="D174" s="16" t="s">
        <v>788</v>
      </c>
      <c r="E174" s="16" t="s">
        <v>789</v>
      </c>
      <c r="F174" s="16" t="s">
        <v>149</v>
      </c>
      <c r="G174" s="16">
        <v>-0.10389</v>
      </c>
      <c r="H174" s="16">
        <v>-2.7908999999999989E-2</v>
      </c>
      <c r="I174" s="16">
        <v>5.0456000000000001E-2</v>
      </c>
      <c r="J174" s="16">
        <v>-4.8850000000000005E-3</v>
      </c>
      <c r="K174" s="16">
        <v>5.0456000000000001E-2</v>
      </c>
      <c r="L174" s="16">
        <v>-4.8850000000000005E-3</v>
      </c>
      <c r="M174" s="16">
        <v>0.13816300000000001</v>
      </c>
      <c r="N174" s="16">
        <v>0.11328200000000001</v>
      </c>
      <c r="O174" s="16">
        <v>0.47853099999999998</v>
      </c>
      <c r="P174" s="9">
        <v>0.25574999999999998</v>
      </c>
    </row>
    <row r="175" spans="1:16" x14ac:dyDescent="0.25">
      <c r="A175" s="5" t="s">
        <v>429</v>
      </c>
      <c r="B175" s="3" t="s">
        <v>581</v>
      </c>
      <c r="C175" s="3" t="s">
        <v>794</v>
      </c>
      <c r="D175" s="3" t="s">
        <v>795</v>
      </c>
      <c r="E175" s="3" t="s">
        <v>796</v>
      </c>
      <c r="F175" s="3" t="s">
        <v>121</v>
      </c>
      <c r="G175" s="3">
        <v>4.7051999999999997E-2</v>
      </c>
      <c r="H175" s="3">
        <v>3.6451999999999998E-2</v>
      </c>
      <c r="I175" s="3">
        <v>0.135078</v>
      </c>
      <c r="J175" s="3">
        <v>1.0464000000000001E-2</v>
      </c>
      <c r="K175" s="3">
        <v>0.135078</v>
      </c>
      <c r="L175" s="3">
        <v>1.0464000000000001E-2</v>
      </c>
      <c r="M175" s="3">
        <v>0.214528</v>
      </c>
      <c r="N175" s="3">
        <v>5.7179000000000008E-2</v>
      </c>
      <c r="O175" s="3">
        <v>0.412688</v>
      </c>
      <c r="P175" s="8">
        <v>3.154800000000002E-2</v>
      </c>
    </row>
    <row r="176" spans="1:16" x14ac:dyDescent="0.25">
      <c r="A176" s="6" t="s">
        <v>436</v>
      </c>
      <c r="B176" s="16" t="s">
        <v>569</v>
      </c>
      <c r="C176" s="16" t="s">
        <v>794</v>
      </c>
      <c r="D176" s="16" t="s">
        <v>795</v>
      </c>
      <c r="E176" s="16" t="s">
        <v>796</v>
      </c>
      <c r="F176" s="16" t="s">
        <v>558</v>
      </c>
      <c r="G176" s="16">
        <v>4.1444000000000002E-2</v>
      </c>
      <c r="H176" s="16">
        <v>3.0844000000000003E-2</v>
      </c>
      <c r="I176" s="16">
        <v>0.20526900000000001</v>
      </c>
      <c r="J176" s="16">
        <v>8.0655000000000004E-2</v>
      </c>
      <c r="K176" s="16">
        <v>0.20526900000000001</v>
      </c>
      <c r="L176" s="16">
        <v>8.0655000000000004E-2</v>
      </c>
      <c r="M176" s="16">
        <v>0.272482</v>
      </c>
      <c r="N176" s="16">
        <v>0.11513300000000001</v>
      </c>
      <c r="O176" s="16">
        <v>0.67745299999999997</v>
      </c>
      <c r="P176" s="9">
        <v>0.29631299999999999</v>
      </c>
    </row>
    <row r="177" spans="1:16" x14ac:dyDescent="0.25">
      <c r="A177" s="6" t="s">
        <v>97</v>
      </c>
      <c r="B177" s="16" t="s">
        <v>280</v>
      </c>
      <c r="C177" s="16" t="s">
        <v>794</v>
      </c>
      <c r="D177" s="16" t="s">
        <v>795</v>
      </c>
      <c r="E177" s="16" t="s">
        <v>796</v>
      </c>
      <c r="F177" s="16" t="s">
        <v>112</v>
      </c>
      <c r="G177" s="16">
        <v>2.7300000000000002E-4</v>
      </c>
      <c r="H177" s="16">
        <v>-1.0326999999999999E-2</v>
      </c>
      <c r="I177" s="16">
        <v>0.18661800000000001</v>
      </c>
      <c r="J177" s="16">
        <v>6.2004000000000004E-2</v>
      </c>
      <c r="K177" s="16">
        <v>0.18661800000000001</v>
      </c>
      <c r="L177" s="16">
        <v>6.2004000000000004E-2</v>
      </c>
      <c r="M177" s="16">
        <v>0.20208300000000001</v>
      </c>
      <c r="N177" s="16">
        <v>4.4734000000000024E-2</v>
      </c>
      <c r="O177" s="16">
        <v>0.45791100000000001</v>
      </c>
      <c r="P177" s="9">
        <v>7.6771000000000034E-2</v>
      </c>
    </row>
    <row r="178" spans="1:16" x14ac:dyDescent="0.25">
      <c r="A178" s="6" t="s">
        <v>382</v>
      </c>
      <c r="B178" s="16" t="s">
        <v>563</v>
      </c>
      <c r="C178" s="16" t="s">
        <v>794</v>
      </c>
      <c r="D178" s="16" t="s">
        <v>795</v>
      </c>
      <c r="E178" s="16" t="s">
        <v>796</v>
      </c>
      <c r="F178" s="16" t="s">
        <v>112</v>
      </c>
      <c r="G178" s="16">
        <v>-9.6000000000000002E-4</v>
      </c>
      <c r="H178" s="16">
        <v>-1.1560000000000001E-2</v>
      </c>
      <c r="I178" s="16">
        <v>0.18204799999999999</v>
      </c>
      <c r="J178" s="16">
        <v>5.7433999999999985E-2</v>
      </c>
      <c r="K178" s="16">
        <v>0.18204799999999999</v>
      </c>
      <c r="L178" s="16">
        <v>5.7433999999999985E-2</v>
      </c>
      <c r="M178" s="16">
        <v>0.18870999999999999</v>
      </c>
      <c r="N178" s="16">
        <v>3.1361E-2</v>
      </c>
      <c r="O178" s="16">
        <v>0.43005100000000002</v>
      </c>
      <c r="P178" s="9">
        <v>4.8911000000000038E-2</v>
      </c>
    </row>
    <row r="179" spans="1:16" x14ac:dyDescent="0.25">
      <c r="A179" s="6" t="s">
        <v>358</v>
      </c>
      <c r="B179" s="16" t="s">
        <v>572</v>
      </c>
      <c r="C179" s="16" t="s">
        <v>794</v>
      </c>
      <c r="D179" s="16" t="s">
        <v>795</v>
      </c>
      <c r="E179" s="16" t="s">
        <v>796</v>
      </c>
      <c r="F179" s="16" t="s">
        <v>112</v>
      </c>
      <c r="G179" s="16">
        <v>-1.1266E-2</v>
      </c>
      <c r="H179" s="16">
        <v>-2.1866E-2</v>
      </c>
      <c r="I179" s="16">
        <v>0.102551</v>
      </c>
      <c r="J179" s="16">
        <v>-2.2062999999999999E-2</v>
      </c>
      <c r="K179" s="16">
        <v>0.102551</v>
      </c>
      <c r="L179" s="16">
        <v>-2.2062999999999999E-2</v>
      </c>
      <c r="M179" s="16">
        <v>0.13453699999999999</v>
      </c>
      <c r="N179" s="16">
        <v>-2.2811999999999999E-2</v>
      </c>
      <c r="O179" s="16">
        <v>0.35106999999999999</v>
      </c>
      <c r="P179" s="9">
        <v>-3.0069999999999986E-2</v>
      </c>
    </row>
    <row r="180" spans="1:16" x14ac:dyDescent="0.25">
      <c r="A180" s="6" t="s">
        <v>343</v>
      </c>
      <c r="B180" s="16" t="s">
        <v>560</v>
      </c>
      <c r="C180" s="16" t="s">
        <v>794</v>
      </c>
      <c r="D180" s="16" t="s">
        <v>795</v>
      </c>
      <c r="E180" s="16" t="s">
        <v>796</v>
      </c>
      <c r="F180" s="16" t="s">
        <v>121</v>
      </c>
      <c r="G180" s="16">
        <v>-2.4441000000000001E-2</v>
      </c>
      <c r="H180" s="16">
        <v>-3.5041000000000003E-2</v>
      </c>
      <c r="I180" s="16">
        <v>0.13048399999999999</v>
      </c>
      <c r="J180" s="16">
        <v>5.8699999999999863E-3</v>
      </c>
      <c r="K180" s="16">
        <v>0.13048399999999999</v>
      </c>
      <c r="L180" s="16">
        <v>5.8699999999999863E-3</v>
      </c>
      <c r="M180" s="16">
        <v>0.38896900000000001</v>
      </c>
      <c r="N180" s="16">
        <v>0.23162000000000002</v>
      </c>
      <c r="O180" s="16">
        <v>0.70867800000000003</v>
      </c>
      <c r="P180" s="9">
        <v>0.32753800000000005</v>
      </c>
    </row>
    <row r="181" spans="1:16" x14ac:dyDescent="0.25">
      <c r="A181" s="5" t="s">
        <v>336</v>
      </c>
      <c r="B181" s="3" t="s">
        <v>140</v>
      </c>
      <c r="C181" s="3" t="s">
        <v>140</v>
      </c>
      <c r="D181" s="3" t="s">
        <v>140</v>
      </c>
      <c r="E181" s="3" t="s">
        <v>225</v>
      </c>
      <c r="F181" s="3" t="s">
        <v>140</v>
      </c>
      <c r="G181" s="3" t="s">
        <v>140</v>
      </c>
      <c r="H181" s="3"/>
      <c r="I181" s="3" t="s">
        <v>140</v>
      </c>
      <c r="J181" s="3"/>
      <c r="K181" s="3" t="s">
        <v>140</v>
      </c>
      <c r="L181" s="3"/>
      <c r="M181" s="3" t="s">
        <v>140</v>
      </c>
      <c r="N181" s="3"/>
      <c r="O181" s="3" t="s">
        <v>140</v>
      </c>
      <c r="P181" s="8"/>
    </row>
    <row r="182" spans="1:16" x14ac:dyDescent="0.25">
      <c r="A182" s="6" t="s">
        <v>346</v>
      </c>
      <c r="B182" s="16" t="s">
        <v>140</v>
      </c>
      <c r="C182" s="16" t="s">
        <v>140</v>
      </c>
      <c r="D182" s="16" t="s">
        <v>140</v>
      </c>
      <c r="E182" s="16" t="s">
        <v>225</v>
      </c>
      <c r="F182" s="16" t="s">
        <v>140</v>
      </c>
      <c r="G182" s="16" t="s">
        <v>140</v>
      </c>
      <c r="H182" s="16"/>
      <c r="I182" s="16" t="s">
        <v>140</v>
      </c>
      <c r="J182" s="16"/>
      <c r="K182" s="16" t="s">
        <v>140</v>
      </c>
      <c r="L182" s="16"/>
      <c r="M182" s="16" t="s">
        <v>140</v>
      </c>
      <c r="N182" s="16"/>
      <c r="O182" s="16" t="s">
        <v>140</v>
      </c>
      <c r="P182" s="9"/>
    </row>
    <row r="183" spans="1:16" x14ac:dyDescent="0.25">
      <c r="A183" s="6" t="s">
        <v>349</v>
      </c>
      <c r="B183" s="16" t="s">
        <v>140</v>
      </c>
      <c r="C183" s="16" t="s">
        <v>140</v>
      </c>
      <c r="D183" s="16" t="s">
        <v>140</v>
      </c>
      <c r="E183" s="16" t="s">
        <v>225</v>
      </c>
      <c r="F183" s="16" t="s">
        <v>140</v>
      </c>
      <c r="G183" s="16" t="s">
        <v>140</v>
      </c>
      <c r="H183" s="16"/>
      <c r="I183" s="16" t="s">
        <v>140</v>
      </c>
      <c r="J183" s="16"/>
      <c r="K183" s="16" t="s">
        <v>140</v>
      </c>
      <c r="L183" s="16"/>
      <c r="M183" s="16" t="s">
        <v>140</v>
      </c>
      <c r="N183" s="16"/>
      <c r="O183" s="16" t="s">
        <v>140</v>
      </c>
      <c r="P183" s="9"/>
    </row>
    <row r="184" spans="1:16" x14ac:dyDescent="0.25">
      <c r="A184" s="6" t="s">
        <v>477</v>
      </c>
      <c r="B184" s="16" t="s">
        <v>140</v>
      </c>
      <c r="C184" s="16" t="s">
        <v>140</v>
      </c>
      <c r="D184" s="16" t="s">
        <v>140</v>
      </c>
      <c r="E184" s="16" t="s">
        <v>225</v>
      </c>
      <c r="F184" s="16" t="s">
        <v>140</v>
      </c>
      <c r="G184" s="16" t="s">
        <v>140</v>
      </c>
      <c r="H184" s="16"/>
      <c r="I184" s="16" t="s">
        <v>140</v>
      </c>
      <c r="J184" s="16"/>
      <c r="K184" s="16" t="s">
        <v>140</v>
      </c>
      <c r="L184" s="16"/>
      <c r="M184" s="16" t="s">
        <v>140</v>
      </c>
      <c r="N184" s="16"/>
      <c r="O184" s="16" t="s">
        <v>140</v>
      </c>
      <c r="P184" s="9"/>
    </row>
    <row r="185" spans="1:16" x14ac:dyDescent="0.25">
      <c r="A185" s="6" t="s">
        <v>459</v>
      </c>
      <c r="B185" s="16" t="s">
        <v>140</v>
      </c>
      <c r="C185" s="16" t="s">
        <v>140</v>
      </c>
      <c r="D185" s="16" t="s">
        <v>140</v>
      </c>
      <c r="E185" s="16" t="s">
        <v>225</v>
      </c>
      <c r="F185" s="16" t="s">
        <v>140</v>
      </c>
      <c r="G185" s="16" t="s">
        <v>140</v>
      </c>
      <c r="H185" s="16"/>
      <c r="I185" s="16" t="s">
        <v>140</v>
      </c>
      <c r="J185" s="16"/>
      <c r="K185" s="16" t="s">
        <v>140</v>
      </c>
      <c r="L185" s="16"/>
      <c r="M185" s="16" t="s">
        <v>140</v>
      </c>
      <c r="N185" s="16"/>
      <c r="O185" s="16" t="s">
        <v>140</v>
      </c>
      <c r="P185" s="9"/>
    </row>
    <row r="186" spans="1:16" x14ac:dyDescent="0.25">
      <c r="A186" s="6" t="s">
        <v>327</v>
      </c>
      <c r="B186" s="16" t="s">
        <v>140</v>
      </c>
      <c r="C186" s="16" t="s">
        <v>140</v>
      </c>
      <c r="D186" s="16" t="s">
        <v>140</v>
      </c>
      <c r="E186" s="16" t="s">
        <v>225</v>
      </c>
      <c r="F186" s="16" t="s">
        <v>140</v>
      </c>
      <c r="G186" s="16" t="s">
        <v>140</v>
      </c>
      <c r="H186" s="16"/>
      <c r="I186" s="16" t="s">
        <v>140</v>
      </c>
      <c r="J186" s="16"/>
      <c r="K186" s="16" t="s">
        <v>140</v>
      </c>
      <c r="L186" s="16"/>
      <c r="M186" s="16" t="s">
        <v>140</v>
      </c>
      <c r="N186" s="16"/>
      <c r="O186" s="16" t="s">
        <v>140</v>
      </c>
      <c r="P186" s="9"/>
    </row>
    <row r="187" spans="1:16" x14ac:dyDescent="0.25">
      <c r="A187" s="6" t="s">
        <v>441</v>
      </c>
      <c r="B187" s="16" t="s">
        <v>140</v>
      </c>
      <c r="C187" s="16" t="s">
        <v>140</v>
      </c>
      <c r="D187" s="16" t="s">
        <v>140</v>
      </c>
      <c r="E187" s="16" t="s">
        <v>225</v>
      </c>
      <c r="F187" s="16" t="s">
        <v>140</v>
      </c>
      <c r="G187" s="16" t="s">
        <v>140</v>
      </c>
      <c r="H187" s="16"/>
      <c r="I187" s="16" t="s">
        <v>140</v>
      </c>
      <c r="J187" s="16"/>
      <c r="K187" s="16" t="s">
        <v>140</v>
      </c>
      <c r="L187" s="16"/>
      <c r="M187" s="16" t="s">
        <v>140</v>
      </c>
      <c r="N187" s="16"/>
      <c r="O187" s="16" t="s">
        <v>140</v>
      </c>
      <c r="P187" s="9"/>
    </row>
    <row r="188" spans="1:16" x14ac:dyDescent="0.25">
      <c r="A188" s="5" t="s">
        <v>475</v>
      </c>
      <c r="B188" s="3" t="s">
        <v>697</v>
      </c>
      <c r="C188" s="3" t="s">
        <v>693</v>
      </c>
      <c r="D188" s="3" t="s">
        <v>694</v>
      </c>
      <c r="E188" s="3" t="s">
        <v>695</v>
      </c>
      <c r="F188" s="3" t="s">
        <v>174</v>
      </c>
      <c r="G188" s="3">
        <v>1.1776999999999999E-2</v>
      </c>
      <c r="H188" s="3">
        <v>-1.2000000000000031E-4</v>
      </c>
      <c r="I188" s="3">
        <v>4.7388E-2</v>
      </c>
      <c r="J188" s="3">
        <v>-5.7940000000000005E-3</v>
      </c>
      <c r="K188" s="3">
        <v>4.7388E-2</v>
      </c>
      <c r="L188" s="3">
        <v>-5.7940000000000005E-3</v>
      </c>
      <c r="M188" s="3">
        <v>0.113311</v>
      </c>
      <c r="N188" s="3">
        <v>-1.0816000000000006E-2</v>
      </c>
      <c r="O188" s="3">
        <v>0.116202</v>
      </c>
      <c r="P188" s="8">
        <v>-1.4501000000000014E-2</v>
      </c>
    </row>
    <row r="189" spans="1:16" x14ac:dyDescent="0.25">
      <c r="A189" s="6" t="s">
        <v>480</v>
      </c>
      <c r="B189" s="16" t="s">
        <v>692</v>
      </c>
      <c r="C189" s="16" t="s">
        <v>693</v>
      </c>
      <c r="D189" s="16" t="s">
        <v>694</v>
      </c>
      <c r="E189" s="16" t="s">
        <v>695</v>
      </c>
      <c r="F189" s="16" t="s">
        <v>696</v>
      </c>
      <c r="G189" s="16">
        <v>1.1514E-2</v>
      </c>
      <c r="H189" s="16">
        <v>-3.8299999999999966E-4</v>
      </c>
      <c r="I189" s="16">
        <v>5.0774E-2</v>
      </c>
      <c r="J189" s="16">
        <v>-2.4080000000000004E-3</v>
      </c>
      <c r="K189" s="16">
        <v>5.0774E-2</v>
      </c>
      <c r="L189" s="16">
        <v>-2.4080000000000004E-3</v>
      </c>
      <c r="M189" s="16">
        <v>0.119117</v>
      </c>
      <c r="N189" s="16">
        <v>-5.0100000000000006E-3</v>
      </c>
      <c r="O189" s="16">
        <v>0.125164</v>
      </c>
      <c r="P189" s="9">
        <v>-5.5390000000000161E-3</v>
      </c>
    </row>
    <row r="190" spans="1:16" x14ac:dyDescent="0.25">
      <c r="A190" s="5" t="s">
        <v>404</v>
      </c>
      <c r="B190" s="3" t="s">
        <v>634</v>
      </c>
      <c r="C190" s="3" t="s">
        <v>797</v>
      </c>
      <c r="D190" s="3" t="s">
        <v>798</v>
      </c>
      <c r="E190" s="3" t="s">
        <v>799</v>
      </c>
      <c r="F190" s="3" t="s">
        <v>635</v>
      </c>
      <c r="G190" s="3">
        <v>-2.3307999999999999E-2</v>
      </c>
      <c r="H190" s="3">
        <v>8.0730000000000003E-3</v>
      </c>
      <c r="I190" s="3">
        <v>1.814E-2</v>
      </c>
      <c r="J190" s="3">
        <v>1.2362999999999999E-2</v>
      </c>
      <c r="K190" s="3">
        <v>1.814E-2</v>
      </c>
      <c r="L190" s="3">
        <v>1.2362999999999999E-2</v>
      </c>
      <c r="M190" s="3">
        <v>-3.7978999999999999E-2</v>
      </c>
      <c r="N190" s="3">
        <v>4.5905000000000001E-2</v>
      </c>
      <c r="O190" s="3">
        <v>2.7179999999999999E-3</v>
      </c>
      <c r="P190" s="8">
        <v>3.6281999999999995E-2</v>
      </c>
    </row>
    <row r="191" spans="1:16" x14ac:dyDescent="0.25">
      <c r="A191" s="6" t="s">
        <v>403</v>
      </c>
      <c r="B191" s="16" t="s">
        <v>611</v>
      </c>
      <c r="C191" s="16" t="s">
        <v>797</v>
      </c>
      <c r="D191" s="16" t="s">
        <v>798</v>
      </c>
      <c r="E191" s="16" t="s">
        <v>799</v>
      </c>
      <c r="F191" s="16" t="s">
        <v>612</v>
      </c>
      <c r="G191" s="16">
        <v>-4.6030000000000001E-2</v>
      </c>
      <c r="H191" s="16">
        <v>-1.4649000000000002E-2</v>
      </c>
      <c r="I191" s="16">
        <v>-6.3530000000000001E-3</v>
      </c>
      <c r="J191" s="16">
        <v>-1.213E-2</v>
      </c>
      <c r="K191" s="16">
        <v>-6.3530000000000001E-3</v>
      </c>
      <c r="L191" s="16">
        <v>-1.213E-2</v>
      </c>
      <c r="M191" s="16">
        <v>-0.126274</v>
      </c>
      <c r="N191" s="16">
        <v>-4.2389999999999997E-2</v>
      </c>
      <c r="O191" s="16">
        <v>-7.0843000000000003E-2</v>
      </c>
      <c r="P191" s="9">
        <v>-3.7279000000000007E-2</v>
      </c>
    </row>
    <row r="192" spans="1:16" x14ac:dyDescent="0.25">
      <c r="A192" s="6" t="s">
        <v>479</v>
      </c>
      <c r="B192" s="16" t="s">
        <v>731</v>
      </c>
      <c r="C192" s="16" t="s">
        <v>797</v>
      </c>
      <c r="D192" s="16" t="s">
        <v>798</v>
      </c>
      <c r="E192" s="16" t="s">
        <v>799</v>
      </c>
      <c r="F192" s="16" t="s">
        <v>732</v>
      </c>
      <c r="G192" s="16">
        <v>-9.7236000000000003E-2</v>
      </c>
      <c r="H192" s="16">
        <v>-6.5854999999999997E-2</v>
      </c>
      <c r="I192" s="16">
        <v>-8.0585000000000004E-2</v>
      </c>
      <c r="J192" s="16">
        <v>-8.6362000000000008E-2</v>
      </c>
      <c r="K192" s="16">
        <v>-8.0585000000000004E-2</v>
      </c>
      <c r="L192" s="16">
        <v>-8.6362000000000008E-2</v>
      </c>
      <c r="M192" s="16">
        <v>-0.35036</v>
      </c>
      <c r="N192" s="16">
        <v>-0.26647599999999999</v>
      </c>
      <c r="O192" s="16">
        <v>-0.26776299999999997</v>
      </c>
      <c r="P192" s="9">
        <v>-0.23419899999999999</v>
      </c>
    </row>
    <row r="193" spans="1:16" x14ac:dyDescent="0.25">
      <c r="A193" s="5" t="s">
        <v>498</v>
      </c>
      <c r="B193" s="3" t="s">
        <v>736</v>
      </c>
      <c r="C193" s="3" t="s">
        <v>800</v>
      </c>
      <c r="D193" s="3" t="s">
        <v>801</v>
      </c>
      <c r="E193" s="3" t="s">
        <v>802</v>
      </c>
      <c r="F193" s="3" t="s">
        <v>737</v>
      </c>
      <c r="G193" s="3">
        <v>-2.7007E-2</v>
      </c>
      <c r="H193" s="3">
        <v>4.5710000000000021E-3</v>
      </c>
      <c r="I193" s="3">
        <v>1.6968E-2</v>
      </c>
      <c r="J193" s="3">
        <v>4.9760000000000013E-3</v>
      </c>
      <c r="K193" s="3">
        <v>1.6968E-2</v>
      </c>
      <c r="L193" s="3">
        <v>4.9760000000000013E-3</v>
      </c>
      <c r="M193" s="3">
        <v>-5.6188000000000002E-2</v>
      </c>
      <c r="N193" s="3">
        <v>6.3099999999999962E-3</v>
      </c>
      <c r="O193" s="3">
        <v>-3.3252999999999998E-2</v>
      </c>
      <c r="P193" s="8">
        <v>3.0980000000000035E-3</v>
      </c>
    </row>
    <row r="194" spans="1:16" x14ac:dyDescent="0.25">
      <c r="A194" s="6" t="s">
        <v>489</v>
      </c>
      <c r="B194" s="16" t="s">
        <v>704</v>
      </c>
      <c r="C194" s="16" t="s">
        <v>800</v>
      </c>
      <c r="D194" s="16" t="s">
        <v>801</v>
      </c>
      <c r="E194" s="16" t="s">
        <v>802</v>
      </c>
      <c r="F194" s="16" t="s">
        <v>705</v>
      </c>
      <c r="G194" s="16">
        <v>-2.8103E-2</v>
      </c>
      <c r="H194" s="16">
        <v>3.4750000000000024E-3</v>
      </c>
      <c r="I194" s="16">
        <v>1.0616E-2</v>
      </c>
      <c r="J194" s="16">
        <v>-1.3759999999999988E-3</v>
      </c>
      <c r="K194" s="16">
        <v>1.0616E-2</v>
      </c>
      <c r="L194" s="16">
        <v>-1.3759999999999988E-3</v>
      </c>
      <c r="M194" s="16">
        <v>-5.2269999999999997E-2</v>
      </c>
      <c r="N194" s="16">
        <v>1.0228000000000001E-2</v>
      </c>
      <c r="O194" s="16">
        <v>-2.7990000000000001E-2</v>
      </c>
      <c r="P194" s="9">
        <v>8.3610000000000004E-3</v>
      </c>
    </row>
    <row r="195" spans="1:16" x14ac:dyDescent="0.25">
      <c r="A195" s="6" t="s">
        <v>360</v>
      </c>
      <c r="B195" s="16" t="s">
        <v>617</v>
      </c>
      <c r="C195" s="16" t="s">
        <v>800</v>
      </c>
      <c r="D195" s="16" t="s">
        <v>801</v>
      </c>
      <c r="E195" s="16" t="s">
        <v>802</v>
      </c>
      <c r="F195" s="16" t="s">
        <v>136</v>
      </c>
      <c r="G195" s="16">
        <v>-2.8289000000000002E-2</v>
      </c>
      <c r="H195" s="16">
        <v>3.2890000000000003E-3</v>
      </c>
      <c r="I195" s="16">
        <v>2.9352E-2</v>
      </c>
      <c r="J195" s="16">
        <v>1.736E-2</v>
      </c>
      <c r="K195" s="16">
        <v>2.9352E-2</v>
      </c>
      <c r="L195" s="16">
        <v>1.736E-2</v>
      </c>
      <c r="M195" s="16">
        <v>-5.7666000000000002E-2</v>
      </c>
      <c r="N195" s="16">
        <v>4.831999999999996E-3</v>
      </c>
      <c r="O195" s="16">
        <v>-2.1420000000000002E-2</v>
      </c>
      <c r="P195" s="9">
        <v>1.4931E-2</v>
      </c>
    </row>
    <row r="196" spans="1:16" x14ac:dyDescent="0.25">
      <c r="A196" s="6" t="s">
        <v>428</v>
      </c>
      <c r="B196" s="16" t="s">
        <v>619</v>
      </c>
      <c r="C196" s="16" t="s">
        <v>800</v>
      </c>
      <c r="D196" s="16" t="s">
        <v>801</v>
      </c>
      <c r="E196" s="16" t="s">
        <v>802</v>
      </c>
      <c r="F196" s="16" t="s">
        <v>620</v>
      </c>
      <c r="G196" s="16">
        <v>-3.049E-2</v>
      </c>
      <c r="H196" s="16">
        <v>1.0880000000000022E-3</v>
      </c>
      <c r="I196" s="16">
        <v>1.3129999999999999E-2</v>
      </c>
      <c r="J196" s="16">
        <v>1.1380000000000001E-3</v>
      </c>
      <c r="K196" s="16">
        <v>1.3129999999999999E-2</v>
      </c>
      <c r="L196" s="16">
        <v>1.1380000000000001E-3</v>
      </c>
      <c r="M196" s="16">
        <v>-6.0997000000000003E-2</v>
      </c>
      <c r="N196" s="16">
        <v>1.5009999999999954E-3</v>
      </c>
      <c r="O196" s="16">
        <v>-3.6691000000000001E-2</v>
      </c>
      <c r="P196" s="9">
        <v>-3.4000000000000002E-4</v>
      </c>
    </row>
    <row r="197" spans="1:16" x14ac:dyDescent="0.25">
      <c r="A197" s="5" t="s">
        <v>462</v>
      </c>
      <c r="B197" s="3" t="s">
        <v>746</v>
      </c>
      <c r="C197" s="3" t="s">
        <v>806</v>
      </c>
      <c r="D197" s="3" t="s">
        <v>804</v>
      </c>
      <c r="E197" s="3" t="s">
        <v>805</v>
      </c>
      <c r="F197" s="3" t="s">
        <v>562</v>
      </c>
      <c r="G197" s="3">
        <v>1.1958E-2</v>
      </c>
      <c r="H197" s="3">
        <v>1.2160000000000001E-2</v>
      </c>
      <c r="I197" s="3">
        <v>5.2727999999999997E-2</v>
      </c>
      <c r="J197" s="3">
        <v>9.1709999999999986E-3</v>
      </c>
      <c r="K197" s="3">
        <v>5.2727999999999997E-2</v>
      </c>
      <c r="L197" s="3">
        <v>9.1709999999999986E-3</v>
      </c>
      <c r="M197" s="3">
        <v>0.12409100000000001</v>
      </c>
      <c r="N197" s="3">
        <v>7.2651000000000007E-2</v>
      </c>
      <c r="O197" s="3" t="s">
        <v>152</v>
      </c>
      <c r="P197" s="8"/>
    </row>
    <row r="198" spans="1:16" x14ac:dyDescent="0.25">
      <c r="A198" s="6" t="s">
        <v>339</v>
      </c>
      <c r="B198" s="16" t="s">
        <v>652</v>
      </c>
      <c r="C198" s="16" t="s">
        <v>806</v>
      </c>
      <c r="D198" s="16" t="s">
        <v>804</v>
      </c>
      <c r="E198" s="16" t="s">
        <v>805</v>
      </c>
      <c r="F198" s="16" t="s">
        <v>653</v>
      </c>
      <c r="G198" s="16">
        <v>1.1719E-2</v>
      </c>
      <c r="H198" s="16">
        <v>1.1921000000000001E-2</v>
      </c>
      <c r="I198" s="16">
        <v>5.1909999999999998E-2</v>
      </c>
      <c r="J198" s="16">
        <v>8.3529999999999993E-3</v>
      </c>
      <c r="K198" s="16">
        <v>5.1909999999999998E-2</v>
      </c>
      <c r="L198" s="16">
        <v>8.3529999999999993E-3</v>
      </c>
      <c r="M198" s="16">
        <v>0.119408</v>
      </c>
      <c r="N198" s="16">
        <v>6.7968000000000001E-2</v>
      </c>
      <c r="O198" s="16">
        <v>0.122782</v>
      </c>
      <c r="P198" s="9">
        <v>4.1429000000000007E-2</v>
      </c>
    </row>
    <row r="199" spans="1:16" x14ac:dyDescent="0.25">
      <c r="A199" s="6" t="s">
        <v>464</v>
      </c>
      <c r="B199" s="16" t="s">
        <v>744</v>
      </c>
      <c r="C199" s="16" t="s">
        <v>806</v>
      </c>
      <c r="D199" s="16" t="s">
        <v>804</v>
      </c>
      <c r="E199" s="16" t="s">
        <v>805</v>
      </c>
      <c r="F199" s="16" t="s">
        <v>745</v>
      </c>
      <c r="G199" s="16">
        <v>1.1343000000000001E-2</v>
      </c>
      <c r="H199" s="16">
        <v>1.1545000000000001E-2</v>
      </c>
      <c r="I199" s="16">
        <v>5.1235999999999997E-2</v>
      </c>
      <c r="J199" s="16">
        <v>7.6789999999999983E-3</v>
      </c>
      <c r="K199" s="16">
        <v>5.1235999999999997E-2</v>
      </c>
      <c r="L199" s="16">
        <v>7.6789999999999983E-3</v>
      </c>
      <c r="M199" s="16">
        <v>0.114577</v>
      </c>
      <c r="N199" s="16">
        <v>6.3136999999999999E-2</v>
      </c>
      <c r="O199" s="16">
        <v>0.12245499999999999</v>
      </c>
      <c r="P199" s="9">
        <v>4.1102E-2</v>
      </c>
    </row>
    <row r="200" spans="1:16" x14ac:dyDescent="0.25">
      <c r="A200" s="6" t="s">
        <v>337</v>
      </c>
      <c r="B200" s="16" t="s">
        <v>650</v>
      </c>
      <c r="C200" s="16" t="s">
        <v>803</v>
      </c>
      <c r="D200" s="16" t="s">
        <v>804</v>
      </c>
      <c r="E200" s="16" t="s">
        <v>805</v>
      </c>
      <c r="F200" s="16" t="s">
        <v>651</v>
      </c>
      <c r="G200" s="16">
        <v>1.0978E-2</v>
      </c>
      <c r="H200" s="16">
        <v>1.1180000000000001E-2</v>
      </c>
      <c r="I200" s="16">
        <v>6.7435999999999996E-2</v>
      </c>
      <c r="J200" s="16">
        <v>2.3878999999999997E-2</v>
      </c>
      <c r="K200" s="16">
        <v>6.7435999999999996E-2</v>
      </c>
      <c r="L200" s="16">
        <v>2.3878999999999997E-2</v>
      </c>
      <c r="M200" s="16">
        <v>0.13837099999999999</v>
      </c>
      <c r="N200" s="16">
        <v>8.6930999999999994E-2</v>
      </c>
      <c r="O200" s="16">
        <v>0.186448</v>
      </c>
      <c r="P200" s="9">
        <v>0.10509500000000001</v>
      </c>
    </row>
    <row r="201" spans="1:16" x14ac:dyDescent="0.25">
      <c r="A201" s="6" t="s">
        <v>465</v>
      </c>
      <c r="B201" s="16" t="s">
        <v>742</v>
      </c>
      <c r="C201" s="16" t="s">
        <v>806</v>
      </c>
      <c r="D201" s="16" t="s">
        <v>804</v>
      </c>
      <c r="E201" s="16" t="s">
        <v>805</v>
      </c>
      <c r="F201" s="16" t="s">
        <v>743</v>
      </c>
      <c r="G201" s="16">
        <v>-7.8299999999999995E-4</v>
      </c>
      <c r="H201" s="16">
        <v>-5.8099999999999992E-4</v>
      </c>
      <c r="I201" s="16">
        <v>3.9157999999999998E-2</v>
      </c>
      <c r="J201" s="16">
        <v>-4.3990000000000001E-3</v>
      </c>
      <c r="K201" s="16">
        <v>3.9157999999999998E-2</v>
      </c>
      <c r="L201" s="16">
        <v>-4.3990000000000001E-3</v>
      </c>
      <c r="M201" s="16">
        <v>4.0431000000000002E-2</v>
      </c>
      <c r="N201" s="16">
        <v>-1.1008999999999998E-2</v>
      </c>
      <c r="O201" s="16">
        <v>6.4339999999999994E-2</v>
      </c>
      <c r="P201" s="9">
        <v>-1.7013E-2</v>
      </c>
    </row>
    <row r="202" spans="1:16" x14ac:dyDescent="0.25">
      <c r="A202" s="6" t="s">
        <v>416</v>
      </c>
      <c r="B202" s="16" t="s">
        <v>642</v>
      </c>
      <c r="C202" s="16" t="s">
        <v>803</v>
      </c>
      <c r="D202" s="16" t="s">
        <v>804</v>
      </c>
      <c r="E202" s="16" t="s">
        <v>805</v>
      </c>
      <c r="F202" s="16" t="s">
        <v>643</v>
      </c>
      <c r="G202" s="16">
        <v>-2.947E-3</v>
      </c>
      <c r="H202" s="16">
        <v>-2.745E-3</v>
      </c>
      <c r="I202" s="16">
        <v>5.0541000000000003E-2</v>
      </c>
      <c r="J202" s="16">
        <v>6.9840000000000041E-3</v>
      </c>
      <c r="K202" s="16">
        <v>5.0541000000000003E-2</v>
      </c>
      <c r="L202" s="16">
        <v>6.9840000000000041E-3</v>
      </c>
      <c r="M202" s="16">
        <v>5.1029999999999999E-2</v>
      </c>
      <c r="N202" s="16">
        <v>-4.1000000000000064E-4</v>
      </c>
      <c r="O202" s="16" t="s">
        <v>152</v>
      </c>
      <c r="P202" s="9"/>
    </row>
    <row r="203" spans="1:16" x14ac:dyDescent="0.25">
      <c r="A203" s="6" t="s">
        <v>491</v>
      </c>
      <c r="B203" s="16" t="s">
        <v>709</v>
      </c>
      <c r="C203" s="16" t="s">
        <v>803</v>
      </c>
      <c r="D203" s="16" t="s">
        <v>804</v>
      </c>
      <c r="E203" s="16" t="s">
        <v>805</v>
      </c>
      <c r="F203" s="16" t="s">
        <v>708</v>
      </c>
      <c r="G203" s="16">
        <v>-3.5739999999999999E-3</v>
      </c>
      <c r="H203" s="16">
        <v>-3.372E-3</v>
      </c>
      <c r="I203" s="16">
        <v>5.0616000000000001E-2</v>
      </c>
      <c r="J203" s="16">
        <v>7.0590000000000028E-3</v>
      </c>
      <c r="K203" s="16">
        <v>5.0616000000000001E-2</v>
      </c>
      <c r="L203" s="16">
        <v>7.0590000000000028E-3</v>
      </c>
      <c r="M203" s="16">
        <v>5.1241000000000002E-2</v>
      </c>
      <c r="N203" s="16">
        <v>-1.9899999999999779E-4</v>
      </c>
      <c r="O203" s="16">
        <v>0.102728</v>
      </c>
      <c r="P203" s="9">
        <v>2.1375000000000005E-2</v>
      </c>
    </row>
    <row r="204" spans="1:16" x14ac:dyDescent="0.25">
      <c r="A204" s="6" t="s">
        <v>490</v>
      </c>
      <c r="B204" s="16" t="s">
        <v>707</v>
      </c>
      <c r="C204" s="16" t="s">
        <v>803</v>
      </c>
      <c r="D204" s="16" t="s">
        <v>804</v>
      </c>
      <c r="E204" s="16" t="s">
        <v>805</v>
      </c>
      <c r="F204" s="16" t="s">
        <v>708</v>
      </c>
      <c r="G204" s="16">
        <v>-3.8240000000000001E-3</v>
      </c>
      <c r="H204" s="16">
        <v>-3.6220000000000002E-3</v>
      </c>
      <c r="I204" s="16">
        <v>4.9570000000000003E-2</v>
      </c>
      <c r="J204" s="16">
        <v>6.0130000000000045E-3</v>
      </c>
      <c r="K204" s="16">
        <v>4.9570000000000003E-2</v>
      </c>
      <c r="L204" s="16">
        <v>6.0130000000000045E-3</v>
      </c>
      <c r="M204" s="16">
        <v>4.8099999999999997E-2</v>
      </c>
      <c r="N204" s="16">
        <v>-3.3400000000000027E-3</v>
      </c>
      <c r="O204" s="16">
        <v>9.7240999999999994E-2</v>
      </c>
      <c r="P204" s="9">
        <v>1.5887999999999999E-2</v>
      </c>
    </row>
    <row r="205" spans="1:16" x14ac:dyDescent="0.25">
      <c r="A205" s="5" t="s">
        <v>392</v>
      </c>
      <c r="B205" s="3" t="s">
        <v>606</v>
      </c>
      <c r="C205" s="3" t="s">
        <v>130</v>
      </c>
      <c r="D205" s="3" t="s">
        <v>131</v>
      </c>
      <c r="E205" s="3" t="s">
        <v>222</v>
      </c>
      <c r="F205" s="3" t="s">
        <v>132</v>
      </c>
      <c r="G205" s="3">
        <v>4.1070000000000004E-3</v>
      </c>
      <c r="H205" s="3">
        <v>3.4502999999999999E-2</v>
      </c>
      <c r="I205" s="3">
        <v>7.4022000000000004E-2</v>
      </c>
      <c r="J205" s="3">
        <v>5.3729000000000006E-2</v>
      </c>
      <c r="K205" s="3">
        <v>7.4022000000000004E-2</v>
      </c>
      <c r="L205" s="3">
        <v>5.3729000000000006E-2</v>
      </c>
      <c r="M205" s="3">
        <v>7.0119000000000001E-2</v>
      </c>
      <c r="N205" s="3">
        <v>0.13474999999999998</v>
      </c>
      <c r="O205" s="3">
        <v>0.213676</v>
      </c>
      <c r="P205" s="8">
        <v>0.20189400000000002</v>
      </c>
    </row>
    <row r="206" spans="1:16" x14ac:dyDescent="0.25">
      <c r="A206" s="6" t="s">
        <v>395</v>
      </c>
      <c r="B206" s="16" t="s">
        <v>605</v>
      </c>
      <c r="C206" s="16" t="s">
        <v>130</v>
      </c>
      <c r="D206" s="16" t="s">
        <v>131</v>
      </c>
      <c r="E206" s="16" t="s">
        <v>222</v>
      </c>
      <c r="F206" s="16" t="s">
        <v>136</v>
      </c>
      <c r="G206" s="16">
        <v>3.3199999999999999E-4</v>
      </c>
      <c r="H206" s="16">
        <v>3.0727999999999998E-2</v>
      </c>
      <c r="I206" s="16">
        <v>6.3043000000000002E-2</v>
      </c>
      <c r="J206" s="16">
        <v>4.2750000000000003E-2</v>
      </c>
      <c r="K206" s="16">
        <v>6.3043000000000002E-2</v>
      </c>
      <c r="L206" s="16">
        <v>4.2750000000000003E-2</v>
      </c>
      <c r="M206" s="16">
        <v>0.14266200000000001</v>
      </c>
      <c r="N206" s="16">
        <v>0.20729300000000001</v>
      </c>
      <c r="O206" s="16">
        <v>0.237756</v>
      </c>
      <c r="P206" s="9">
        <v>0.22597400000000001</v>
      </c>
    </row>
    <row r="207" spans="1:16" x14ac:dyDescent="0.25">
      <c r="A207" s="6" t="s">
        <v>9</v>
      </c>
      <c r="B207" s="16" t="s">
        <v>293</v>
      </c>
      <c r="C207" s="16" t="s">
        <v>130</v>
      </c>
      <c r="D207" s="16" t="s">
        <v>131</v>
      </c>
      <c r="E207" s="16" t="s">
        <v>222</v>
      </c>
      <c r="F207" s="16" t="s">
        <v>132</v>
      </c>
      <c r="G207" s="16">
        <v>-6.8979999999999996E-3</v>
      </c>
      <c r="H207" s="16">
        <v>2.3497999999999998E-2</v>
      </c>
      <c r="I207" s="16">
        <v>5.2970000000000003E-2</v>
      </c>
      <c r="J207" s="16">
        <v>3.2677000000000005E-2</v>
      </c>
      <c r="K207" s="16">
        <v>5.2970000000000003E-2</v>
      </c>
      <c r="L207" s="16">
        <v>3.2677000000000005E-2</v>
      </c>
      <c r="M207" s="16">
        <v>6.5727999999999995E-2</v>
      </c>
      <c r="N207" s="16">
        <v>0.130359</v>
      </c>
      <c r="O207" s="16">
        <v>0.153335</v>
      </c>
      <c r="P207" s="9">
        <v>0.14155299999999998</v>
      </c>
    </row>
    <row r="208" spans="1:16" x14ac:dyDescent="0.25">
      <c r="A208" s="6" t="s">
        <v>350</v>
      </c>
      <c r="B208" s="16" t="s">
        <v>604</v>
      </c>
      <c r="C208" s="16" t="s">
        <v>130</v>
      </c>
      <c r="D208" s="16" t="s">
        <v>131</v>
      </c>
      <c r="E208" s="16" t="s">
        <v>222</v>
      </c>
      <c r="F208" s="16" t="s">
        <v>136</v>
      </c>
      <c r="G208" s="16">
        <v>-2.8917000000000002E-2</v>
      </c>
      <c r="H208" s="16">
        <v>1.4789999999999977E-3</v>
      </c>
      <c r="I208" s="16">
        <v>5.2941000000000002E-2</v>
      </c>
      <c r="J208" s="16">
        <v>3.2648000000000003E-2</v>
      </c>
      <c r="K208" s="16">
        <v>5.2941000000000002E-2</v>
      </c>
      <c r="L208" s="16">
        <v>3.2648000000000003E-2</v>
      </c>
      <c r="M208" s="16">
        <v>-6.9020999999999999E-2</v>
      </c>
      <c r="N208" s="16">
        <v>-4.390000000000005E-3</v>
      </c>
      <c r="O208" s="16">
        <v>7.2543999999999997E-2</v>
      </c>
      <c r="P208" s="9">
        <v>6.0761999999999997E-2</v>
      </c>
    </row>
    <row r="209" spans="1:16" x14ac:dyDescent="0.25">
      <c r="A209" s="5" t="s">
        <v>338</v>
      </c>
      <c r="B209" s="3" t="s">
        <v>648</v>
      </c>
      <c r="C209" s="3" t="s">
        <v>807</v>
      </c>
      <c r="D209" s="3" t="s">
        <v>700</v>
      </c>
      <c r="E209" s="3" t="s">
        <v>701</v>
      </c>
      <c r="F209" s="3" t="s">
        <v>157</v>
      </c>
      <c r="G209" s="3">
        <v>1.5485000000000001E-2</v>
      </c>
      <c r="H209" s="3">
        <v>1.3737000000000001E-2</v>
      </c>
      <c r="I209" s="3">
        <v>9.4468999999999997E-2</v>
      </c>
      <c r="J209" s="3">
        <v>1.2534000000000003E-2</v>
      </c>
      <c r="K209" s="3">
        <v>9.4468999999999997E-2</v>
      </c>
      <c r="L209" s="3">
        <v>1.2534000000000003E-2</v>
      </c>
      <c r="M209" s="3">
        <v>0.13312599999999999</v>
      </c>
      <c r="N209" s="3">
        <v>4.3052999999999994E-2</v>
      </c>
      <c r="O209" s="3">
        <v>0.35112500000000002</v>
      </c>
      <c r="P209" s="8">
        <v>0.12188800000000002</v>
      </c>
    </row>
    <row r="210" spans="1:16" x14ac:dyDescent="0.25">
      <c r="A210" s="6" t="s">
        <v>28</v>
      </c>
      <c r="B210" s="16" t="s">
        <v>299</v>
      </c>
      <c r="C210" s="16" t="s">
        <v>807</v>
      </c>
      <c r="D210" s="16" t="s">
        <v>700</v>
      </c>
      <c r="E210" s="16" t="s">
        <v>701</v>
      </c>
      <c r="F210" s="16" t="s">
        <v>157</v>
      </c>
      <c r="G210" s="16">
        <v>1.5113E-2</v>
      </c>
      <c r="H210" s="16">
        <v>1.3365E-2</v>
      </c>
      <c r="I210" s="16">
        <v>9.5942E-2</v>
      </c>
      <c r="J210" s="16">
        <v>1.4007000000000006E-2</v>
      </c>
      <c r="K210" s="16">
        <v>9.5942E-2</v>
      </c>
      <c r="L210" s="16">
        <v>1.4007000000000006E-2</v>
      </c>
      <c r="M210" s="16">
        <v>0.14213200000000001</v>
      </c>
      <c r="N210" s="16">
        <v>5.2059000000000008E-2</v>
      </c>
      <c r="O210" s="16">
        <v>0.36787399999999998</v>
      </c>
      <c r="P210" s="9">
        <v>0.13863699999999998</v>
      </c>
    </row>
    <row r="211" spans="1:16" x14ac:dyDescent="0.25">
      <c r="A211" s="6" t="s">
        <v>466</v>
      </c>
      <c r="B211" s="16" t="s">
        <v>738</v>
      </c>
      <c r="C211" s="16" t="s">
        <v>807</v>
      </c>
      <c r="D211" s="16" t="s">
        <v>700</v>
      </c>
      <c r="E211" s="16" t="s">
        <v>701</v>
      </c>
      <c r="F211" s="16" t="s">
        <v>739</v>
      </c>
      <c r="G211" s="16">
        <v>5.0949999999999997E-3</v>
      </c>
      <c r="H211" s="16">
        <v>3.3469999999999997E-3</v>
      </c>
      <c r="I211" s="16">
        <v>8.2403000000000004E-2</v>
      </c>
      <c r="J211" s="16">
        <v>4.6800000000001007E-4</v>
      </c>
      <c r="K211" s="16">
        <v>8.2403000000000004E-2</v>
      </c>
      <c r="L211" s="16">
        <v>4.6800000000001007E-4</v>
      </c>
      <c r="M211" s="16">
        <v>0.14169499999999999</v>
      </c>
      <c r="N211" s="16">
        <v>5.1621999999999987E-2</v>
      </c>
      <c r="O211" s="16">
        <v>0.26926499999999998</v>
      </c>
      <c r="P211" s="9">
        <v>4.002799999999998E-2</v>
      </c>
    </row>
    <row r="212" spans="1:16" x14ac:dyDescent="0.25">
      <c r="A212" s="6" t="s">
        <v>371</v>
      </c>
      <c r="B212" s="16" t="s">
        <v>631</v>
      </c>
      <c r="C212" s="16" t="s">
        <v>807</v>
      </c>
      <c r="D212" s="16" t="s">
        <v>700</v>
      </c>
      <c r="E212" s="16" t="s">
        <v>701</v>
      </c>
      <c r="F212" s="16" t="s">
        <v>632</v>
      </c>
      <c r="G212" s="16">
        <v>4.8129999999999996E-3</v>
      </c>
      <c r="H212" s="16">
        <v>3.0649999999999996E-3</v>
      </c>
      <c r="I212" s="16">
        <v>9.4841999999999996E-2</v>
      </c>
      <c r="J212" s="16">
        <v>1.2907000000000002E-2</v>
      </c>
      <c r="K212" s="16">
        <v>9.4841999999999996E-2</v>
      </c>
      <c r="L212" s="16">
        <v>1.2907000000000002E-2</v>
      </c>
      <c r="M212" s="16">
        <v>7.0539000000000004E-2</v>
      </c>
      <c r="N212" s="16">
        <v>-1.9533999999999996E-2</v>
      </c>
      <c r="O212" s="16">
        <v>0.14452000000000001</v>
      </c>
      <c r="P212" s="9">
        <v>-8.4716999999999987E-2</v>
      </c>
    </row>
    <row r="213" spans="1:16" x14ac:dyDescent="0.25">
      <c r="A213" s="6" t="s">
        <v>467</v>
      </c>
      <c r="B213" s="16" t="s">
        <v>706</v>
      </c>
      <c r="C213" s="16" t="s">
        <v>807</v>
      </c>
      <c r="D213" s="16" t="s">
        <v>700</v>
      </c>
      <c r="E213" s="16" t="s">
        <v>701</v>
      </c>
      <c r="F213" s="16" t="s">
        <v>632</v>
      </c>
      <c r="G213" s="16">
        <v>4.6740000000000002E-3</v>
      </c>
      <c r="H213" s="16">
        <v>2.9260000000000002E-3</v>
      </c>
      <c r="I213" s="16">
        <v>9.5550999999999997E-2</v>
      </c>
      <c r="J213" s="16">
        <v>1.3616000000000003E-2</v>
      </c>
      <c r="K213" s="16">
        <v>9.5550999999999997E-2</v>
      </c>
      <c r="L213" s="16">
        <v>1.3616000000000003E-2</v>
      </c>
      <c r="M213" s="16">
        <v>6.9733000000000003E-2</v>
      </c>
      <c r="N213" s="16">
        <v>-2.0339999999999997E-2</v>
      </c>
      <c r="O213" s="16">
        <v>0.14224100000000001</v>
      </c>
      <c r="P213" s="9">
        <v>-8.699599999999999E-2</v>
      </c>
    </row>
    <row r="214" spans="1:16" x14ac:dyDescent="0.25">
      <c r="A214" s="6" t="s">
        <v>63</v>
      </c>
      <c r="B214" s="16" t="s">
        <v>306</v>
      </c>
      <c r="C214" s="16" t="s">
        <v>807</v>
      </c>
      <c r="D214" s="16" t="s">
        <v>700</v>
      </c>
      <c r="E214" s="16" t="s">
        <v>701</v>
      </c>
      <c r="F214" s="16" t="s">
        <v>188</v>
      </c>
      <c r="G214" s="16">
        <v>3.7650000000000001E-3</v>
      </c>
      <c r="H214" s="16">
        <v>2.0170000000000001E-3</v>
      </c>
      <c r="I214" s="16">
        <v>9.9511000000000002E-2</v>
      </c>
      <c r="J214" s="16">
        <v>1.7576000000000008E-2</v>
      </c>
      <c r="K214" s="16">
        <v>9.9511000000000002E-2</v>
      </c>
      <c r="L214" s="16">
        <v>1.7576000000000008E-2</v>
      </c>
      <c r="M214" s="16">
        <v>0.15570100000000001</v>
      </c>
      <c r="N214" s="16">
        <v>6.5628000000000006E-2</v>
      </c>
      <c r="O214" s="16">
        <v>0.35853299999999999</v>
      </c>
      <c r="P214" s="9">
        <v>0.12929599999999999</v>
      </c>
    </row>
    <row r="215" spans="1:16" x14ac:dyDescent="0.25">
      <c r="A215" s="6" t="s">
        <v>352</v>
      </c>
      <c r="B215" s="16" t="s">
        <v>647</v>
      </c>
      <c r="C215" s="16" t="s">
        <v>807</v>
      </c>
      <c r="D215" s="16" t="s">
        <v>700</v>
      </c>
      <c r="E215" s="16" t="s">
        <v>701</v>
      </c>
      <c r="F215" s="16" t="s">
        <v>129</v>
      </c>
      <c r="G215" s="16">
        <v>2.0300000000000001E-3</v>
      </c>
      <c r="H215" s="16">
        <v>2.8200000000000013E-4</v>
      </c>
      <c r="I215" s="16">
        <v>6.9206000000000004E-2</v>
      </c>
      <c r="J215" s="16">
        <v>-1.272899999999999E-2</v>
      </c>
      <c r="K215" s="16">
        <v>6.9206000000000004E-2</v>
      </c>
      <c r="L215" s="16">
        <v>-1.272899999999999E-2</v>
      </c>
      <c r="M215" s="16">
        <v>5.4365999999999998E-2</v>
      </c>
      <c r="N215" s="16">
        <v>-3.5707000000000003E-2</v>
      </c>
      <c r="O215" s="16">
        <v>0.14604400000000001</v>
      </c>
      <c r="P215" s="9">
        <v>-8.3192999999999989E-2</v>
      </c>
    </row>
    <row r="216" spans="1:16" x14ac:dyDescent="0.25">
      <c r="A216" s="6" t="s">
        <v>98</v>
      </c>
      <c r="B216" s="16" t="s">
        <v>304</v>
      </c>
      <c r="C216" s="16" t="s">
        <v>807</v>
      </c>
      <c r="D216" s="16" t="s">
        <v>700</v>
      </c>
      <c r="E216" s="16" t="s">
        <v>701</v>
      </c>
      <c r="F216" s="16" t="s">
        <v>136</v>
      </c>
      <c r="G216" s="16">
        <v>-1.1249999999999999E-3</v>
      </c>
      <c r="H216" s="16">
        <v>-2.8729999999999997E-3</v>
      </c>
      <c r="I216" s="16">
        <v>6.7516000000000007E-2</v>
      </c>
      <c r="J216" s="16">
        <v>-1.4418999999999987E-2</v>
      </c>
      <c r="K216" s="16">
        <v>6.7516000000000007E-2</v>
      </c>
      <c r="L216" s="16">
        <v>-1.4418999999999987E-2</v>
      </c>
      <c r="M216" s="16">
        <v>9.7497E-2</v>
      </c>
      <c r="N216" s="16">
        <v>7.424E-3</v>
      </c>
      <c r="O216" s="16">
        <v>0.292466</v>
      </c>
      <c r="P216" s="9">
        <v>6.3229000000000007E-2</v>
      </c>
    </row>
    <row r="217" spans="1:16" x14ac:dyDescent="0.25">
      <c r="A217" s="6" t="s">
        <v>94</v>
      </c>
      <c r="B217" s="16" t="s">
        <v>294</v>
      </c>
      <c r="C217" s="16" t="s">
        <v>807</v>
      </c>
      <c r="D217" s="16" t="s">
        <v>700</v>
      </c>
      <c r="E217" s="16" t="s">
        <v>701</v>
      </c>
      <c r="F217" s="16" t="s">
        <v>211</v>
      </c>
      <c r="G217" s="16">
        <v>-1.14E-3</v>
      </c>
      <c r="H217" s="16">
        <v>-2.8879999999999999E-3</v>
      </c>
      <c r="I217" s="16">
        <v>7.9677999999999999E-2</v>
      </c>
      <c r="J217" s="16">
        <v>-2.2569999999999951E-3</v>
      </c>
      <c r="K217" s="16">
        <v>7.9677999999999999E-2</v>
      </c>
      <c r="L217" s="16">
        <v>-2.2569999999999951E-3</v>
      </c>
      <c r="M217" s="16">
        <v>7.1773000000000003E-2</v>
      </c>
      <c r="N217" s="16">
        <v>-1.8299999999999997E-2</v>
      </c>
      <c r="O217" s="16">
        <v>0.161716</v>
      </c>
      <c r="P217" s="9">
        <v>-6.7520999999999998E-2</v>
      </c>
    </row>
    <row r="218" spans="1:16" x14ac:dyDescent="0.25">
      <c r="A218" s="6" t="s">
        <v>401</v>
      </c>
      <c r="B218" s="16" t="s">
        <v>624</v>
      </c>
      <c r="C218" s="16" t="s">
        <v>807</v>
      </c>
      <c r="D218" s="16" t="s">
        <v>700</v>
      </c>
      <c r="E218" s="16" t="s">
        <v>701</v>
      </c>
      <c r="F218" s="16" t="s">
        <v>625</v>
      </c>
      <c r="G218" s="16">
        <v>-1.2880000000000001E-3</v>
      </c>
      <c r="H218" s="16">
        <v>-3.0360000000000001E-3</v>
      </c>
      <c r="I218" s="16">
        <v>8.1412999999999999E-2</v>
      </c>
      <c r="J218" s="16">
        <v>-5.2199999999999469E-4</v>
      </c>
      <c r="K218" s="16">
        <v>8.1412999999999999E-2</v>
      </c>
      <c r="L218" s="16">
        <v>-5.2199999999999469E-4</v>
      </c>
      <c r="M218" s="16">
        <v>8.0438999999999997E-2</v>
      </c>
      <c r="N218" s="16">
        <v>-9.6340000000000037E-3</v>
      </c>
      <c r="O218" s="16">
        <v>0.17949200000000001</v>
      </c>
      <c r="P218" s="9">
        <v>-4.9744999999999984E-2</v>
      </c>
    </row>
    <row r="219" spans="1:16" x14ac:dyDescent="0.25">
      <c r="A219" s="6" t="s">
        <v>463</v>
      </c>
      <c r="B219" s="16" t="s">
        <v>698</v>
      </c>
      <c r="C219" s="16" t="s">
        <v>699</v>
      </c>
      <c r="D219" s="16" t="s">
        <v>700</v>
      </c>
      <c r="E219" s="16" t="s">
        <v>701</v>
      </c>
      <c r="F219" s="16" t="s">
        <v>136</v>
      </c>
      <c r="G219" s="16">
        <v>-2.2829999999999999E-3</v>
      </c>
      <c r="H219" s="16">
        <v>-4.0309999999999999E-3</v>
      </c>
      <c r="I219" s="16">
        <v>9.9352999999999997E-2</v>
      </c>
      <c r="J219" s="16">
        <v>1.7418000000000003E-2</v>
      </c>
      <c r="K219" s="16">
        <v>9.9352999999999997E-2</v>
      </c>
      <c r="L219" s="16">
        <v>1.7418000000000003E-2</v>
      </c>
      <c r="M219" s="16">
        <v>0.151505</v>
      </c>
      <c r="N219" s="16">
        <v>6.1432E-2</v>
      </c>
      <c r="O219" s="16">
        <v>0.334619</v>
      </c>
      <c r="P219" s="9">
        <v>0.105382</v>
      </c>
    </row>
    <row r="220" spans="1:16" x14ac:dyDescent="0.25">
      <c r="A220" s="6" t="s">
        <v>407</v>
      </c>
      <c r="B220" s="16" t="s">
        <v>637</v>
      </c>
      <c r="C220" s="16" t="s">
        <v>807</v>
      </c>
      <c r="D220" s="16" t="s">
        <v>700</v>
      </c>
      <c r="E220" s="16" t="s">
        <v>701</v>
      </c>
      <c r="F220" s="16" t="s">
        <v>638</v>
      </c>
      <c r="G220" s="16">
        <v>-1.2644000000000001E-2</v>
      </c>
      <c r="H220" s="16">
        <v>-1.4392E-2</v>
      </c>
      <c r="I220" s="16">
        <v>6.2357000000000003E-2</v>
      </c>
      <c r="J220" s="16">
        <v>-1.9577999999999991E-2</v>
      </c>
      <c r="K220" s="16">
        <v>6.2357000000000003E-2</v>
      </c>
      <c r="L220" s="16">
        <v>-1.9577999999999991E-2</v>
      </c>
      <c r="M220" s="16">
        <v>6.1199000000000003E-2</v>
      </c>
      <c r="N220" s="16">
        <v>-2.8873999999999997E-2</v>
      </c>
      <c r="O220" s="16">
        <v>0.19744600000000001</v>
      </c>
      <c r="P220" s="9">
        <v>-3.1790999999999986E-2</v>
      </c>
    </row>
    <row r="221" spans="1:16" x14ac:dyDescent="0.25">
      <c r="A221" s="5" t="s">
        <v>348</v>
      </c>
      <c r="B221" s="3" t="s">
        <v>626</v>
      </c>
      <c r="C221" s="3" t="s">
        <v>808</v>
      </c>
      <c r="D221" s="3" t="s">
        <v>809</v>
      </c>
      <c r="E221" s="3" t="s">
        <v>810</v>
      </c>
      <c r="F221" s="3" t="s">
        <v>129</v>
      </c>
      <c r="G221" s="3">
        <v>-2.0444E-2</v>
      </c>
      <c r="H221" s="3">
        <v>9.9099999999999987E-3</v>
      </c>
      <c r="I221" s="3">
        <v>4.7940000000000003E-2</v>
      </c>
      <c r="J221" s="3">
        <v>2.6689000000000004E-2</v>
      </c>
      <c r="K221" s="3">
        <v>4.7940000000000003E-2</v>
      </c>
      <c r="L221" s="3">
        <v>2.6689000000000004E-2</v>
      </c>
      <c r="M221" s="3">
        <v>-3.5046000000000001E-2</v>
      </c>
      <c r="N221" s="3">
        <v>3.1380999999999999E-2</v>
      </c>
      <c r="O221" s="3">
        <v>6.7506999999999998E-2</v>
      </c>
      <c r="P221" s="8">
        <v>5.2322999999999995E-2</v>
      </c>
    </row>
    <row r="222" spans="1:16" x14ac:dyDescent="0.25">
      <c r="A222" s="6" t="s">
        <v>494</v>
      </c>
      <c r="B222" s="16" t="s">
        <v>702</v>
      </c>
      <c r="C222" s="16" t="s">
        <v>808</v>
      </c>
      <c r="D222" s="16" t="s">
        <v>809</v>
      </c>
      <c r="E222" s="16" t="s">
        <v>810</v>
      </c>
      <c r="F222" s="16" t="s">
        <v>703</v>
      </c>
      <c r="G222" s="16">
        <v>-2.6758000000000001E-2</v>
      </c>
      <c r="H222" s="16">
        <v>3.5959999999999985E-3</v>
      </c>
      <c r="I222" s="16">
        <v>3.2778000000000002E-2</v>
      </c>
      <c r="J222" s="16">
        <v>1.1527000000000003E-2</v>
      </c>
      <c r="K222" s="16">
        <v>3.2778000000000002E-2</v>
      </c>
      <c r="L222" s="16">
        <v>1.1527000000000003E-2</v>
      </c>
      <c r="M222" s="16">
        <v>-3.4091999999999997E-2</v>
      </c>
      <c r="N222" s="16">
        <v>3.2335000000000003E-2</v>
      </c>
      <c r="O222" s="16">
        <v>4.2118999999999997E-2</v>
      </c>
      <c r="P222" s="9">
        <v>2.6934999999999997E-2</v>
      </c>
    </row>
    <row r="223" spans="1:16" x14ac:dyDescent="0.25">
      <c r="A223" s="6" t="s">
        <v>485</v>
      </c>
      <c r="B223" s="16" t="s">
        <v>733</v>
      </c>
      <c r="C223" s="16" t="s">
        <v>808</v>
      </c>
      <c r="D223" s="16" t="s">
        <v>809</v>
      </c>
      <c r="E223" s="16" t="s">
        <v>810</v>
      </c>
      <c r="F223" s="16" t="s">
        <v>703</v>
      </c>
      <c r="G223" s="16">
        <v>-2.7088999999999998E-2</v>
      </c>
      <c r="H223" s="16">
        <v>3.2650000000000005E-3</v>
      </c>
      <c r="I223" s="16">
        <v>3.1940000000000003E-2</v>
      </c>
      <c r="J223" s="16">
        <v>1.0689000000000004E-2</v>
      </c>
      <c r="K223" s="16">
        <v>3.1940000000000003E-2</v>
      </c>
      <c r="L223" s="16">
        <v>1.0689000000000004E-2</v>
      </c>
      <c r="M223" s="16">
        <v>-3.2679E-2</v>
      </c>
      <c r="N223" s="16">
        <v>3.3748E-2</v>
      </c>
      <c r="O223" s="16">
        <v>4.0106000000000003E-2</v>
      </c>
      <c r="P223" s="9">
        <v>2.4922000000000003E-2</v>
      </c>
    </row>
    <row r="224" spans="1:16" x14ac:dyDescent="0.25">
      <c r="A224" s="6" t="s">
        <v>52</v>
      </c>
      <c r="B224" s="16" t="s">
        <v>303</v>
      </c>
      <c r="C224" s="16" t="s">
        <v>808</v>
      </c>
      <c r="D224" s="16" t="s">
        <v>809</v>
      </c>
      <c r="E224" s="16" t="s">
        <v>810</v>
      </c>
      <c r="F224" s="16" t="s">
        <v>136</v>
      </c>
      <c r="G224" s="16">
        <v>-2.7602000000000002E-2</v>
      </c>
      <c r="H224" s="16">
        <v>2.7519999999999975E-3</v>
      </c>
      <c r="I224" s="16">
        <v>1.8082999999999998E-2</v>
      </c>
      <c r="J224" s="16">
        <v>-3.1680000000000007E-3</v>
      </c>
      <c r="K224" s="16">
        <v>1.8082999999999998E-2</v>
      </c>
      <c r="L224" s="16">
        <v>-3.1680000000000007E-3</v>
      </c>
      <c r="M224" s="16">
        <v>-5.1483000000000001E-2</v>
      </c>
      <c r="N224" s="16">
        <v>1.4943999999999999E-2</v>
      </c>
      <c r="O224" s="16">
        <v>1.3643000000000001E-2</v>
      </c>
      <c r="P224" s="9">
        <v>-1.540999999999999E-3</v>
      </c>
    </row>
    <row r="225" spans="1:16" x14ac:dyDescent="0.25">
      <c r="A225" s="6" t="s">
        <v>446</v>
      </c>
      <c r="B225" s="16" t="s">
        <v>614</v>
      </c>
      <c r="C225" s="16" t="s">
        <v>808</v>
      </c>
      <c r="D225" s="16" t="s">
        <v>809</v>
      </c>
      <c r="E225" s="16" t="s">
        <v>810</v>
      </c>
      <c r="F225" s="16" t="s">
        <v>136</v>
      </c>
      <c r="G225" s="16">
        <v>-2.7630999999999999E-2</v>
      </c>
      <c r="H225" s="16">
        <v>2.7229999999999997E-3</v>
      </c>
      <c r="I225" s="16">
        <v>3.2749E-2</v>
      </c>
      <c r="J225" s="16">
        <v>1.1498000000000001E-2</v>
      </c>
      <c r="K225" s="16">
        <v>3.2749E-2</v>
      </c>
      <c r="L225" s="16">
        <v>1.1498000000000001E-2</v>
      </c>
      <c r="M225" s="16">
        <v>-5.8041000000000002E-2</v>
      </c>
      <c r="N225" s="16">
        <v>8.3859999999999976E-3</v>
      </c>
      <c r="O225" s="16">
        <v>2.264E-3</v>
      </c>
      <c r="P225" s="9">
        <v>-1.2919999999999999E-2</v>
      </c>
    </row>
    <row r="226" spans="1:16" x14ac:dyDescent="0.25">
      <c r="A226" s="6" t="s">
        <v>357</v>
      </c>
      <c r="B226" s="16" t="s">
        <v>616</v>
      </c>
      <c r="C226" s="16" t="s">
        <v>808</v>
      </c>
      <c r="D226" s="16" t="s">
        <v>809</v>
      </c>
      <c r="E226" s="16" t="s">
        <v>810</v>
      </c>
      <c r="F226" s="16" t="s">
        <v>136</v>
      </c>
      <c r="G226" s="16">
        <v>-2.7942000000000002E-2</v>
      </c>
      <c r="H226" s="16">
        <v>2.4119999999999975E-3</v>
      </c>
      <c r="I226" s="16">
        <v>2.7879999999999999E-2</v>
      </c>
      <c r="J226" s="16">
        <v>6.6289999999999995E-3</v>
      </c>
      <c r="K226" s="16">
        <v>2.7879999999999999E-2</v>
      </c>
      <c r="L226" s="16">
        <v>6.6289999999999995E-3</v>
      </c>
      <c r="M226" s="16">
        <v>-8.2035999999999998E-2</v>
      </c>
      <c r="N226" s="16">
        <v>-1.5608999999999998E-2</v>
      </c>
      <c r="O226" s="16">
        <v>1.8217000000000001E-2</v>
      </c>
      <c r="P226" s="9">
        <v>3.033000000000001E-3</v>
      </c>
    </row>
    <row r="227" spans="1:16" x14ac:dyDescent="0.25">
      <c r="A227" s="6" t="s">
        <v>445</v>
      </c>
      <c r="B227" s="16" t="s">
        <v>610</v>
      </c>
      <c r="C227" s="16" t="s">
        <v>808</v>
      </c>
      <c r="D227" s="16" t="s">
        <v>809</v>
      </c>
      <c r="E227" s="16" t="s">
        <v>810</v>
      </c>
      <c r="F227" s="16" t="s">
        <v>136</v>
      </c>
      <c r="G227" s="16">
        <v>-3.0360999999999999E-2</v>
      </c>
      <c r="H227" s="16">
        <v>-7.0000000000000617E-6</v>
      </c>
      <c r="I227" s="16">
        <v>2.8992E-2</v>
      </c>
      <c r="J227" s="16">
        <v>7.7410000000000014E-3</v>
      </c>
      <c r="K227" s="16">
        <v>2.8992E-2</v>
      </c>
      <c r="L227" s="16">
        <v>7.7410000000000014E-3</v>
      </c>
      <c r="M227" s="16">
        <v>-5.6099000000000003E-2</v>
      </c>
      <c r="N227" s="16">
        <v>1.0327999999999997E-2</v>
      </c>
      <c r="O227" s="16">
        <v>3.5064999999999999E-2</v>
      </c>
      <c r="P227" s="9">
        <v>1.9880999999999999E-2</v>
      </c>
    </row>
    <row r="228" spans="1:16" x14ac:dyDescent="0.25">
      <c r="A228" s="6" t="s">
        <v>424</v>
      </c>
      <c r="B228" s="16" t="s">
        <v>607</v>
      </c>
      <c r="C228" s="16" t="s">
        <v>808</v>
      </c>
      <c r="D228" s="16" t="s">
        <v>809</v>
      </c>
      <c r="E228" s="16" t="s">
        <v>810</v>
      </c>
      <c r="F228" s="16" t="s">
        <v>608</v>
      </c>
      <c r="G228" s="16">
        <v>-4.0774999999999999E-2</v>
      </c>
      <c r="H228" s="16">
        <v>-1.0421E-2</v>
      </c>
      <c r="I228" s="16">
        <v>8.574E-3</v>
      </c>
      <c r="J228" s="16">
        <v>-1.2676999999999999E-2</v>
      </c>
      <c r="K228" s="16">
        <v>8.574E-3</v>
      </c>
      <c r="L228" s="16">
        <v>-1.2676999999999999E-2</v>
      </c>
      <c r="M228" s="16">
        <v>-9.4465999999999994E-2</v>
      </c>
      <c r="N228" s="16">
        <v>-2.8038999999999994E-2</v>
      </c>
      <c r="O228" s="16">
        <v>-1.3636000000000001E-2</v>
      </c>
      <c r="P228" s="9">
        <v>-2.8819999999999998E-2</v>
      </c>
    </row>
    <row r="229" spans="1:16" x14ac:dyDescent="0.25">
      <c r="A229" s="5" t="s">
        <v>45</v>
      </c>
      <c r="B229" s="3" t="s">
        <v>822</v>
      </c>
      <c r="C229" s="3" t="s">
        <v>811</v>
      </c>
      <c r="D229" s="3" t="s">
        <v>135</v>
      </c>
      <c r="E229" s="3" t="s">
        <v>224</v>
      </c>
      <c r="F229" s="3" t="s">
        <v>174</v>
      </c>
      <c r="G229" s="3">
        <v>2.087E-2</v>
      </c>
      <c r="H229" s="3">
        <v>5.1486999999999998E-2</v>
      </c>
      <c r="I229" s="3">
        <v>0.101734</v>
      </c>
      <c r="J229" s="3">
        <v>8.9232000000000006E-2</v>
      </c>
      <c r="K229" s="3">
        <v>0.101734</v>
      </c>
      <c r="L229" s="3">
        <v>8.9232000000000006E-2</v>
      </c>
      <c r="M229" s="3">
        <v>0.23302700000000001</v>
      </c>
      <c r="N229" s="3">
        <v>0.30355599999999999</v>
      </c>
      <c r="O229" s="3">
        <v>0.384635</v>
      </c>
      <c r="P229" s="8">
        <v>0.40080100000000002</v>
      </c>
    </row>
    <row r="230" spans="1:16" x14ac:dyDescent="0.25">
      <c r="A230" s="6" t="s">
        <v>442</v>
      </c>
      <c r="B230" s="16" t="s">
        <v>649</v>
      </c>
      <c r="C230" s="16" t="s">
        <v>811</v>
      </c>
      <c r="D230" s="16" t="s">
        <v>135</v>
      </c>
      <c r="E230" s="16" t="s">
        <v>224</v>
      </c>
      <c r="F230" s="16" t="s">
        <v>136</v>
      </c>
      <c r="G230" s="16">
        <v>1.3114000000000001E-2</v>
      </c>
      <c r="H230" s="16">
        <v>4.3730999999999999E-2</v>
      </c>
      <c r="I230" s="16">
        <v>8.0268000000000006E-2</v>
      </c>
      <c r="J230" s="16">
        <v>6.7766000000000007E-2</v>
      </c>
      <c r="K230" s="16">
        <v>8.0268000000000006E-2</v>
      </c>
      <c r="L230" s="16">
        <v>6.7766000000000007E-2</v>
      </c>
      <c r="M230" s="16">
        <v>0.141045</v>
      </c>
      <c r="N230" s="16">
        <v>0.21157399999999998</v>
      </c>
      <c r="O230" s="16">
        <v>0.31217499999999998</v>
      </c>
      <c r="P230" s="9">
        <v>0.32834099999999999</v>
      </c>
    </row>
    <row r="231" spans="1:16" x14ac:dyDescent="0.25">
      <c r="A231" s="6" t="s">
        <v>345</v>
      </c>
      <c r="B231" s="16" t="s">
        <v>644</v>
      </c>
      <c r="C231" s="16" t="s">
        <v>811</v>
      </c>
      <c r="D231" s="16" t="s">
        <v>135</v>
      </c>
      <c r="E231" s="16" t="s">
        <v>224</v>
      </c>
      <c r="F231" s="16" t="s">
        <v>645</v>
      </c>
      <c r="G231" s="16">
        <v>6.143E-3</v>
      </c>
      <c r="H231" s="16">
        <v>3.6760000000000001E-2</v>
      </c>
      <c r="I231" s="16">
        <v>7.8302999999999998E-2</v>
      </c>
      <c r="J231" s="16">
        <v>6.5800999999999998E-2</v>
      </c>
      <c r="K231" s="16">
        <v>7.8302999999999998E-2</v>
      </c>
      <c r="L231" s="16">
        <v>6.5800999999999998E-2</v>
      </c>
      <c r="M231" s="16">
        <v>4.6294000000000002E-2</v>
      </c>
      <c r="N231" s="16">
        <v>0.116823</v>
      </c>
      <c r="O231" s="16">
        <v>8.7513999999999995E-2</v>
      </c>
      <c r="P231" s="9">
        <v>0.10367999999999999</v>
      </c>
    </row>
    <row r="232" spans="1:16" x14ac:dyDescent="0.25">
      <c r="A232" s="6" t="s">
        <v>377</v>
      </c>
      <c r="B232" s="16" t="s">
        <v>633</v>
      </c>
      <c r="C232" s="16" t="s">
        <v>811</v>
      </c>
      <c r="D232" s="16" t="s">
        <v>135</v>
      </c>
      <c r="E232" s="16" t="s">
        <v>224</v>
      </c>
      <c r="F232" s="16" t="s">
        <v>136</v>
      </c>
      <c r="G232" s="16">
        <v>-5.1E-5</v>
      </c>
      <c r="H232" s="16">
        <v>3.0565999999999999E-2</v>
      </c>
      <c r="I232" s="16">
        <v>6.6375000000000003E-2</v>
      </c>
      <c r="J232" s="16">
        <v>5.3873000000000004E-2</v>
      </c>
      <c r="K232" s="16">
        <v>6.6375000000000003E-2</v>
      </c>
      <c r="L232" s="16">
        <v>5.3873000000000004E-2</v>
      </c>
      <c r="M232" s="16">
        <v>7.3634000000000005E-2</v>
      </c>
      <c r="N232" s="16">
        <v>0.14416299999999999</v>
      </c>
      <c r="O232" s="16">
        <v>0.13050999999999999</v>
      </c>
      <c r="P232" s="9">
        <v>0.14667599999999997</v>
      </c>
    </row>
    <row r="233" spans="1:16" x14ac:dyDescent="0.25">
      <c r="A233" s="6" t="s">
        <v>342</v>
      </c>
      <c r="B233" s="16" t="s">
        <v>636</v>
      </c>
      <c r="C233" s="16" t="s">
        <v>811</v>
      </c>
      <c r="D233" s="16" t="s">
        <v>135</v>
      </c>
      <c r="E233" s="16" t="s">
        <v>224</v>
      </c>
      <c r="F233" s="16" t="s">
        <v>136</v>
      </c>
      <c r="G233" s="16">
        <v>-5.7499999999999999E-4</v>
      </c>
      <c r="H233" s="16">
        <v>3.0041999999999999E-2</v>
      </c>
      <c r="I233" s="16">
        <v>6.7600999999999994E-2</v>
      </c>
      <c r="J233" s="16">
        <v>5.5098999999999995E-2</v>
      </c>
      <c r="K233" s="16">
        <v>6.7600999999999994E-2</v>
      </c>
      <c r="L233" s="16">
        <v>5.5098999999999995E-2</v>
      </c>
      <c r="M233" s="16">
        <v>8.1605999999999998E-2</v>
      </c>
      <c r="N233" s="16">
        <v>0.15213499999999999</v>
      </c>
      <c r="O233" s="16">
        <v>0.14776800000000001</v>
      </c>
      <c r="P233" s="9">
        <v>0.16393400000000002</v>
      </c>
    </row>
    <row r="234" spans="1:16" x14ac:dyDescent="0.25">
      <c r="A234" s="6" t="s">
        <v>368</v>
      </c>
      <c r="B234" s="16" t="s">
        <v>646</v>
      </c>
      <c r="C234" s="16" t="s">
        <v>811</v>
      </c>
      <c r="D234" s="16" t="s">
        <v>135</v>
      </c>
      <c r="E234" s="16" t="s">
        <v>224</v>
      </c>
      <c r="F234" s="16" t="s">
        <v>129</v>
      </c>
      <c r="G234" s="16">
        <v>-4.6290000000000003E-3</v>
      </c>
      <c r="H234" s="16">
        <v>2.5987999999999997E-2</v>
      </c>
      <c r="I234" s="16">
        <v>6.6493999999999998E-2</v>
      </c>
      <c r="J234" s="16">
        <v>5.3991999999999998E-2</v>
      </c>
      <c r="K234" s="16">
        <v>6.6493999999999998E-2</v>
      </c>
      <c r="L234" s="16">
        <v>5.3991999999999998E-2</v>
      </c>
      <c r="M234" s="16">
        <v>0.13048199999999999</v>
      </c>
      <c r="N234" s="16">
        <v>0.201011</v>
      </c>
      <c r="O234" s="16">
        <v>0.237901</v>
      </c>
      <c r="P234" s="9">
        <v>0.25406699999999999</v>
      </c>
    </row>
    <row r="235" spans="1:16" x14ac:dyDescent="0.25">
      <c r="A235" s="6" t="s">
        <v>473</v>
      </c>
      <c r="B235" s="16" t="s">
        <v>740</v>
      </c>
      <c r="C235" s="16" t="s">
        <v>811</v>
      </c>
      <c r="D235" s="16" t="s">
        <v>135</v>
      </c>
      <c r="E235" s="16" t="s">
        <v>224</v>
      </c>
      <c r="F235" s="16" t="s">
        <v>741</v>
      </c>
      <c r="G235" s="16">
        <v>-4.731E-3</v>
      </c>
      <c r="H235" s="16">
        <v>2.5885999999999999E-2</v>
      </c>
      <c r="I235" s="16">
        <v>4.8265000000000002E-2</v>
      </c>
      <c r="J235" s="16">
        <v>3.5763000000000003E-2</v>
      </c>
      <c r="K235" s="16">
        <v>4.8265000000000002E-2</v>
      </c>
      <c r="L235" s="16">
        <v>3.5763000000000003E-2</v>
      </c>
      <c r="M235" s="16">
        <v>4.7307000000000002E-2</v>
      </c>
      <c r="N235" s="16">
        <v>0.117836</v>
      </c>
      <c r="O235" s="16">
        <v>9.0952000000000005E-2</v>
      </c>
      <c r="P235" s="9">
        <v>0.107118</v>
      </c>
    </row>
    <row r="236" spans="1:16" x14ac:dyDescent="0.25">
      <c r="A236" s="6" t="s">
        <v>79</v>
      </c>
      <c r="B236" s="16" t="s">
        <v>201</v>
      </c>
      <c r="C236" s="16" t="s">
        <v>811</v>
      </c>
      <c r="D236" s="16" t="s">
        <v>135</v>
      </c>
      <c r="E236" s="16" t="s">
        <v>224</v>
      </c>
      <c r="F236" s="16" t="s">
        <v>202</v>
      </c>
      <c r="G236" s="16">
        <v>-5.5519999999999996E-3</v>
      </c>
      <c r="H236" s="16">
        <v>2.5064999999999997E-2</v>
      </c>
      <c r="I236" s="16">
        <v>4.3721000000000003E-2</v>
      </c>
      <c r="J236" s="16">
        <v>3.1219000000000004E-2</v>
      </c>
      <c r="K236" s="16">
        <v>4.3721000000000003E-2</v>
      </c>
      <c r="L236" s="16">
        <v>3.1219000000000004E-2</v>
      </c>
      <c r="M236" s="16">
        <v>3.4716999999999998E-2</v>
      </c>
      <c r="N236" s="16">
        <v>0.10524599999999999</v>
      </c>
      <c r="O236" s="16">
        <v>7.6248999999999997E-2</v>
      </c>
      <c r="P236" s="9">
        <v>9.2414999999999997E-2</v>
      </c>
    </row>
    <row r="237" spans="1:16" x14ac:dyDescent="0.25">
      <c r="A237" s="6" t="s">
        <v>447</v>
      </c>
      <c r="B237" s="16" t="s">
        <v>641</v>
      </c>
      <c r="C237" s="16" t="s">
        <v>811</v>
      </c>
      <c r="D237" s="16" t="s">
        <v>135</v>
      </c>
      <c r="E237" s="16" t="s">
        <v>224</v>
      </c>
      <c r="F237" s="16" t="s">
        <v>136</v>
      </c>
      <c r="G237" s="16">
        <v>-9.7380000000000001E-3</v>
      </c>
      <c r="H237" s="16">
        <v>2.0878999999999998E-2</v>
      </c>
      <c r="I237" s="16">
        <v>5.4172999999999999E-2</v>
      </c>
      <c r="J237" s="16">
        <v>4.1671E-2</v>
      </c>
      <c r="K237" s="16">
        <v>5.4172999999999999E-2</v>
      </c>
      <c r="L237" s="16">
        <v>4.1671E-2</v>
      </c>
      <c r="M237" s="16">
        <v>6.2442999999999999E-2</v>
      </c>
      <c r="N237" s="16">
        <v>0.13297199999999998</v>
      </c>
      <c r="O237" s="16">
        <v>0.153304</v>
      </c>
      <c r="P237" s="9">
        <v>0.16947000000000001</v>
      </c>
    </row>
    <row r="238" spans="1:16" x14ac:dyDescent="0.25">
      <c r="A238" s="6" t="s">
        <v>340</v>
      </c>
      <c r="B238" s="16" t="s">
        <v>639</v>
      </c>
      <c r="C238" s="16" t="s">
        <v>811</v>
      </c>
      <c r="D238" s="16" t="s">
        <v>135</v>
      </c>
      <c r="E238" s="16" t="s">
        <v>224</v>
      </c>
      <c r="F238" s="16" t="s">
        <v>640</v>
      </c>
      <c r="G238" s="16">
        <v>-1.4919E-2</v>
      </c>
      <c r="H238" s="16">
        <v>1.5697999999999997E-2</v>
      </c>
      <c r="I238" s="16">
        <v>3.2076E-2</v>
      </c>
      <c r="J238" s="16">
        <v>1.9574000000000001E-2</v>
      </c>
      <c r="K238" s="16">
        <v>3.2076E-2</v>
      </c>
      <c r="L238" s="16">
        <v>1.9574000000000001E-2</v>
      </c>
      <c r="M238" s="16">
        <v>-7.5940000000000001E-3</v>
      </c>
      <c r="N238" s="16">
        <v>6.2934999999999991E-2</v>
      </c>
      <c r="O238" s="16">
        <v>4.5581999999999998E-2</v>
      </c>
      <c r="P238" s="9">
        <v>6.1747999999999997E-2</v>
      </c>
    </row>
    <row r="239" spans="1:16" x14ac:dyDescent="0.25">
      <c r="A239" s="6" t="s">
        <v>84</v>
      </c>
      <c r="B239" s="16" t="s">
        <v>302</v>
      </c>
      <c r="C239" s="16" t="s">
        <v>811</v>
      </c>
      <c r="D239" s="16" t="s">
        <v>135</v>
      </c>
      <c r="E239" s="16" t="s">
        <v>224</v>
      </c>
      <c r="F239" s="16" t="s">
        <v>136</v>
      </c>
      <c r="G239" s="16">
        <v>-2.1807E-2</v>
      </c>
      <c r="H239" s="16">
        <v>8.8099999999999984E-3</v>
      </c>
      <c r="I239" s="16">
        <v>6.4266000000000004E-2</v>
      </c>
      <c r="J239" s="16">
        <v>5.1764000000000004E-2</v>
      </c>
      <c r="K239" s="16">
        <v>6.4266000000000004E-2</v>
      </c>
      <c r="L239" s="16">
        <v>5.1764000000000004E-2</v>
      </c>
      <c r="M239" s="16">
        <v>0.158169</v>
      </c>
      <c r="N239" s="16">
        <v>0.22869800000000001</v>
      </c>
      <c r="O239" s="16">
        <v>0.23989099999999999</v>
      </c>
      <c r="P239" s="9">
        <v>0.25605699999999998</v>
      </c>
    </row>
    <row r="240" spans="1:16" x14ac:dyDescent="0.25">
      <c r="A240" s="6" t="s">
        <v>42</v>
      </c>
      <c r="B240" s="16" t="s">
        <v>301</v>
      </c>
      <c r="C240" s="16" t="s">
        <v>811</v>
      </c>
      <c r="D240" s="16" t="s">
        <v>135</v>
      </c>
      <c r="E240" s="16" t="s">
        <v>224</v>
      </c>
      <c r="F240" s="16" t="s">
        <v>136</v>
      </c>
      <c r="G240" s="16">
        <v>-2.3987000000000001E-2</v>
      </c>
      <c r="H240" s="16">
        <v>6.629999999999997E-3</v>
      </c>
      <c r="I240" s="16">
        <v>3.1473000000000001E-2</v>
      </c>
      <c r="J240" s="16">
        <v>1.8971000000000002E-2</v>
      </c>
      <c r="K240" s="16">
        <v>3.1473000000000001E-2</v>
      </c>
      <c r="L240" s="16">
        <v>1.8971000000000002E-2</v>
      </c>
      <c r="M240" s="16">
        <v>-6.3960000000000003E-2</v>
      </c>
      <c r="N240" s="16">
        <v>6.5689999999999915E-3</v>
      </c>
      <c r="O240" s="16">
        <v>7.7132000000000006E-2</v>
      </c>
      <c r="P240" s="9">
        <v>9.3298000000000006E-2</v>
      </c>
    </row>
    <row r="241" spans="1:16" x14ac:dyDescent="0.25">
      <c r="A241" s="6" t="s">
        <v>11</v>
      </c>
      <c r="B241" s="16" t="s">
        <v>296</v>
      </c>
      <c r="C241" s="16" t="s">
        <v>811</v>
      </c>
      <c r="D241" s="16" t="s">
        <v>135</v>
      </c>
      <c r="E241" s="16" t="s">
        <v>224</v>
      </c>
      <c r="F241" s="16" t="s">
        <v>136</v>
      </c>
      <c r="G241" s="16">
        <v>-2.4253E-2</v>
      </c>
      <c r="H241" s="16">
        <v>6.3639999999999981E-3</v>
      </c>
      <c r="I241" s="16">
        <v>3.5283000000000002E-2</v>
      </c>
      <c r="J241" s="16">
        <v>2.2781000000000003E-2</v>
      </c>
      <c r="K241" s="16">
        <v>3.5283000000000002E-2</v>
      </c>
      <c r="L241" s="16">
        <v>2.2781000000000003E-2</v>
      </c>
      <c r="M241" s="16">
        <v>-3.0136E-2</v>
      </c>
      <c r="N241" s="16">
        <v>4.0392999999999998E-2</v>
      </c>
      <c r="O241" s="16">
        <v>4.3187999999999997E-2</v>
      </c>
      <c r="P241" s="9">
        <v>5.9353999999999997E-2</v>
      </c>
    </row>
    <row r="242" spans="1:16" x14ac:dyDescent="0.25">
      <c r="A242" s="6" t="s">
        <v>444</v>
      </c>
      <c r="B242" s="16" t="s">
        <v>629</v>
      </c>
      <c r="C242" s="16" t="s">
        <v>811</v>
      </c>
      <c r="D242" s="16" t="s">
        <v>135</v>
      </c>
      <c r="E242" s="16" t="s">
        <v>224</v>
      </c>
      <c r="F242" s="16" t="s">
        <v>136</v>
      </c>
      <c r="G242" s="16">
        <v>-2.6981000000000002E-2</v>
      </c>
      <c r="H242" s="16">
        <v>3.6359999999999969E-3</v>
      </c>
      <c r="I242" s="16">
        <v>2.8379999999999999E-2</v>
      </c>
      <c r="J242" s="16">
        <v>1.5878E-2</v>
      </c>
      <c r="K242" s="16">
        <v>2.8379999999999999E-2</v>
      </c>
      <c r="L242" s="16">
        <v>1.5878E-2</v>
      </c>
      <c r="M242" s="16">
        <v>-5.7743000000000003E-2</v>
      </c>
      <c r="N242" s="16">
        <v>1.2785999999999992E-2</v>
      </c>
      <c r="O242" s="16">
        <v>4.8979999999999996E-3</v>
      </c>
      <c r="P242" s="9">
        <v>2.1063999999999999E-2</v>
      </c>
    </row>
    <row r="243" spans="1:16" x14ac:dyDescent="0.25">
      <c r="A243" s="6" t="s">
        <v>449</v>
      </c>
      <c r="B243" s="16" t="s">
        <v>630</v>
      </c>
      <c r="C243" s="16" t="s">
        <v>811</v>
      </c>
      <c r="D243" s="16" t="s">
        <v>135</v>
      </c>
      <c r="E243" s="16" t="s">
        <v>224</v>
      </c>
      <c r="F243" s="16" t="s">
        <v>136</v>
      </c>
      <c r="G243" s="16">
        <v>-2.7203999999999999E-2</v>
      </c>
      <c r="H243" s="16">
        <v>3.4129999999999994E-3</v>
      </c>
      <c r="I243" s="16">
        <v>3.1606000000000002E-2</v>
      </c>
      <c r="J243" s="16">
        <v>1.9104000000000003E-2</v>
      </c>
      <c r="K243" s="16">
        <v>3.1606000000000002E-2</v>
      </c>
      <c r="L243" s="16">
        <v>1.9104000000000003E-2</v>
      </c>
      <c r="M243" s="16">
        <v>-5.4781999999999997E-2</v>
      </c>
      <c r="N243" s="16">
        <v>1.5746999999999997E-2</v>
      </c>
      <c r="O243" s="16">
        <v>-2.366E-2</v>
      </c>
      <c r="P243" s="9">
        <v>-7.4940000000000007E-3</v>
      </c>
    </row>
    <row r="244" spans="1:16" x14ac:dyDescent="0.25">
      <c r="A244" s="6" t="s">
        <v>369</v>
      </c>
      <c r="B244" s="16" t="s">
        <v>627</v>
      </c>
      <c r="C244" s="16" t="s">
        <v>811</v>
      </c>
      <c r="D244" s="16" t="s">
        <v>135</v>
      </c>
      <c r="E244" s="16" t="s">
        <v>224</v>
      </c>
      <c r="F244" s="16" t="s">
        <v>136</v>
      </c>
      <c r="G244" s="16">
        <v>-2.8656000000000001E-2</v>
      </c>
      <c r="H244" s="16">
        <v>1.9609999999999975E-3</v>
      </c>
      <c r="I244" s="16">
        <v>2.1232000000000001E-2</v>
      </c>
      <c r="J244" s="16">
        <v>8.7300000000000016E-3</v>
      </c>
      <c r="K244" s="16">
        <v>2.1232000000000001E-2</v>
      </c>
      <c r="L244" s="16">
        <v>8.7300000000000016E-3</v>
      </c>
      <c r="M244" s="16">
        <v>-4.6032999999999998E-2</v>
      </c>
      <c r="N244" s="16">
        <v>2.4495999999999997E-2</v>
      </c>
      <c r="O244" s="16">
        <v>3.9294999999999997E-2</v>
      </c>
      <c r="P244" s="9">
        <v>5.5460999999999996E-2</v>
      </c>
    </row>
    <row r="245" spans="1:16" x14ac:dyDescent="0.25">
      <c r="A245" s="6" t="s">
        <v>373</v>
      </c>
      <c r="B245" s="16" t="s">
        <v>628</v>
      </c>
      <c r="C245" s="16" t="s">
        <v>811</v>
      </c>
      <c r="D245" s="16" t="s">
        <v>135</v>
      </c>
      <c r="E245" s="16" t="s">
        <v>224</v>
      </c>
      <c r="F245" s="16" t="s">
        <v>136</v>
      </c>
      <c r="G245" s="16">
        <v>-2.9055000000000001E-2</v>
      </c>
      <c r="H245" s="16">
        <v>1.5619999999999974E-3</v>
      </c>
      <c r="I245" s="16">
        <v>1.6865999999999999E-2</v>
      </c>
      <c r="J245" s="16">
        <v>4.3639999999999998E-3</v>
      </c>
      <c r="K245" s="16">
        <v>1.6865999999999999E-2</v>
      </c>
      <c r="L245" s="16">
        <v>4.3639999999999998E-3</v>
      </c>
      <c r="M245" s="16">
        <v>-6.0012999999999997E-2</v>
      </c>
      <c r="N245" s="16">
        <v>1.0515999999999998E-2</v>
      </c>
      <c r="O245" s="16">
        <v>2.5637E-2</v>
      </c>
      <c r="P245" s="9">
        <v>4.1803E-2</v>
      </c>
    </row>
    <row r="246" spans="1:16" x14ac:dyDescent="0.25">
      <c r="A246" s="6" t="s">
        <v>399</v>
      </c>
      <c r="B246" s="16" t="s">
        <v>618</v>
      </c>
      <c r="C246" s="16" t="s">
        <v>811</v>
      </c>
      <c r="D246" s="16" t="s">
        <v>135</v>
      </c>
      <c r="E246" s="16" t="s">
        <v>224</v>
      </c>
      <c r="F246" s="16" t="s">
        <v>136</v>
      </c>
      <c r="G246" s="16">
        <v>-2.9731E-2</v>
      </c>
      <c r="H246" s="16">
        <v>8.859999999999979E-4</v>
      </c>
      <c r="I246" s="16">
        <v>2.7819E-2</v>
      </c>
      <c r="J246" s="16">
        <v>1.5317000000000001E-2</v>
      </c>
      <c r="K246" s="16">
        <v>2.7819E-2</v>
      </c>
      <c r="L246" s="16">
        <v>1.5317000000000001E-2</v>
      </c>
      <c r="M246" s="16">
        <v>-4.6690000000000002E-2</v>
      </c>
      <c r="N246" s="16">
        <v>2.3838999999999992E-2</v>
      </c>
      <c r="O246" s="16">
        <v>2.5759000000000001E-2</v>
      </c>
      <c r="P246" s="9">
        <v>4.1925000000000004E-2</v>
      </c>
    </row>
    <row r="247" spans="1:16" x14ac:dyDescent="0.25">
      <c r="A247" s="6" t="s">
        <v>59</v>
      </c>
      <c r="B247" s="16" t="s">
        <v>295</v>
      </c>
      <c r="C247" s="16" t="s">
        <v>811</v>
      </c>
      <c r="D247" s="16" t="s">
        <v>135</v>
      </c>
      <c r="E247" s="16" t="s">
        <v>224</v>
      </c>
      <c r="F247" s="16" t="s">
        <v>153</v>
      </c>
      <c r="G247" s="16">
        <v>-3.0417E-2</v>
      </c>
      <c r="H247" s="16">
        <v>1.9999999999999879E-4</v>
      </c>
      <c r="I247" s="16">
        <v>1.2376E-2</v>
      </c>
      <c r="J247" s="16">
        <v>-1.2599999999999938E-4</v>
      </c>
      <c r="K247" s="16">
        <v>1.2376E-2</v>
      </c>
      <c r="L247" s="16">
        <v>-1.2599999999999938E-4</v>
      </c>
      <c r="M247" s="16">
        <v>-7.0735999999999993E-2</v>
      </c>
      <c r="N247" s="16">
        <v>-2.0699999999999885E-4</v>
      </c>
      <c r="O247" s="16">
        <v>-1.5689000000000002E-2</v>
      </c>
      <c r="P247" s="9">
        <v>4.7699999999999826E-4</v>
      </c>
    </row>
    <row r="248" spans="1:16" x14ac:dyDescent="0.25">
      <c r="A248" s="6" t="s">
        <v>25</v>
      </c>
      <c r="B248" s="16" t="s">
        <v>297</v>
      </c>
      <c r="C248" s="16" t="s">
        <v>811</v>
      </c>
      <c r="D248" s="16" t="s">
        <v>135</v>
      </c>
      <c r="E248" s="16" t="s">
        <v>224</v>
      </c>
      <c r="F248" s="16" t="s">
        <v>153</v>
      </c>
      <c r="G248" s="16">
        <v>-3.0714999999999999E-2</v>
      </c>
      <c r="H248" s="16">
        <v>-9.8000000000000864E-5</v>
      </c>
      <c r="I248" s="16">
        <v>1.3766E-2</v>
      </c>
      <c r="J248" s="16">
        <v>1.2640000000000012E-3</v>
      </c>
      <c r="K248" s="16">
        <v>1.3766E-2</v>
      </c>
      <c r="L248" s="16">
        <v>1.2640000000000012E-3</v>
      </c>
      <c r="M248" s="16">
        <v>-6.9370000000000001E-2</v>
      </c>
      <c r="N248" s="16">
        <v>1.1589999999999934E-3</v>
      </c>
      <c r="O248" s="16">
        <v>-1.6237999999999999E-2</v>
      </c>
      <c r="P248" s="9">
        <v>-7.1999999999999148E-5</v>
      </c>
    </row>
    <row r="249" spans="1:16" x14ac:dyDescent="0.25">
      <c r="A249" s="6" t="s">
        <v>474</v>
      </c>
      <c r="B249" s="16" t="s">
        <v>734</v>
      </c>
      <c r="C249" s="16" t="s">
        <v>811</v>
      </c>
      <c r="D249" s="16" t="s">
        <v>135</v>
      </c>
      <c r="E249" s="16" t="s">
        <v>224</v>
      </c>
      <c r="F249" s="16" t="s">
        <v>735</v>
      </c>
      <c r="G249" s="16">
        <v>-3.1005000000000001E-2</v>
      </c>
      <c r="H249" s="16">
        <v>-3.8800000000000293E-4</v>
      </c>
      <c r="I249" s="16">
        <v>1.9112000000000001E-2</v>
      </c>
      <c r="J249" s="16">
        <v>6.6100000000000013E-3</v>
      </c>
      <c r="K249" s="16">
        <v>1.9112000000000001E-2</v>
      </c>
      <c r="L249" s="16">
        <v>6.6100000000000013E-3</v>
      </c>
      <c r="M249" s="16">
        <v>-7.0092000000000002E-2</v>
      </c>
      <c r="N249" s="16">
        <v>4.3699999999999295E-4</v>
      </c>
      <c r="O249" s="16">
        <v>2.9020000000000001E-3</v>
      </c>
      <c r="P249" s="9">
        <v>1.9068000000000002E-2</v>
      </c>
    </row>
    <row r="250" spans="1:16" x14ac:dyDescent="0.25">
      <c r="A250" s="6" t="s">
        <v>50</v>
      </c>
      <c r="B250" s="16" t="s">
        <v>180</v>
      </c>
      <c r="C250" s="16" t="s">
        <v>811</v>
      </c>
      <c r="D250" s="16" t="s">
        <v>135</v>
      </c>
      <c r="E250" s="16" t="s">
        <v>224</v>
      </c>
      <c r="F250" s="16" t="s">
        <v>136</v>
      </c>
      <c r="G250" s="16">
        <v>-3.1015999999999998E-2</v>
      </c>
      <c r="H250" s="16">
        <v>-3.9900000000000005E-4</v>
      </c>
      <c r="I250" s="16">
        <v>1.3076000000000001E-2</v>
      </c>
      <c r="J250" s="16">
        <v>5.7400000000000159E-4</v>
      </c>
      <c r="K250" s="16">
        <v>1.3076000000000001E-2</v>
      </c>
      <c r="L250" s="16">
        <v>5.7400000000000159E-4</v>
      </c>
      <c r="M250" s="16">
        <v>-6.9071999999999995E-2</v>
      </c>
      <c r="N250" s="16">
        <v>1.457E-3</v>
      </c>
      <c r="O250" s="16">
        <v>-1.7172E-2</v>
      </c>
      <c r="P250" s="9">
        <v>-1.0059999999999999E-3</v>
      </c>
    </row>
    <row r="251" spans="1:16" x14ac:dyDescent="0.25">
      <c r="A251" s="6" t="s">
        <v>384</v>
      </c>
      <c r="B251" s="16" t="s">
        <v>621</v>
      </c>
      <c r="C251" s="16" t="s">
        <v>811</v>
      </c>
      <c r="D251" s="16" t="s">
        <v>135</v>
      </c>
      <c r="E251" s="16" t="s">
        <v>224</v>
      </c>
      <c r="F251" s="16" t="s">
        <v>622</v>
      </c>
      <c r="G251" s="16">
        <v>-3.1102999999999999E-2</v>
      </c>
      <c r="H251" s="16">
        <v>-4.8600000000000032E-4</v>
      </c>
      <c r="I251" s="16">
        <v>1.2347E-2</v>
      </c>
      <c r="J251" s="16">
        <v>-1.5499999999999889E-4</v>
      </c>
      <c r="K251" s="16">
        <v>1.2347E-2</v>
      </c>
      <c r="L251" s="16">
        <v>-1.5499999999999889E-4</v>
      </c>
      <c r="M251" s="16">
        <v>-7.0363999999999996E-2</v>
      </c>
      <c r="N251" s="16">
        <v>1.6499999999999848E-4</v>
      </c>
      <c r="O251" s="16">
        <v>-2.0483999999999999E-2</v>
      </c>
      <c r="P251" s="9">
        <v>-4.3179999999999989E-3</v>
      </c>
    </row>
    <row r="252" spans="1:16" x14ac:dyDescent="0.25">
      <c r="A252" s="6" t="s">
        <v>341</v>
      </c>
      <c r="B252" s="16" t="s">
        <v>623</v>
      </c>
      <c r="C252" s="16" t="s">
        <v>811</v>
      </c>
      <c r="D252" s="16" t="s">
        <v>135</v>
      </c>
      <c r="E252" s="16" t="s">
        <v>224</v>
      </c>
      <c r="F252" s="16" t="s">
        <v>136</v>
      </c>
      <c r="G252" s="16">
        <v>-3.1113999999999999E-2</v>
      </c>
      <c r="H252" s="16">
        <v>-4.9700000000000091E-4</v>
      </c>
      <c r="I252" s="16">
        <v>1.3506000000000001E-2</v>
      </c>
      <c r="J252" s="16">
        <v>1.0040000000000014E-3</v>
      </c>
      <c r="K252" s="16">
        <v>1.3506000000000001E-2</v>
      </c>
      <c r="L252" s="16">
        <v>1.0040000000000014E-3</v>
      </c>
      <c r="M252" s="16">
        <v>-6.9332000000000005E-2</v>
      </c>
      <c r="N252" s="16">
        <v>1.1969999999999897E-3</v>
      </c>
      <c r="O252" s="16">
        <v>-1.7174999999999999E-2</v>
      </c>
      <c r="P252" s="9">
        <v>-1.0089999999999995E-3</v>
      </c>
    </row>
    <row r="253" spans="1:16" x14ac:dyDescent="0.25">
      <c r="A253" s="6" t="s">
        <v>41</v>
      </c>
      <c r="B253" s="16" t="s">
        <v>300</v>
      </c>
      <c r="C253" s="16" t="s">
        <v>811</v>
      </c>
      <c r="D253" s="16" t="s">
        <v>135</v>
      </c>
      <c r="E253" s="16" t="s">
        <v>224</v>
      </c>
      <c r="F253" s="16" t="s">
        <v>136</v>
      </c>
      <c r="G253" s="16">
        <v>-3.1286000000000001E-2</v>
      </c>
      <c r="H253" s="16">
        <v>-6.6900000000000293E-4</v>
      </c>
      <c r="I253" s="16">
        <v>1.4031E-2</v>
      </c>
      <c r="J253" s="16">
        <v>1.5290000000000008E-3</v>
      </c>
      <c r="K253" s="16">
        <v>1.4031E-2</v>
      </c>
      <c r="L253" s="16">
        <v>1.5290000000000008E-3</v>
      </c>
      <c r="M253" s="16">
        <v>-6.8122000000000002E-2</v>
      </c>
      <c r="N253" s="16">
        <v>2.4069999999999925E-3</v>
      </c>
      <c r="O253" s="16">
        <v>2.6955E-2</v>
      </c>
      <c r="P253" s="9">
        <v>4.3121E-2</v>
      </c>
    </row>
    <row r="254" spans="1:16" x14ac:dyDescent="0.25">
      <c r="A254" s="6" t="s">
        <v>61</v>
      </c>
      <c r="B254" s="16" t="s">
        <v>305</v>
      </c>
      <c r="C254" s="16" t="s">
        <v>811</v>
      </c>
      <c r="D254" s="16" t="s">
        <v>135</v>
      </c>
      <c r="E254" s="16" t="s">
        <v>224</v>
      </c>
      <c r="F254" s="16" t="s">
        <v>154</v>
      </c>
      <c r="G254" s="16">
        <v>-3.4004E-2</v>
      </c>
      <c r="H254" s="16">
        <v>-3.3870000000000011E-3</v>
      </c>
      <c r="I254" s="16">
        <v>1.512E-2</v>
      </c>
      <c r="J254" s="16">
        <v>2.6180000000000005E-3</v>
      </c>
      <c r="K254" s="16">
        <v>1.512E-2</v>
      </c>
      <c r="L254" s="16">
        <v>2.6180000000000005E-3</v>
      </c>
      <c r="M254" s="16">
        <v>-6.6145999999999996E-2</v>
      </c>
      <c r="N254" s="16">
        <v>4.382999999999998E-3</v>
      </c>
      <c r="O254" s="16">
        <v>1.1000000000000001E-3</v>
      </c>
      <c r="P254" s="9">
        <v>1.7266E-2</v>
      </c>
    </row>
    <row r="255" spans="1:16" x14ac:dyDescent="0.25">
      <c r="A255" s="6" t="s">
        <v>26</v>
      </c>
      <c r="B255" s="16" t="s">
        <v>298</v>
      </c>
      <c r="C255" s="16" t="s">
        <v>811</v>
      </c>
      <c r="D255" s="16" t="s">
        <v>135</v>
      </c>
      <c r="E255" s="16" t="s">
        <v>224</v>
      </c>
      <c r="F255" s="16" t="s">
        <v>154</v>
      </c>
      <c r="G255" s="16">
        <v>-3.4143E-2</v>
      </c>
      <c r="H255" s="16">
        <v>-3.5260000000000014E-3</v>
      </c>
      <c r="I255" s="16">
        <v>1.5687E-2</v>
      </c>
      <c r="J255" s="16">
        <v>3.1850000000000003E-3</v>
      </c>
      <c r="K255" s="16">
        <v>1.5687E-2</v>
      </c>
      <c r="L255" s="16">
        <v>3.1850000000000003E-3</v>
      </c>
      <c r="M255" s="16">
        <v>-6.497E-2</v>
      </c>
      <c r="N255" s="16">
        <v>5.5589999999999945E-3</v>
      </c>
      <c r="O255" s="16">
        <v>7.4600000000000003E-4</v>
      </c>
      <c r="P255" s="9">
        <v>1.6912E-2</v>
      </c>
    </row>
    <row r="256" spans="1:16" x14ac:dyDescent="0.25">
      <c r="A256" s="6" t="s">
        <v>433</v>
      </c>
      <c r="B256" s="16" t="s">
        <v>615</v>
      </c>
      <c r="C256" s="16" t="s">
        <v>811</v>
      </c>
      <c r="D256" s="16" t="s">
        <v>135</v>
      </c>
      <c r="E256" s="16" t="s">
        <v>224</v>
      </c>
      <c r="F256" s="16" t="s">
        <v>136</v>
      </c>
      <c r="G256" s="16">
        <v>-3.5991000000000002E-2</v>
      </c>
      <c r="H256" s="16">
        <v>-5.3740000000000038E-3</v>
      </c>
      <c r="I256" s="16">
        <v>1.0479E-2</v>
      </c>
      <c r="J256" s="16">
        <v>-2.0229999999999988E-3</v>
      </c>
      <c r="K256" s="16">
        <v>1.0479E-2</v>
      </c>
      <c r="L256" s="16">
        <v>-2.0229999999999988E-3</v>
      </c>
      <c r="M256" s="16">
        <v>-8.7360999999999994E-2</v>
      </c>
      <c r="N256" s="16">
        <v>-1.6832E-2</v>
      </c>
      <c r="O256" s="16">
        <v>-1.5384E-2</v>
      </c>
      <c r="P256" s="9">
        <v>7.8199999999999971E-4</v>
      </c>
    </row>
    <row r="257" spans="1:16" x14ac:dyDescent="0.25">
      <c r="A257" s="6" t="s">
        <v>434</v>
      </c>
      <c r="B257" s="16" t="s">
        <v>613</v>
      </c>
      <c r="C257" s="16" t="s">
        <v>811</v>
      </c>
      <c r="D257" s="16" t="s">
        <v>135</v>
      </c>
      <c r="E257" s="16" t="s">
        <v>224</v>
      </c>
      <c r="F257" s="16" t="s">
        <v>136</v>
      </c>
      <c r="G257" s="16">
        <v>-3.7579000000000001E-2</v>
      </c>
      <c r="H257" s="16">
        <v>-6.9620000000000029E-3</v>
      </c>
      <c r="I257" s="16">
        <v>7.1739999999999998E-3</v>
      </c>
      <c r="J257" s="16">
        <v>-5.3279999999999994E-3</v>
      </c>
      <c r="K257" s="16">
        <v>7.1739999999999998E-3</v>
      </c>
      <c r="L257" s="16">
        <v>-5.3279999999999994E-3</v>
      </c>
      <c r="M257" s="16">
        <v>-9.3296000000000004E-2</v>
      </c>
      <c r="N257" s="16">
        <v>-2.2767000000000009E-2</v>
      </c>
      <c r="O257" s="16">
        <v>-2.6925000000000001E-2</v>
      </c>
      <c r="P257" s="9">
        <v>-1.0759000000000001E-2</v>
      </c>
    </row>
    <row r="258" spans="1:16" x14ac:dyDescent="0.25">
      <c r="A258" s="6" t="s">
        <v>332</v>
      </c>
      <c r="B258" s="16" t="s">
        <v>609</v>
      </c>
      <c r="C258" s="16" t="s">
        <v>811</v>
      </c>
      <c r="D258" s="16" t="s">
        <v>135</v>
      </c>
      <c r="E258" s="16" t="s">
        <v>224</v>
      </c>
      <c r="F258" s="16" t="s">
        <v>136</v>
      </c>
      <c r="G258" s="16">
        <v>-4.2701000000000003E-2</v>
      </c>
      <c r="H258" s="16">
        <v>-1.2084000000000004E-2</v>
      </c>
      <c r="I258" s="16">
        <v>-3.0379999999999999E-3</v>
      </c>
      <c r="J258" s="16">
        <v>-1.5539999999999998E-2</v>
      </c>
      <c r="K258" s="16">
        <v>-3.0379999999999999E-3</v>
      </c>
      <c r="L258" s="16">
        <v>-1.5539999999999998E-2</v>
      </c>
      <c r="M258" s="16">
        <v>-0.112234</v>
      </c>
      <c r="N258" s="16">
        <v>-4.1705000000000006E-2</v>
      </c>
      <c r="O258" s="16">
        <v>4.2222000000000003E-2</v>
      </c>
      <c r="P258" s="9">
        <v>5.8388000000000002E-2</v>
      </c>
    </row>
    <row r="259" spans="1:16" x14ac:dyDescent="0.25">
      <c r="A259" s="5" t="s">
        <v>355</v>
      </c>
      <c r="B259" s="3" t="s">
        <v>657</v>
      </c>
      <c r="C259" s="3" t="s">
        <v>812</v>
      </c>
      <c r="D259" s="3" t="s">
        <v>813</v>
      </c>
      <c r="E259" s="3" t="s">
        <v>814</v>
      </c>
      <c r="F259" s="3" t="s">
        <v>658</v>
      </c>
      <c r="G259" s="3">
        <v>5.1749999999999999E-3</v>
      </c>
      <c r="H259" s="3">
        <v>9.1439999999999994E-3</v>
      </c>
      <c r="I259" s="3">
        <v>2.8433E-2</v>
      </c>
      <c r="J259" s="3">
        <v>7.7720000000000011E-3</v>
      </c>
      <c r="K259" s="3">
        <v>2.8433E-2</v>
      </c>
      <c r="L259" s="3">
        <v>7.7720000000000011E-3</v>
      </c>
      <c r="M259" s="3">
        <v>5.5291E-2</v>
      </c>
      <c r="N259" s="3">
        <v>3.1605999999999995E-2</v>
      </c>
      <c r="O259" s="3">
        <v>6.2948000000000004E-2</v>
      </c>
      <c r="P259" s="8">
        <v>6.4900000000000027E-3</v>
      </c>
    </row>
    <row r="260" spans="1:16" x14ac:dyDescent="0.25">
      <c r="A260" s="6" t="s">
        <v>426</v>
      </c>
      <c r="B260" s="16" t="s">
        <v>655</v>
      </c>
      <c r="C260" s="16" t="s">
        <v>812</v>
      </c>
      <c r="D260" s="16" t="s">
        <v>813</v>
      </c>
      <c r="E260" s="16" t="s">
        <v>814</v>
      </c>
      <c r="F260" s="16" t="s">
        <v>656</v>
      </c>
      <c r="G260" s="16">
        <v>-3.5349999999999999E-3</v>
      </c>
      <c r="H260" s="16">
        <v>4.3400000000000036E-4</v>
      </c>
      <c r="I260" s="16">
        <v>2.9933000000000001E-2</v>
      </c>
      <c r="J260" s="16">
        <v>9.2720000000000025E-3</v>
      </c>
      <c r="K260" s="16">
        <v>2.9933000000000001E-2</v>
      </c>
      <c r="L260" s="16">
        <v>9.2720000000000025E-3</v>
      </c>
      <c r="M260" s="16">
        <v>4.8147000000000002E-2</v>
      </c>
      <c r="N260" s="16">
        <v>2.4462000000000001E-2</v>
      </c>
      <c r="O260" s="16">
        <v>6.1046000000000003E-2</v>
      </c>
      <c r="P260" s="9">
        <v>4.5880000000000018E-3</v>
      </c>
    </row>
    <row r="261" spans="1:16" x14ac:dyDescent="0.25">
      <c r="A261" s="5" t="s">
        <v>68</v>
      </c>
      <c r="B261" s="3" t="s">
        <v>312</v>
      </c>
      <c r="C261" s="3" t="s">
        <v>815</v>
      </c>
      <c r="D261" s="3" t="s">
        <v>816</v>
      </c>
      <c r="E261" s="3" t="s">
        <v>817</v>
      </c>
      <c r="F261" s="3" t="s">
        <v>193</v>
      </c>
      <c r="G261" s="3">
        <v>-1.2357E-2</v>
      </c>
      <c r="H261" s="3">
        <v>-1.5460000000000005E-3</v>
      </c>
      <c r="I261" s="3">
        <v>5.5130999999999999E-2</v>
      </c>
      <c r="J261" s="3">
        <v>-8.0479999999999996E-3</v>
      </c>
      <c r="K261" s="3">
        <v>5.5130999999999999E-2</v>
      </c>
      <c r="L261" s="3">
        <v>-8.0479999999999996E-3</v>
      </c>
      <c r="M261" s="3">
        <v>-4.0023000000000003E-2</v>
      </c>
      <c r="N261" s="3">
        <v>-4.8994000000000003E-2</v>
      </c>
      <c r="O261" s="3">
        <v>4.7252000000000002E-2</v>
      </c>
      <c r="P261" s="8">
        <v>-9.3250999999999987E-2</v>
      </c>
    </row>
    <row r="262" spans="1:16" x14ac:dyDescent="0.25">
      <c r="A262" s="6" t="s">
        <v>66</v>
      </c>
      <c r="B262" s="16" t="s">
        <v>313</v>
      </c>
      <c r="C262" s="16" t="s">
        <v>815</v>
      </c>
      <c r="D262" s="16" t="s">
        <v>816</v>
      </c>
      <c r="E262" s="16" t="s">
        <v>817</v>
      </c>
      <c r="F262" s="16" t="s">
        <v>137</v>
      </c>
      <c r="G262" s="16">
        <v>-1.4961E-2</v>
      </c>
      <c r="H262" s="16">
        <v>-4.1500000000000009E-3</v>
      </c>
      <c r="I262" s="16">
        <v>4.5475000000000002E-2</v>
      </c>
      <c r="J262" s="16">
        <v>-1.7703999999999998E-2</v>
      </c>
      <c r="K262" s="16">
        <v>4.5475000000000002E-2</v>
      </c>
      <c r="L262" s="16">
        <v>-1.7703999999999998E-2</v>
      </c>
      <c r="M262" s="16">
        <v>-1.5240999999999999E-2</v>
      </c>
      <c r="N262" s="16">
        <v>-2.4211999999999997E-2</v>
      </c>
      <c r="O262" s="16">
        <v>0.104339</v>
      </c>
      <c r="P262" s="9">
        <v>-3.6163999999999988E-2</v>
      </c>
    </row>
    <row r="263" spans="1:16" x14ac:dyDescent="0.25">
      <c r="A263" s="6" t="s">
        <v>431</v>
      </c>
      <c r="B263" s="16" t="s">
        <v>654</v>
      </c>
      <c r="C263" s="16" t="s">
        <v>815</v>
      </c>
      <c r="D263" s="16" t="s">
        <v>816</v>
      </c>
      <c r="E263" s="16" t="s">
        <v>817</v>
      </c>
      <c r="F263" s="16" t="s">
        <v>137</v>
      </c>
      <c r="G263" s="16">
        <v>-1.5578E-2</v>
      </c>
      <c r="H263" s="16">
        <v>-4.7670000000000004E-3</v>
      </c>
      <c r="I263" s="16">
        <v>4.2882000000000003E-2</v>
      </c>
      <c r="J263" s="16">
        <v>-2.0296999999999996E-2</v>
      </c>
      <c r="K263" s="16">
        <v>4.2882000000000003E-2</v>
      </c>
      <c r="L263" s="16">
        <v>-2.0296999999999996E-2</v>
      </c>
      <c r="M263" s="16">
        <v>-2.1849E-2</v>
      </c>
      <c r="N263" s="16">
        <v>-3.082E-2</v>
      </c>
      <c r="O263" s="16">
        <v>9.0554999999999997E-2</v>
      </c>
      <c r="P263" s="9">
        <v>-4.9947999999999992E-2</v>
      </c>
    </row>
    <row r="264" spans="1:16" x14ac:dyDescent="0.25">
      <c r="A264" s="5" t="s">
        <v>471</v>
      </c>
      <c r="B264" s="3" t="s">
        <v>747</v>
      </c>
      <c r="C264" s="3" t="s">
        <v>818</v>
      </c>
      <c r="D264" s="3" t="s">
        <v>133</v>
      </c>
      <c r="E264" s="3" t="s">
        <v>223</v>
      </c>
      <c r="F264" s="3" t="s">
        <v>748</v>
      </c>
      <c r="G264" s="3">
        <v>6.5200000000000002E-4</v>
      </c>
      <c r="H264" s="3">
        <v>1.2805E-2</v>
      </c>
      <c r="I264" s="3">
        <v>2.1742000000000001E-2</v>
      </c>
      <c r="J264" s="3">
        <v>1.1207000000000002E-2</v>
      </c>
      <c r="K264" s="3">
        <v>2.1742000000000001E-2</v>
      </c>
      <c r="L264" s="3">
        <v>1.1207000000000002E-2</v>
      </c>
      <c r="M264" s="3">
        <v>2.9914E-2</v>
      </c>
      <c r="N264" s="3">
        <v>4.6362E-2</v>
      </c>
      <c r="O264" s="3">
        <v>5.6047E-2</v>
      </c>
      <c r="P264" s="8">
        <v>5.5279999999999982E-3</v>
      </c>
    </row>
    <row r="265" spans="1:16" x14ac:dyDescent="0.25">
      <c r="A265" s="6" t="s">
        <v>10</v>
      </c>
      <c r="B265" s="16" t="s">
        <v>307</v>
      </c>
      <c r="C265" s="16" t="s">
        <v>818</v>
      </c>
      <c r="D265" s="16" t="s">
        <v>133</v>
      </c>
      <c r="E265" s="16" t="s">
        <v>223</v>
      </c>
      <c r="F265" s="16" t="s">
        <v>134</v>
      </c>
      <c r="G265" s="16">
        <v>-6.9639999999999997E-3</v>
      </c>
      <c r="H265" s="16">
        <v>5.1890000000000009E-3</v>
      </c>
      <c r="I265" s="16">
        <v>4.9544999999999999E-2</v>
      </c>
      <c r="J265" s="16">
        <v>3.9010000000000003E-2</v>
      </c>
      <c r="K265" s="16">
        <v>4.9544999999999999E-2</v>
      </c>
      <c r="L265" s="16">
        <v>3.9010000000000003E-2</v>
      </c>
      <c r="M265" s="16">
        <v>-3.1158000000000002E-2</v>
      </c>
      <c r="N265" s="16">
        <v>-1.4710000000000001E-2</v>
      </c>
      <c r="O265" s="16">
        <v>8.8584999999999997E-2</v>
      </c>
      <c r="P265" s="9">
        <v>3.8065999999999996E-2</v>
      </c>
    </row>
    <row r="266" spans="1:16" x14ac:dyDescent="0.25">
      <c r="A266" s="6" t="s">
        <v>60</v>
      </c>
      <c r="B266" s="16" t="s">
        <v>314</v>
      </c>
      <c r="C266" s="16" t="s">
        <v>818</v>
      </c>
      <c r="D266" s="16" t="s">
        <v>133</v>
      </c>
      <c r="E266" s="16" t="s">
        <v>223</v>
      </c>
      <c r="F266" s="16" t="s">
        <v>158</v>
      </c>
      <c r="G266" s="16">
        <v>-8.9990000000000001E-3</v>
      </c>
      <c r="H266" s="16">
        <v>3.1540000000000006E-3</v>
      </c>
      <c r="I266" s="16">
        <v>1.3604E-2</v>
      </c>
      <c r="J266" s="16">
        <v>3.0690000000000005E-3</v>
      </c>
      <c r="K266" s="16">
        <v>1.3604E-2</v>
      </c>
      <c r="L266" s="16">
        <v>3.0690000000000005E-3</v>
      </c>
      <c r="M266" s="16">
        <v>1.5748999999999999E-2</v>
      </c>
      <c r="N266" s="16">
        <v>3.2197000000000003E-2</v>
      </c>
      <c r="O266" s="16">
        <v>8.1545999999999993E-2</v>
      </c>
      <c r="P266" s="9">
        <v>3.1026999999999992E-2</v>
      </c>
    </row>
    <row r="267" spans="1:16" x14ac:dyDescent="0.25">
      <c r="A267" s="6" t="s">
        <v>32</v>
      </c>
      <c r="B267" s="16" t="s">
        <v>310</v>
      </c>
      <c r="C267" s="16" t="s">
        <v>818</v>
      </c>
      <c r="D267" s="16" t="s">
        <v>133</v>
      </c>
      <c r="E267" s="16" t="s">
        <v>223</v>
      </c>
      <c r="F267" s="16" t="s">
        <v>158</v>
      </c>
      <c r="G267" s="16">
        <v>-9.0349999999999996E-3</v>
      </c>
      <c r="H267" s="16">
        <v>3.118000000000001E-3</v>
      </c>
      <c r="I267" s="16">
        <v>1.3069000000000001E-2</v>
      </c>
      <c r="J267" s="16">
        <v>2.5340000000000015E-3</v>
      </c>
      <c r="K267" s="16">
        <v>1.3069000000000001E-2</v>
      </c>
      <c r="L267" s="16">
        <v>2.5340000000000015E-3</v>
      </c>
      <c r="M267" s="16">
        <v>-1.0609E-2</v>
      </c>
      <c r="N267" s="16">
        <v>5.8390000000000004E-3</v>
      </c>
      <c r="O267" s="16">
        <v>5.2645999999999998E-2</v>
      </c>
      <c r="P267" s="9">
        <v>2.1269999999999969E-3</v>
      </c>
    </row>
    <row r="268" spans="1:16" x14ac:dyDescent="0.25">
      <c r="A268" s="6" t="s">
        <v>51</v>
      </c>
      <c r="B268" s="16" t="s">
        <v>181</v>
      </c>
      <c r="C268" s="16" t="s">
        <v>818</v>
      </c>
      <c r="D268" s="16" t="s">
        <v>133</v>
      </c>
      <c r="E268" s="16" t="s">
        <v>223</v>
      </c>
      <c r="F268" s="16" t="s">
        <v>182</v>
      </c>
      <c r="G268" s="16">
        <v>-9.1990000000000006E-3</v>
      </c>
      <c r="H268" s="16">
        <v>2.954E-3</v>
      </c>
      <c r="I268" s="16">
        <v>1.2625000000000001E-2</v>
      </c>
      <c r="J268" s="16">
        <v>2.0900000000000016E-3</v>
      </c>
      <c r="K268" s="16">
        <v>1.2625000000000001E-2</v>
      </c>
      <c r="L268" s="16">
        <v>2.0900000000000016E-3</v>
      </c>
      <c r="M268" s="16">
        <v>-9.5940000000000001E-3</v>
      </c>
      <c r="N268" s="16">
        <v>6.8540000000000007E-3</v>
      </c>
      <c r="O268" s="16">
        <v>5.1751999999999999E-2</v>
      </c>
      <c r="P268" s="9">
        <v>1.232999999999998E-3</v>
      </c>
    </row>
    <row r="269" spans="1:16" x14ac:dyDescent="0.25">
      <c r="A269" s="6" t="s">
        <v>12</v>
      </c>
      <c r="B269" s="16" t="s">
        <v>308</v>
      </c>
      <c r="C269" s="16" t="s">
        <v>818</v>
      </c>
      <c r="D269" s="16" t="s">
        <v>133</v>
      </c>
      <c r="E269" s="16" t="s">
        <v>223</v>
      </c>
      <c r="F269" s="16" t="s">
        <v>138</v>
      </c>
      <c r="G269" s="16">
        <v>-9.6010000000000002E-3</v>
      </c>
      <c r="H269" s="16">
        <v>2.5520000000000004E-3</v>
      </c>
      <c r="I269" s="16">
        <v>1.7805000000000001E-2</v>
      </c>
      <c r="J269" s="16">
        <v>7.2700000000000022E-3</v>
      </c>
      <c r="K269" s="16">
        <v>1.7805000000000001E-2</v>
      </c>
      <c r="L269" s="16">
        <v>7.2700000000000022E-3</v>
      </c>
      <c r="M269" s="16">
        <v>4.2249999999999996E-3</v>
      </c>
      <c r="N269" s="16">
        <v>2.0673E-2</v>
      </c>
      <c r="O269" s="16">
        <v>6.9027000000000005E-2</v>
      </c>
      <c r="P269" s="9">
        <v>1.8508000000000004E-2</v>
      </c>
    </row>
    <row r="270" spans="1:16" x14ac:dyDescent="0.25">
      <c r="A270" s="6" t="s">
        <v>13</v>
      </c>
      <c r="B270" s="16" t="s">
        <v>309</v>
      </c>
      <c r="C270" s="16" t="s">
        <v>818</v>
      </c>
      <c r="D270" s="16" t="s">
        <v>133</v>
      </c>
      <c r="E270" s="16" t="s">
        <v>223</v>
      </c>
      <c r="F270" s="16" t="s">
        <v>139</v>
      </c>
      <c r="G270" s="16">
        <v>-1.1035E-2</v>
      </c>
      <c r="H270" s="16">
        <v>1.1180000000000009E-3</v>
      </c>
      <c r="I270" s="16">
        <v>1.1967E-2</v>
      </c>
      <c r="J270" s="16">
        <v>1.432000000000001E-3</v>
      </c>
      <c r="K270" s="16">
        <v>1.1967E-2</v>
      </c>
      <c r="L270" s="16">
        <v>1.432000000000001E-3</v>
      </c>
      <c r="M270" s="16">
        <v>-1.5187000000000001E-2</v>
      </c>
      <c r="N270" s="16">
        <v>1.261E-3</v>
      </c>
      <c r="O270" s="16">
        <v>5.049E-2</v>
      </c>
      <c r="P270" s="9">
        <v>-2.9000000000001247E-5</v>
      </c>
    </row>
    <row r="271" spans="1:16" x14ac:dyDescent="0.25">
      <c r="A271" s="6" t="s">
        <v>33</v>
      </c>
      <c r="B271" s="16" t="s">
        <v>311</v>
      </c>
      <c r="C271" s="16" t="s">
        <v>818</v>
      </c>
      <c r="D271" s="16" t="s">
        <v>133</v>
      </c>
      <c r="E271" s="16" t="s">
        <v>223</v>
      </c>
      <c r="F271" s="16" t="s">
        <v>159</v>
      </c>
      <c r="G271" s="16">
        <v>-1.5866000000000002E-2</v>
      </c>
      <c r="H271" s="16">
        <v>-3.713000000000001E-3</v>
      </c>
      <c r="I271" s="16">
        <v>-8.7000000000000001E-5</v>
      </c>
      <c r="J271" s="16">
        <v>-1.0621999999999999E-2</v>
      </c>
      <c r="K271" s="16">
        <v>-8.7000000000000001E-5</v>
      </c>
      <c r="L271" s="16">
        <v>-1.0621999999999999E-2</v>
      </c>
      <c r="M271" s="16">
        <v>-5.1388999999999997E-2</v>
      </c>
      <c r="N271" s="16">
        <v>-3.4941E-2</v>
      </c>
      <c r="O271" s="16">
        <v>7.6499999999999997E-3</v>
      </c>
      <c r="P271" s="9">
        <v>-4.2869000000000004E-2</v>
      </c>
    </row>
    <row r="272" spans="1:16" x14ac:dyDescent="0.25">
      <c r="A272" s="5" t="s">
        <v>353</v>
      </c>
      <c r="B272" s="3" t="s">
        <v>660</v>
      </c>
      <c r="C272" s="3" t="s">
        <v>155</v>
      </c>
      <c r="D272" s="3" t="s">
        <v>156</v>
      </c>
      <c r="E272" s="3" t="s">
        <v>227</v>
      </c>
      <c r="F272" s="3" t="s">
        <v>661</v>
      </c>
      <c r="G272" s="3">
        <v>1.1946999999999999E-2</v>
      </c>
      <c r="H272" s="3">
        <v>6.2977000000000005E-2</v>
      </c>
      <c r="I272" s="3">
        <v>5.3673999999999999E-2</v>
      </c>
      <c r="J272" s="3">
        <v>7.0565000000000003E-2</v>
      </c>
      <c r="K272" s="3">
        <v>5.3673999999999999E-2</v>
      </c>
      <c r="L272" s="3">
        <v>7.0565000000000003E-2</v>
      </c>
      <c r="M272" s="3">
        <v>3.2985E-2</v>
      </c>
      <c r="N272" s="3">
        <v>0.16255999999999998</v>
      </c>
      <c r="O272" s="3">
        <v>3.7907999999999997E-2</v>
      </c>
      <c r="P272" s="8">
        <v>0.13217499999999999</v>
      </c>
    </row>
    <row r="273" spans="1:16" x14ac:dyDescent="0.25">
      <c r="A273" s="6" t="s">
        <v>27</v>
      </c>
      <c r="B273" s="16" t="s">
        <v>315</v>
      </c>
      <c r="C273" s="16" t="s">
        <v>155</v>
      </c>
      <c r="D273" s="16" t="s">
        <v>156</v>
      </c>
      <c r="E273" s="16" t="s">
        <v>227</v>
      </c>
      <c r="F273" s="16" t="s">
        <v>136</v>
      </c>
      <c r="G273" s="16">
        <v>3.333E-3</v>
      </c>
      <c r="H273" s="16">
        <v>5.4363000000000002E-2</v>
      </c>
      <c r="I273" s="16">
        <v>7.7245999999999995E-2</v>
      </c>
      <c r="J273" s="16">
        <v>9.4136999999999998E-2</v>
      </c>
      <c r="K273" s="16">
        <v>7.7245999999999995E-2</v>
      </c>
      <c r="L273" s="16">
        <v>9.4136999999999998E-2</v>
      </c>
      <c r="M273" s="16">
        <v>5.8019000000000001E-2</v>
      </c>
      <c r="N273" s="16">
        <v>0.18759399999999998</v>
      </c>
      <c r="O273" s="16">
        <v>0.12872</v>
      </c>
      <c r="P273" s="9">
        <v>0.22298699999999999</v>
      </c>
    </row>
    <row r="274" spans="1:16" x14ac:dyDescent="0.25">
      <c r="A274" s="6" t="s">
        <v>470</v>
      </c>
      <c r="B274" s="16" t="s">
        <v>710</v>
      </c>
      <c r="C274" s="16" t="s">
        <v>155</v>
      </c>
      <c r="D274" s="16" t="s">
        <v>156</v>
      </c>
      <c r="E274" s="16" t="s">
        <v>227</v>
      </c>
      <c r="F274" s="16" t="s">
        <v>136</v>
      </c>
      <c r="G274" s="16">
        <v>-1.1989E-2</v>
      </c>
      <c r="H274" s="16">
        <v>3.9040999999999999E-2</v>
      </c>
      <c r="I274" s="16">
        <v>3.8362E-2</v>
      </c>
      <c r="J274" s="16">
        <v>5.5252999999999997E-2</v>
      </c>
      <c r="K274" s="16">
        <v>3.8362E-2</v>
      </c>
      <c r="L274" s="16">
        <v>5.5252999999999997E-2</v>
      </c>
      <c r="M274" s="16">
        <v>1.9583E-2</v>
      </c>
      <c r="N274" s="16">
        <v>0.14915799999999999</v>
      </c>
      <c r="O274" s="16">
        <v>7.0231000000000002E-2</v>
      </c>
      <c r="P274" s="9">
        <v>0.16449800000000001</v>
      </c>
    </row>
    <row r="275" spans="1:16" x14ac:dyDescent="0.25">
      <c r="A275" s="6" t="s">
        <v>331</v>
      </c>
      <c r="B275" s="16" t="s">
        <v>659</v>
      </c>
      <c r="C275" s="16" t="s">
        <v>155</v>
      </c>
      <c r="D275" s="16" t="s">
        <v>156</v>
      </c>
      <c r="E275" s="16" t="s">
        <v>227</v>
      </c>
      <c r="F275" s="16" t="s">
        <v>136</v>
      </c>
      <c r="G275" s="16">
        <v>-2.3056E-2</v>
      </c>
      <c r="H275" s="16">
        <v>2.7973999999999999E-2</v>
      </c>
      <c r="I275" s="16">
        <v>1.7854999999999999E-2</v>
      </c>
      <c r="J275" s="16">
        <v>3.4745999999999999E-2</v>
      </c>
      <c r="K275" s="16">
        <v>1.7854999999999999E-2</v>
      </c>
      <c r="L275" s="16">
        <v>3.4745999999999999E-2</v>
      </c>
      <c r="M275" s="16">
        <v>-9.0742000000000003E-2</v>
      </c>
      <c r="N275" s="16">
        <v>3.8832999999999993E-2</v>
      </c>
      <c r="O275" s="16">
        <v>-2.8797E-2</v>
      </c>
      <c r="P275" s="9">
        <v>6.547E-2</v>
      </c>
    </row>
    <row r="276" spans="1:16" x14ac:dyDescent="0.25">
      <c r="A276" s="5" t="s">
        <v>478</v>
      </c>
      <c r="B276" s="3" t="s">
        <v>711</v>
      </c>
      <c r="C276" s="3" t="s">
        <v>663</v>
      </c>
      <c r="D276" s="3" t="s">
        <v>664</v>
      </c>
      <c r="E276" s="3" t="s">
        <v>665</v>
      </c>
      <c r="F276" s="3" t="s">
        <v>712</v>
      </c>
      <c r="G276" s="3">
        <v>-1.9004E-2</v>
      </c>
      <c r="H276" s="3">
        <v>-4.3400000000000001E-3</v>
      </c>
      <c r="I276" s="3">
        <v>7.3199E-2</v>
      </c>
      <c r="J276" s="3">
        <v>7.3860000000000037E-3</v>
      </c>
      <c r="K276" s="3">
        <v>7.3199E-2</v>
      </c>
      <c r="L276" s="3">
        <v>7.3860000000000037E-3</v>
      </c>
      <c r="M276" s="3">
        <v>-7.9410000000000001E-3</v>
      </c>
      <c r="N276" s="3">
        <v>6.829E-3</v>
      </c>
      <c r="O276" s="3">
        <v>-1.0005E-2</v>
      </c>
      <c r="P276" s="8">
        <v>-4.2125999999999997E-2</v>
      </c>
    </row>
    <row r="277" spans="1:16" x14ac:dyDescent="0.25">
      <c r="A277" s="6" t="s">
        <v>367</v>
      </c>
      <c r="B277" s="16" t="s">
        <v>662</v>
      </c>
      <c r="C277" s="16" t="s">
        <v>663</v>
      </c>
      <c r="D277" s="16" t="s">
        <v>664</v>
      </c>
      <c r="E277" s="16" t="s">
        <v>665</v>
      </c>
      <c r="F277" s="16" t="s">
        <v>666</v>
      </c>
      <c r="G277" s="16">
        <v>-2.8662E-2</v>
      </c>
      <c r="H277" s="16">
        <v>-1.3998E-2</v>
      </c>
      <c r="I277" s="16">
        <v>5.5391999999999997E-2</v>
      </c>
      <c r="J277" s="16">
        <v>-1.0421E-2</v>
      </c>
      <c r="K277" s="16">
        <v>5.5391999999999997E-2</v>
      </c>
      <c r="L277" s="16">
        <v>-1.0421E-2</v>
      </c>
      <c r="M277" s="16">
        <v>-5.0337E-2</v>
      </c>
      <c r="N277" s="16">
        <v>-3.5567000000000001E-2</v>
      </c>
      <c r="O277" s="16">
        <v>-2.1246000000000001E-2</v>
      </c>
      <c r="P277" s="9">
        <v>-5.3366999999999998E-2</v>
      </c>
    </row>
    <row r="278" spans="1:16" x14ac:dyDescent="0.25">
      <c r="A278" s="5" t="s">
        <v>443</v>
      </c>
      <c r="B278" s="3" t="s">
        <v>668</v>
      </c>
      <c r="C278" s="3" t="s">
        <v>127</v>
      </c>
      <c r="D278" s="3" t="s">
        <v>128</v>
      </c>
      <c r="E278" s="3" t="s">
        <v>221</v>
      </c>
      <c r="F278" s="3" t="s">
        <v>121</v>
      </c>
      <c r="G278" s="3">
        <v>2.4962999999999999E-2</v>
      </c>
      <c r="H278" s="3">
        <v>2.9458999999999999E-2</v>
      </c>
      <c r="I278" s="3">
        <v>8.4792000000000006E-2</v>
      </c>
      <c r="J278" s="3">
        <v>3.0984000000000005E-2</v>
      </c>
      <c r="K278" s="3">
        <v>8.4792000000000006E-2</v>
      </c>
      <c r="L278" s="3">
        <v>3.0984000000000005E-2</v>
      </c>
      <c r="M278" s="3">
        <v>0.32757700000000001</v>
      </c>
      <c r="N278" s="3">
        <v>0.20098000000000002</v>
      </c>
      <c r="O278" s="3">
        <v>0.73724900000000004</v>
      </c>
      <c r="P278" s="8">
        <v>0.34997500000000004</v>
      </c>
    </row>
    <row r="279" spans="1:16" x14ac:dyDescent="0.25">
      <c r="A279" s="6" t="s">
        <v>49</v>
      </c>
      <c r="B279" s="16" t="s">
        <v>316</v>
      </c>
      <c r="C279" s="16" t="s">
        <v>127</v>
      </c>
      <c r="D279" s="16" t="s">
        <v>128</v>
      </c>
      <c r="E279" s="16" t="s">
        <v>221</v>
      </c>
      <c r="F279" s="16" t="s">
        <v>179</v>
      </c>
      <c r="G279" s="16">
        <v>-2.0890000000000001E-3</v>
      </c>
      <c r="H279" s="16">
        <v>2.4069999999999999E-3</v>
      </c>
      <c r="I279" s="16">
        <v>7.1790999999999994E-2</v>
      </c>
      <c r="J279" s="16">
        <v>1.7982999999999992E-2</v>
      </c>
      <c r="K279" s="16">
        <v>7.1790999999999994E-2</v>
      </c>
      <c r="L279" s="16">
        <v>1.7982999999999992E-2</v>
      </c>
      <c r="M279" s="16">
        <v>0.186166</v>
      </c>
      <c r="N279" s="16">
        <v>5.9569000000000011E-2</v>
      </c>
      <c r="O279" s="16">
        <v>0.55124499999999999</v>
      </c>
      <c r="P279" s="9">
        <v>0.16397099999999998</v>
      </c>
    </row>
    <row r="280" spans="1:16" x14ac:dyDescent="0.25">
      <c r="A280" s="6" t="s">
        <v>347</v>
      </c>
      <c r="B280" s="16" t="s">
        <v>667</v>
      </c>
      <c r="C280" s="16" t="s">
        <v>127</v>
      </c>
      <c r="D280" s="16" t="s">
        <v>128</v>
      </c>
      <c r="E280" s="16" t="s">
        <v>221</v>
      </c>
      <c r="F280" s="16" t="s">
        <v>179</v>
      </c>
      <c r="G280" s="16">
        <v>-2.147E-3</v>
      </c>
      <c r="H280" s="16">
        <v>2.349E-3</v>
      </c>
      <c r="I280" s="16">
        <v>7.1356000000000003E-2</v>
      </c>
      <c r="J280" s="16">
        <v>1.7548000000000001E-2</v>
      </c>
      <c r="K280" s="16">
        <v>7.1356000000000003E-2</v>
      </c>
      <c r="L280" s="16">
        <v>1.7548000000000001E-2</v>
      </c>
      <c r="M280" s="16">
        <v>0.18314800000000001</v>
      </c>
      <c r="N280" s="16">
        <v>5.6551000000000018E-2</v>
      </c>
      <c r="O280" s="16">
        <v>0.54604699999999995</v>
      </c>
      <c r="P280" s="9">
        <v>0.15877299999999994</v>
      </c>
    </row>
    <row r="281" spans="1:16" x14ac:dyDescent="0.25">
      <c r="A281" s="7" t="s">
        <v>8</v>
      </c>
      <c r="B281" s="4" t="s">
        <v>317</v>
      </c>
      <c r="C281" s="4" t="s">
        <v>127</v>
      </c>
      <c r="D281" s="4" t="s">
        <v>128</v>
      </c>
      <c r="E281" s="4" t="s">
        <v>221</v>
      </c>
      <c r="F281" s="4" t="s">
        <v>129</v>
      </c>
      <c r="G281" s="4">
        <v>-8.5319999999999997E-3</v>
      </c>
      <c r="H281" s="4">
        <v>-4.0359999999999997E-3</v>
      </c>
      <c r="I281" s="4">
        <v>0.100329</v>
      </c>
      <c r="J281" s="4">
        <v>4.6521E-2</v>
      </c>
      <c r="K281" s="4">
        <v>0.100329</v>
      </c>
      <c r="L281" s="4">
        <v>4.6521E-2</v>
      </c>
      <c r="M281" s="4">
        <v>0.232908</v>
      </c>
      <c r="N281" s="4">
        <v>0.10631100000000002</v>
      </c>
      <c r="O281" s="4">
        <v>0.72507900000000003</v>
      </c>
      <c r="P281" s="10">
        <v>0.33780500000000002</v>
      </c>
    </row>
  </sheetData>
  <phoneticPr fontId="2" type="noConversion"/>
  <conditionalFormatting sqref="G2:G19">
    <cfRule type="cellIs" dxfId="779" priority="1" stopIfTrue="1" operator="greaterThan">
      <formula>0</formula>
    </cfRule>
    <cfRule type="cellIs" dxfId="778" priority="2" stopIfTrue="1" operator="lessThanOrEqual">
      <formula>0</formula>
    </cfRule>
  </conditionalFormatting>
  <conditionalFormatting sqref="H2:H19">
    <cfRule type="cellIs" dxfId="777" priority="3" stopIfTrue="1" operator="greaterThan">
      <formula>0</formula>
    </cfRule>
    <cfRule type="cellIs" dxfId="776" priority="4" stopIfTrue="1" operator="lessThanOrEqual">
      <formula>0</formula>
    </cfRule>
  </conditionalFormatting>
  <conditionalFormatting sqref="I2:I19">
    <cfRule type="cellIs" dxfId="775" priority="5" stopIfTrue="1" operator="greaterThan">
      <formula>0</formula>
    </cfRule>
    <cfRule type="cellIs" dxfId="774" priority="6" stopIfTrue="1" operator="lessThanOrEqual">
      <formula>0</formula>
    </cfRule>
  </conditionalFormatting>
  <conditionalFormatting sqref="J2:J19">
    <cfRule type="cellIs" dxfId="773" priority="7" stopIfTrue="1" operator="greaterThan">
      <formula>0</formula>
    </cfRule>
    <cfRule type="cellIs" dxfId="772" priority="8" stopIfTrue="1" operator="lessThanOrEqual">
      <formula>0</formula>
    </cfRule>
  </conditionalFormatting>
  <conditionalFormatting sqref="K2:K19">
    <cfRule type="cellIs" dxfId="771" priority="9" stopIfTrue="1" operator="greaterThan">
      <formula>0</formula>
    </cfRule>
    <cfRule type="cellIs" dxfId="770" priority="10" stopIfTrue="1" operator="lessThanOrEqual">
      <formula>0</formula>
    </cfRule>
  </conditionalFormatting>
  <conditionalFormatting sqref="L2:L19">
    <cfRule type="cellIs" dxfId="769" priority="11" stopIfTrue="1" operator="greaterThan">
      <formula>0</formula>
    </cfRule>
    <cfRule type="cellIs" dxfId="768" priority="12" stopIfTrue="1" operator="lessThanOrEqual">
      <formula>0</formula>
    </cfRule>
  </conditionalFormatting>
  <conditionalFormatting sqref="M2:M19">
    <cfRule type="cellIs" dxfId="767" priority="13" stopIfTrue="1" operator="greaterThan">
      <formula>0</formula>
    </cfRule>
    <cfRule type="cellIs" dxfId="766" priority="14" stopIfTrue="1" operator="lessThanOrEqual">
      <formula>0</formula>
    </cfRule>
  </conditionalFormatting>
  <conditionalFormatting sqref="N2:N19">
    <cfRule type="cellIs" dxfId="765" priority="15" stopIfTrue="1" operator="greaterThan">
      <formula>0</formula>
    </cfRule>
    <cfRule type="cellIs" dxfId="764" priority="16" stopIfTrue="1" operator="lessThanOrEqual">
      <formula>0</formula>
    </cfRule>
  </conditionalFormatting>
  <conditionalFormatting sqref="O2:O19">
    <cfRule type="cellIs" dxfId="763" priority="17" stopIfTrue="1" operator="greaterThan">
      <formula>0</formula>
    </cfRule>
    <cfRule type="cellIs" dxfId="762" priority="18" stopIfTrue="1" operator="lessThanOrEqual">
      <formula>0</formula>
    </cfRule>
  </conditionalFormatting>
  <conditionalFormatting sqref="P2:P19">
    <cfRule type="cellIs" dxfId="761" priority="19" stopIfTrue="1" operator="greaterThan">
      <formula>0</formula>
    </cfRule>
    <cfRule type="cellIs" dxfId="760" priority="20" stopIfTrue="1" operator="lessThanOrEqual">
      <formula>0</formula>
    </cfRule>
  </conditionalFormatting>
  <conditionalFormatting sqref="G20">
    <cfRule type="cellIs" dxfId="759" priority="21" stopIfTrue="1" operator="greaterThan">
      <formula>0</formula>
    </cfRule>
    <cfRule type="cellIs" dxfId="758" priority="22" stopIfTrue="1" operator="lessThanOrEqual">
      <formula>0</formula>
    </cfRule>
  </conditionalFormatting>
  <conditionalFormatting sqref="H20">
    <cfRule type="cellIs" dxfId="757" priority="23" stopIfTrue="1" operator="greaterThan">
      <formula>0</formula>
    </cfRule>
    <cfRule type="cellIs" dxfId="756" priority="24" stopIfTrue="1" operator="lessThanOrEqual">
      <formula>0</formula>
    </cfRule>
  </conditionalFormatting>
  <conditionalFormatting sqref="I20">
    <cfRule type="cellIs" dxfId="755" priority="25" stopIfTrue="1" operator="greaterThan">
      <formula>0</formula>
    </cfRule>
    <cfRule type="cellIs" dxfId="754" priority="26" stopIfTrue="1" operator="lessThanOrEqual">
      <formula>0</formula>
    </cfRule>
  </conditionalFormatting>
  <conditionalFormatting sqref="J20">
    <cfRule type="cellIs" dxfId="753" priority="27" stopIfTrue="1" operator="greaterThan">
      <formula>0</formula>
    </cfRule>
    <cfRule type="cellIs" dxfId="752" priority="28" stopIfTrue="1" operator="lessThanOrEqual">
      <formula>0</formula>
    </cfRule>
  </conditionalFormatting>
  <conditionalFormatting sqref="K20">
    <cfRule type="cellIs" dxfId="751" priority="29" stopIfTrue="1" operator="greaterThan">
      <formula>0</formula>
    </cfRule>
    <cfRule type="cellIs" dxfId="750" priority="30" stopIfTrue="1" operator="lessThanOrEqual">
      <formula>0</formula>
    </cfRule>
  </conditionalFormatting>
  <conditionalFormatting sqref="L20">
    <cfRule type="cellIs" dxfId="749" priority="31" stopIfTrue="1" operator="greaterThan">
      <formula>0</formula>
    </cfRule>
    <cfRule type="cellIs" dxfId="748" priority="32" stopIfTrue="1" operator="lessThanOrEqual">
      <formula>0</formula>
    </cfRule>
  </conditionalFormatting>
  <conditionalFormatting sqref="M20">
    <cfRule type="cellIs" dxfId="747" priority="33" stopIfTrue="1" operator="greaterThan">
      <formula>0</formula>
    </cfRule>
    <cfRule type="cellIs" dxfId="746" priority="34" stopIfTrue="1" operator="lessThanOrEqual">
      <formula>0</formula>
    </cfRule>
  </conditionalFormatting>
  <conditionalFormatting sqref="N20">
    <cfRule type="cellIs" dxfId="745" priority="35" stopIfTrue="1" operator="greaterThan">
      <formula>0</formula>
    </cfRule>
    <cfRule type="cellIs" dxfId="744" priority="36" stopIfTrue="1" operator="lessThanOrEqual">
      <formula>0</formula>
    </cfRule>
  </conditionalFormatting>
  <conditionalFormatting sqref="O20">
    <cfRule type="cellIs" dxfId="743" priority="37" stopIfTrue="1" operator="greaterThan">
      <formula>0</formula>
    </cfRule>
    <cfRule type="cellIs" dxfId="742" priority="38" stopIfTrue="1" operator="lessThanOrEqual">
      <formula>0</formula>
    </cfRule>
  </conditionalFormatting>
  <conditionalFormatting sqref="P20">
    <cfRule type="cellIs" dxfId="741" priority="39" stopIfTrue="1" operator="greaterThan">
      <formula>0</formula>
    </cfRule>
    <cfRule type="cellIs" dxfId="740" priority="40" stopIfTrue="1" operator="lessThanOrEqual">
      <formula>0</formula>
    </cfRule>
  </conditionalFormatting>
  <conditionalFormatting sqref="G21:G32">
    <cfRule type="cellIs" dxfId="739" priority="41" stopIfTrue="1" operator="greaterThan">
      <formula>0</formula>
    </cfRule>
  </conditionalFormatting>
  <conditionalFormatting sqref="G21:G32">
    <cfRule type="cellIs" dxfId="738" priority="42" stopIfTrue="1" operator="lessThanOrEqual">
      <formula>0</formula>
    </cfRule>
  </conditionalFormatting>
  <conditionalFormatting sqref="H21:H32">
    <cfRule type="cellIs" dxfId="737" priority="43" stopIfTrue="1" operator="greaterThan">
      <formula>0</formula>
    </cfRule>
  </conditionalFormatting>
  <conditionalFormatting sqref="H21:H32">
    <cfRule type="cellIs" dxfId="736" priority="44" stopIfTrue="1" operator="lessThanOrEqual">
      <formula>0</formula>
    </cfRule>
  </conditionalFormatting>
  <conditionalFormatting sqref="I21:I32">
    <cfRule type="cellIs" dxfId="735" priority="45" stopIfTrue="1" operator="greaterThan">
      <formula>0</formula>
    </cfRule>
  </conditionalFormatting>
  <conditionalFormatting sqref="I21:I32">
    <cfRule type="cellIs" dxfId="734" priority="46" stopIfTrue="1" operator="lessThanOrEqual">
      <formula>0</formula>
    </cfRule>
  </conditionalFormatting>
  <conditionalFormatting sqref="J21:J32">
    <cfRule type="cellIs" dxfId="733" priority="47" stopIfTrue="1" operator="greaterThan">
      <formula>0</formula>
    </cfRule>
  </conditionalFormatting>
  <conditionalFormatting sqref="J21:J32">
    <cfRule type="cellIs" dxfId="732" priority="48" stopIfTrue="1" operator="lessThanOrEqual">
      <formula>0</formula>
    </cfRule>
  </conditionalFormatting>
  <conditionalFormatting sqref="K21:K32">
    <cfRule type="cellIs" dxfId="731" priority="49" stopIfTrue="1" operator="greaterThan">
      <formula>0</formula>
    </cfRule>
  </conditionalFormatting>
  <conditionalFormatting sqref="K21:K32">
    <cfRule type="cellIs" dxfId="730" priority="50" stopIfTrue="1" operator="lessThanOrEqual">
      <formula>0</formula>
    </cfRule>
  </conditionalFormatting>
  <conditionalFormatting sqref="L21:L32">
    <cfRule type="cellIs" dxfId="729" priority="51" stopIfTrue="1" operator="greaterThan">
      <formula>0</formula>
    </cfRule>
  </conditionalFormatting>
  <conditionalFormatting sqref="L21:L32">
    <cfRule type="cellIs" dxfId="728" priority="52" stopIfTrue="1" operator="lessThanOrEqual">
      <formula>0</formula>
    </cfRule>
  </conditionalFormatting>
  <conditionalFormatting sqref="M21:M32">
    <cfRule type="cellIs" dxfId="727" priority="53" stopIfTrue="1" operator="greaterThan">
      <formula>0</formula>
    </cfRule>
  </conditionalFormatting>
  <conditionalFormatting sqref="M21:M32">
    <cfRule type="cellIs" dxfId="726" priority="54" stopIfTrue="1" operator="lessThanOrEqual">
      <formula>0</formula>
    </cfRule>
  </conditionalFormatting>
  <conditionalFormatting sqref="N21:N32">
    <cfRule type="cellIs" dxfId="725" priority="55" stopIfTrue="1" operator="greaterThan">
      <formula>0</formula>
    </cfRule>
  </conditionalFormatting>
  <conditionalFormatting sqref="N21:N32">
    <cfRule type="cellIs" dxfId="724" priority="56" stopIfTrue="1" operator="lessThanOrEqual">
      <formula>0</formula>
    </cfRule>
  </conditionalFormatting>
  <conditionalFormatting sqref="O21:O32">
    <cfRule type="cellIs" dxfId="723" priority="57" stopIfTrue="1" operator="greaterThan">
      <formula>0</formula>
    </cfRule>
  </conditionalFormatting>
  <conditionalFormatting sqref="O21:O32">
    <cfRule type="cellIs" dxfId="722" priority="58" stopIfTrue="1" operator="lessThanOrEqual">
      <formula>0</formula>
    </cfRule>
  </conditionalFormatting>
  <conditionalFormatting sqref="P21:P32">
    <cfRule type="cellIs" dxfId="721" priority="59" stopIfTrue="1" operator="greaterThan">
      <formula>0</formula>
    </cfRule>
  </conditionalFormatting>
  <conditionalFormatting sqref="P21:P32">
    <cfRule type="cellIs" dxfId="720" priority="60" stopIfTrue="1" operator="lessThanOrEqual">
      <formula>0</formula>
    </cfRule>
  </conditionalFormatting>
  <conditionalFormatting sqref="G33:G35">
    <cfRule type="cellIs" dxfId="719" priority="61" stopIfTrue="1" operator="greaterThan">
      <formula>0</formula>
    </cfRule>
  </conditionalFormatting>
  <conditionalFormatting sqref="G33:G35">
    <cfRule type="cellIs" dxfId="718" priority="62" stopIfTrue="1" operator="lessThanOrEqual">
      <formula>0</formula>
    </cfRule>
  </conditionalFormatting>
  <conditionalFormatting sqref="H33:H35">
    <cfRule type="cellIs" dxfId="717" priority="63" stopIfTrue="1" operator="greaterThan">
      <formula>0</formula>
    </cfRule>
  </conditionalFormatting>
  <conditionalFormatting sqref="H33:H35">
    <cfRule type="cellIs" dxfId="716" priority="64" stopIfTrue="1" operator="lessThanOrEqual">
      <formula>0</formula>
    </cfRule>
  </conditionalFormatting>
  <conditionalFormatting sqref="I33:I35">
    <cfRule type="cellIs" dxfId="715" priority="65" stopIfTrue="1" operator="greaterThan">
      <formula>0</formula>
    </cfRule>
  </conditionalFormatting>
  <conditionalFormatting sqref="I33:I35">
    <cfRule type="cellIs" dxfId="714" priority="66" stopIfTrue="1" operator="lessThanOrEqual">
      <formula>0</formula>
    </cfRule>
  </conditionalFormatting>
  <conditionalFormatting sqref="J33:J35">
    <cfRule type="cellIs" dxfId="713" priority="67" stopIfTrue="1" operator="greaterThan">
      <formula>0</formula>
    </cfRule>
  </conditionalFormatting>
  <conditionalFormatting sqref="J33:J35">
    <cfRule type="cellIs" dxfId="712" priority="68" stopIfTrue="1" operator="lessThanOrEqual">
      <formula>0</formula>
    </cfRule>
  </conditionalFormatting>
  <conditionalFormatting sqref="K33:K35">
    <cfRule type="cellIs" dxfId="711" priority="69" stopIfTrue="1" operator="greaterThan">
      <formula>0</formula>
    </cfRule>
  </conditionalFormatting>
  <conditionalFormatting sqref="K33:K35">
    <cfRule type="cellIs" dxfId="710" priority="70" stopIfTrue="1" operator="lessThanOrEqual">
      <formula>0</formula>
    </cfRule>
  </conditionalFormatting>
  <conditionalFormatting sqref="L33:L35">
    <cfRule type="cellIs" dxfId="709" priority="71" stopIfTrue="1" operator="greaterThan">
      <formula>0</formula>
    </cfRule>
  </conditionalFormatting>
  <conditionalFormatting sqref="L33:L35">
    <cfRule type="cellIs" dxfId="708" priority="72" stopIfTrue="1" operator="lessThanOrEqual">
      <formula>0</formula>
    </cfRule>
  </conditionalFormatting>
  <conditionalFormatting sqref="M33:M35">
    <cfRule type="cellIs" dxfId="707" priority="73" stopIfTrue="1" operator="greaterThan">
      <formula>0</formula>
    </cfRule>
  </conditionalFormatting>
  <conditionalFormatting sqref="M33:M35">
    <cfRule type="cellIs" dxfId="706" priority="74" stopIfTrue="1" operator="lessThanOrEqual">
      <formula>0</formula>
    </cfRule>
  </conditionalFormatting>
  <conditionalFormatting sqref="N33:N35">
    <cfRule type="cellIs" dxfId="705" priority="75" stopIfTrue="1" operator="greaterThan">
      <formula>0</formula>
    </cfRule>
  </conditionalFormatting>
  <conditionalFormatting sqref="N33:N35">
    <cfRule type="cellIs" dxfId="704" priority="76" stopIfTrue="1" operator="lessThanOrEqual">
      <formula>0</formula>
    </cfRule>
  </conditionalFormatting>
  <conditionalFormatting sqref="O33:O35">
    <cfRule type="cellIs" dxfId="703" priority="77" stopIfTrue="1" operator="greaterThan">
      <formula>0</formula>
    </cfRule>
  </conditionalFormatting>
  <conditionalFormatting sqref="O33:O35">
    <cfRule type="cellIs" dxfId="702" priority="78" stopIfTrue="1" operator="lessThanOrEqual">
      <formula>0</formula>
    </cfRule>
  </conditionalFormatting>
  <conditionalFormatting sqref="P33:P35">
    <cfRule type="cellIs" dxfId="701" priority="79" stopIfTrue="1" operator="greaterThan">
      <formula>0</formula>
    </cfRule>
  </conditionalFormatting>
  <conditionalFormatting sqref="P33:P35">
    <cfRule type="cellIs" dxfId="700" priority="80" stopIfTrue="1" operator="lessThanOrEqual">
      <formula>0</formula>
    </cfRule>
  </conditionalFormatting>
  <conditionalFormatting sqref="G36:G38">
    <cfRule type="cellIs" dxfId="699" priority="81" stopIfTrue="1" operator="greaterThan">
      <formula>0</formula>
    </cfRule>
  </conditionalFormatting>
  <conditionalFormatting sqref="G36:G38">
    <cfRule type="cellIs" dxfId="698" priority="82" stopIfTrue="1" operator="lessThanOrEqual">
      <formula>0</formula>
    </cfRule>
  </conditionalFormatting>
  <conditionalFormatting sqref="H36:H38">
    <cfRule type="cellIs" dxfId="697" priority="83" stopIfTrue="1" operator="greaterThan">
      <formula>0</formula>
    </cfRule>
  </conditionalFormatting>
  <conditionalFormatting sqref="H36:H38">
    <cfRule type="cellIs" dxfId="696" priority="84" stopIfTrue="1" operator="lessThanOrEqual">
      <formula>0</formula>
    </cfRule>
  </conditionalFormatting>
  <conditionalFormatting sqref="I36:I38">
    <cfRule type="cellIs" dxfId="695" priority="85" stopIfTrue="1" operator="greaterThan">
      <formula>0</formula>
    </cfRule>
  </conditionalFormatting>
  <conditionalFormatting sqref="I36:I38">
    <cfRule type="cellIs" dxfId="694" priority="86" stopIfTrue="1" operator="lessThanOrEqual">
      <formula>0</formula>
    </cfRule>
  </conditionalFormatting>
  <conditionalFormatting sqref="J36:J38">
    <cfRule type="cellIs" dxfId="693" priority="87" stopIfTrue="1" operator="greaterThan">
      <formula>0</formula>
    </cfRule>
  </conditionalFormatting>
  <conditionalFormatting sqref="J36:J38">
    <cfRule type="cellIs" dxfId="692" priority="88" stopIfTrue="1" operator="lessThanOrEqual">
      <formula>0</formula>
    </cfRule>
  </conditionalFormatting>
  <conditionalFormatting sqref="K36:K38">
    <cfRule type="cellIs" dxfId="691" priority="89" stopIfTrue="1" operator="greaterThan">
      <formula>0</formula>
    </cfRule>
  </conditionalFormatting>
  <conditionalFormatting sqref="K36:K38">
    <cfRule type="cellIs" dxfId="690" priority="90" stopIfTrue="1" operator="lessThanOrEqual">
      <formula>0</formula>
    </cfRule>
  </conditionalFormatting>
  <conditionalFormatting sqref="L36:L38">
    <cfRule type="cellIs" dxfId="689" priority="91" stopIfTrue="1" operator="greaterThan">
      <formula>0</formula>
    </cfRule>
  </conditionalFormatting>
  <conditionalFormatting sqref="L36:L38">
    <cfRule type="cellIs" dxfId="688" priority="92" stopIfTrue="1" operator="lessThanOrEqual">
      <formula>0</formula>
    </cfRule>
  </conditionalFormatting>
  <conditionalFormatting sqref="M36:M38">
    <cfRule type="cellIs" dxfId="687" priority="93" stopIfTrue="1" operator="greaterThan">
      <formula>0</formula>
    </cfRule>
  </conditionalFormatting>
  <conditionalFormatting sqref="M36:M38">
    <cfRule type="cellIs" dxfId="686" priority="94" stopIfTrue="1" operator="lessThanOrEqual">
      <formula>0</formula>
    </cfRule>
  </conditionalFormatting>
  <conditionalFormatting sqref="N36:N38">
    <cfRule type="cellIs" dxfId="685" priority="95" stopIfTrue="1" operator="greaterThan">
      <formula>0</formula>
    </cfRule>
  </conditionalFormatting>
  <conditionalFormatting sqref="N36:N38">
    <cfRule type="cellIs" dxfId="684" priority="96" stopIfTrue="1" operator="lessThanOrEqual">
      <formula>0</formula>
    </cfRule>
  </conditionalFormatting>
  <conditionalFormatting sqref="O36:O38">
    <cfRule type="cellIs" dxfId="683" priority="97" stopIfTrue="1" operator="greaterThan">
      <formula>0</formula>
    </cfRule>
  </conditionalFormatting>
  <conditionalFormatting sqref="O36:O38">
    <cfRule type="cellIs" dxfId="682" priority="98" stopIfTrue="1" operator="lessThanOrEqual">
      <formula>0</formula>
    </cfRule>
  </conditionalFormatting>
  <conditionalFormatting sqref="P36:P38">
    <cfRule type="cellIs" dxfId="681" priority="99" stopIfTrue="1" operator="greaterThan">
      <formula>0</formula>
    </cfRule>
  </conditionalFormatting>
  <conditionalFormatting sqref="P36:P38">
    <cfRule type="cellIs" dxfId="680" priority="100" stopIfTrue="1" operator="lessThanOrEqual">
      <formula>0</formula>
    </cfRule>
  </conditionalFormatting>
  <conditionalFormatting sqref="G39">
    <cfRule type="cellIs" dxfId="679" priority="101" stopIfTrue="1" operator="greaterThan">
      <formula>0</formula>
    </cfRule>
  </conditionalFormatting>
  <conditionalFormatting sqref="G39">
    <cfRule type="cellIs" dxfId="678" priority="102" stopIfTrue="1" operator="lessThanOrEqual">
      <formula>0</formula>
    </cfRule>
  </conditionalFormatting>
  <conditionalFormatting sqref="H39">
    <cfRule type="cellIs" dxfId="677" priority="103" stopIfTrue="1" operator="greaterThan">
      <formula>0</formula>
    </cfRule>
  </conditionalFormatting>
  <conditionalFormatting sqref="H39">
    <cfRule type="cellIs" dxfId="676" priority="104" stopIfTrue="1" operator="lessThanOrEqual">
      <formula>0</formula>
    </cfRule>
  </conditionalFormatting>
  <conditionalFormatting sqref="I39">
    <cfRule type="cellIs" dxfId="675" priority="105" stopIfTrue="1" operator="greaterThan">
      <formula>0</formula>
    </cfRule>
  </conditionalFormatting>
  <conditionalFormatting sqref="I39">
    <cfRule type="cellIs" dxfId="674" priority="106" stopIfTrue="1" operator="lessThanOrEqual">
      <formula>0</formula>
    </cfRule>
  </conditionalFormatting>
  <conditionalFormatting sqref="J39">
    <cfRule type="cellIs" dxfId="673" priority="107" stopIfTrue="1" operator="greaterThan">
      <formula>0</formula>
    </cfRule>
  </conditionalFormatting>
  <conditionalFormatting sqref="J39">
    <cfRule type="cellIs" dxfId="672" priority="108" stopIfTrue="1" operator="lessThanOrEqual">
      <formula>0</formula>
    </cfRule>
  </conditionalFormatting>
  <conditionalFormatting sqref="K39">
    <cfRule type="cellIs" dxfId="671" priority="109" stopIfTrue="1" operator="greaterThan">
      <formula>0</formula>
    </cfRule>
  </conditionalFormatting>
  <conditionalFormatting sqref="K39">
    <cfRule type="cellIs" dxfId="670" priority="110" stopIfTrue="1" operator="lessThanOrEqual">
      <formula>0</formula>
    </cfRule>
  </conditionalFormatting>
  <conditionalFormatting sqref="L39">
    <cfRule type="cellIs" dxfId="669" priority="111" stopIfTrue="1" operator="greaterThan">
      <formula>0</formula>
    </cfRule>
  </conditionalFormatting>
  <conditionalFormatting sqref="L39">
    <cfRule type="cellIs" dxfId="668" priority="112" stopIfTrue="1" operator="lessThanOrEqual">
      <formula>0</formula>
    </cfRule>
  </conditionalFormatting>
  <conditionalFormatting sqref="M39">
    <cfRule type="cellIs" dxfId="667" priority="113" stopIfTrue="1" operator="greaterThan">
      <formula>0</formula>
    </cfRule>
  </conditionalFormatting>
  <conditionalFormatting sqref="M39">
    <cfRule type="cellIs" dxfId="666" priority="114" stopIfTrue="1" operator="lessThanOrEqual">
      <formula>0</formula>
    </cfRule>
  </conditionalFormatting>
  <conditionalFormatting sqref="N39">
    <cfRule type="cellIs" dxfId="665" priority="115" stopIfTrue="1" operator="greaterThan">
      <formula>0</formula>
    </cfRule>
  </conditionalFormatting>
  <conditionalFormatting sqref="N39">
    <cfRule type="cellIs" dxfId="664" priority="116" stopIfTrue="1" operator="lessThanOrEqual">
      <formula>0</formula>
    </cfRule>
  </conditionalFormatting>
  <conditionalFormatting sqref="O39">
    <cfRule type="cellIs" dxfId="663" priority="117" stopIfTrue="1" operator="greaterThan">
      <formula>0</formula>
    </cfRule>
  </conditionalFormatting>
  <conditionalFormatting sqref="O39">
    <cfRule type="cellIs" dxfId="662" priority="118" stopIfTrue="1" operator="lessThanOrEqual">
      <formula>0</formula>
    </cfRule>
  </conditionalFormatting>
  <conditionalFormatting sqref="P39">
    <cfRule type="cellIs" dxfId="661" priority="119" stopIfTrue="1" operator="greaterThan">
      <formula>0</formula>
    </cfRule>
  </conditionalFormatting>
  <conditionalFormatting sqref="P39">
    <cfRule type="cellIs" dxfId="660" priority="120" stopIfTrue="1" operator="lessThanOrEqual">
      <formula>0</formula>
    </cfRule>
  </conditionalFormatting>
  <conditionalFormatting sqref="G40:G47">
    <cfRule type="cellIs" dxfId="659" priority="121" stopIfTrue="1" operator="greaterThan">
      <formula>0</formula>
    </cfRule>
  </conditionalFormatting>
  <conditionalFormatting sqref="G40:G47">
    <cfRule type="cellIs" dxfId="658" priority="122" stopIfTrue="1" operator="lessThanOrEqual">
      <formula>0</formula>
    </cfRule>
  </conditionalFormatting>
  <conditionalFormatting sqref="H40:H47">
    <cfRule type="cellIs" dxfId="657" priority="123" stopIfTrue="1" operator="greaterThan">
      <formula>0</formula>
    </cfRule>
  </conditionalFormatting>
  <conditionalFormatting sqref="H40:H47">
    <cfRule type="cellIs" dxfId="656" priority="124" stopIfTrue="1" operator="lessThanOrEqual">
      <formula>0</formula>
    </cfRule>
  </conditionalFormatting>
  <conditionalFormatting sqref="I40:I47">
    <cfRule type="cellIs" dxfId="655" priority="125" stopIfTrue="1" operator="greaterThan">
      <formula>0</formula>
    </cfRule>
  </conditionalFormatting>
  <conditionalFormatting sqref="I40:I47">
    <cfRule type="cellIs" dxfId="654" priority="126" stopIfTrue="1" operator="lessThanOrEqual">
      <formula>0</formula>
    </cfRule>
  </conditionalFormatting>
  <conditionalFormatting sqref="J40:J47">
    <cfRule type="cellIs" dxfId="653" priority="127" stopIfTrue="1" operator="greaterThan">
      <formula>0</formula>
    </cfRule>
  </conditionalFormatting>
  <conditionalFormatting sqref="J40:J47">
    <cfRule type="cellIs" dxfId="652" priority="128" stopIfTrue="1" operator="lessThanOrEqual">
      <formula>0</formula>
    </cfRule>
  </conditionalFormatting>
  <conditionalFormatting sqref="K40:K47">
    <cfRule type="cellIs" dxfId="651" priority="129" stopIfTrue="1" operator="greaterThan">
      <formula>0</formula>
    </cfRule>
  </conditionalFormatting>
  <conditionalFormatting sqref="K40:K47">
    <cfRule type="cellIs" dxfId="650" priority="130" stopIfTrue="1" operator="lessThanOrEqual">
      <formula>0</formula>
    </cfRule>
  </conditionalFormatting>
  <conditionalFormatting sqref="L40:L47">
    <cfRule type="cellIs" dxfId="649" priority="131" stopIfTrue="1" operator="greaterThan">
      <formula>0</formula>
    </cfRule>
  </conditionalFormatting>
  <conditionalFormatting sqref="L40:L47">
    <cfRule type="cellIs" dxfId="648" priority="132" stopIfTrue="1" operator="lessThanOrEqual">
      <formula>0</formula>
    </cfRule>
  </conditionalFormatting>
  <conditionalFormatting sqref="M40:M47">
    <cfRule type="cellIs" dxfId="647" priority="133" stopIfTrue="1" operator="greaterThan">
      <formula>0</formula>
    </cfRule>
  </conditionalFormatting>
  <conditionalFormatting sqref="M40:M47">
    <cfRule type="cellIs" dxfId="646" priority="134" stopIfTrue="1" operator="lessThanOrEqual">
      <formula>0</formula>
    </cfRule>
  </conditionalFormatting>
  <conditionalFormatting sqref="N40:N47">
    <cfRule type="cellIs" dxfId="645" priority="135" stopIfTrue="1" operator="greaterThan">
      <formula>0</formula>
    </cfRule>
  </conditionalFormatting>
  <conditionalFormatting sqref="N40:N47">
    <cfRule type="cellIs" dxfId="644" priority="136" stopIfTrue="1" operator="lessThanOrEqual">
      <formula>0</formula>
    </cfRule>
  </conditionalFormatting>
  <conditionalFormatting sqref="O40:O47">
    <cfRule type="cellIs" dxfId="643" priority="137" stopIfTrue="1" operator="greaterThan">
      <formula>0</formula>
    </cfRule>
  </conditionalFormatting>
  <conditionalFormatting sqref="O40:O47">
    <cfRule type="cellIs" dxfId="642" priority="138" stopIfTrue="1" operator="lessThanOrEqual">
      <formula>0</formula>
    </cfRule>
  </conditionalFormatting>
  <conditionalFormatting sqref="P40:P47">
    <cfRule type="cellIs" dxfId="641" priority="139" stopIfTrue="1" operator="greaterThan">
      <formula>0</formula>
    </cfRule>
  </conditionalFormatting>
  <conditionalFormatting sqref="P40:P47">
    <cfRule type="cellIs" dxfId="640" priority="140" stopIfTrue="1" operator="lessThanOrEqual">
      <formula>0</formula>
    </cfRule>
  </conditionalFormatting>
  <conditionalFormatting sqref="G48:G49">
    <cfRule type="cellIs" dxfId="639" priority="141" stopIfTrue="1" operator="greaterThan">
      <formula>0</formula>
    </cfRule>
  </conditionalFormatting>
  <conditionalFormatting sqref="G48:G49">
    <cfRule type="cellIs" dxfId="638" priority="142" stopIfTrue="1" operator="lessThanOrEqual">
      <formula>0</formula>
    </cfRule>
  </conditionalFormatting>
  <conditionalFormatting sqref="H48:H49">
    <cfRule type="cellIs" dxfId="637" priority="143" stopIfTrue="1" operator="greaterThan">
      <formula>0</formula>
    </cfRule>
  </conditionalFormatting>
  <conditionalFormatting sqref="H48:H49">
    <cfRule type="cellIs" dxfId="636" priority="144" stopIfTrue="1" operator="lessThanOrEqual">
      <formula>0</formula>
    </cfRule>
  </conditionalFormatting>
  <conditionalFormatting sqref="I48:I49">
    <cfRule type="cellIs" dxfId="635" priority="145" stopIfTrue="1" operator="greaterThan">
      <formula>0</formula>
    </cfRule>
  </conditionalFormatting>
  <conditionalFormatting sqref="I48:I49">
    <cfRule type="cellIs" dxfId="634" priority="146" stopIfTrue="1" operator="lessThanOrEqual">
      <formula>0</formula>
    </cfRule>
  </conditionalFormatting>
  <conditionalFormatting sqref="J48:J49">
    <cfRule type="cellIs" dxfId="633" priority="147" stopIfTrue="1" operator="greaterThan">
      <formula>0</formula>
    </cfRule>
  </conditionalFormatting>
  <conditionalFormatting sqref="J48:J49">
    <cfRule type="cellIs" dxfId="632" priority="148" stopIfTrue="1" operator="lessThanOrEqual">
      <formula>0</formula>
    </cfRule>
  </conditionalFormatting>
  <conditionalFormatting sqref="K48:K49">
    <cfRule type="cellIs" dxfId="631" priority="149" stopIfTrue="1" operator="greaterThan">
      <formula>0</formula>
    </cfRule>
  </conditionalFormatting>
  <conditionalFormatting sqref="K48:K49">
    <cfRule type="cellIs" dxfId="630" priority="150" stopIfTrue="1" operator="lessThanOrEqual">
      <formula>0</formula>
    </cfRule>
  </conditionalFormatting>
  <conditionalFormatting sqref="L48:L49">
    <cfRule type="cellIs" dxfId="629" priority="151" stopIfTrue="1" operator="greaterThan">
      <formula>0</formula>
    </cfRule>
  </conditionalFormatting>
  <conditionalFormatting sqref="L48:L49">
    <cfRule type="cellIs" dxfId="628" priority="152" stopIfTrue="1" operator="lessThanOrEqual">
      <formula>0</formula>
    </cfRule>
  </conditionalFormatting>
  <conditionalFormatting sqref="M48:M49">
    <cfRule type="cellIs" dxfId="627" priority="153" stopIfTrue="1" operator="greaterThan">
      <formula>0</formula>
    </cfRule>
  </conditionalFormatting>
  <conditionalFormatting sqref="M48:M49">
    <cfRule type="cellIs" dxfId="626" priority="154" stopIfTrue="1" operator="lessThanOrEqual">
      <formula>0</formula>
    </cfRule>
  </conditionalFormatting>
  <conditionalFormatting sqref="N48:N49">
    <cfRule type="cellIs" dxfId="625" priority="155" stopIfTrue="1" operator="greaterThan">
      <formula>0</formula>
    </cfRule>
  </conditionalFormatting>
  <conditionalFormatting sqref="N48:N49">
    <cfRule type="cellIs" dxfId="624" priority="156" stopIfTrue="1" operator="lessThanOrEqual">
      <formula>0</formula>
    </cfRule>
  </conditionalFormatting>
  <conditionalFormatting sqref="O48:O49">
    <cfRule type="cellIs" dxfId="623" priority="157" stopIfTrue="1" operator="greaterThan">
      <formula>0</formula>
    </cfRule>
  </conditionalFormatting>
  <conditionalFormatting sqref="O48:O49">
    <cfRule type="cellIs" dxfId="622" priority="158" stopIfTrue="1" operator="lessThanOrEqual">
      <formula>0</formula>
    </cfRule>
  </conditionalFormatting>
  <conditionalFormatting sqref="P48:P49">
    <cfRule type="cellIs" dxfId="621" priority="159" stopIfTrue="1" operator="greaterThan">
      <formula>0</formula>
    </cfRule>
  </conditionalFormatting>
  <conditionalFormatting sqref="P48:P49">
    <cfRule type="cellIs" dxfId="620" priority="160" stopIfTrue="1" operator="lessThanOrEqual">
      <formula>0</formula>
    </cfRule>
  </conditionalFormatting>
  <conditionalFormatting sqref="G50:G53">
    <cfRule type="cellIs" dxfId="619" priority="161" stopIfTrue="1" operator="greaterThan">
      <formula>0</formula>
    </cfRule>
  </conditionalFormatting>
  <conditionalFormatting sqref="G50:G53">
    <cfRule type="cellIs" dxfId="618" priority="162" stopIfTrue="1" operator="lessThanOrEqual">
      <formula>0</formula>
    </cfRule>
  </conditionalFormatting>
  <conditionalFormatting sqref="H50:H53">
    <cfRule type="cellIs" dxfId="617" priority="163" stopIfTrue="1" operator="greaterThan">
      <formula>0</formula>
    </cfRule>
  </conditionalFormatting>
  <conditionalFormatting sqref="H50:H53">
    <cfRule type="cellIs" dxfId="616" priority="164" stopIfTrue="1" operator="lessThanOrEqual">
      <formula>0</formula>
    </cfRule>
  </conditionalFormatting>
  <conditionalFormatting sqref="I50:I53">
    <cfRule type="cellIs" dxfId="615" priority="165" stopIfTrue="1" operator="greaterThan">
      <formula>0</formula>
    </cfRule>
  </conditionalFormatting>
  <conditionalFormatting sqref="I50:I53">
    <cfRule type="cellIs" dxfId="614" priority="166" stopIfTrue="1" operator="lessThanOrEqual">
      <formula>0</formula>
    </cfRule>
  </conditionalFormatting>
  <conditionalFormatting sqref="J50:J53">
    <cfRule type="cellIs" dxfId="613" priority="167" stopIfTrue="1" operator="greaterThan">
      <formula>0</formula>
    </cfRule>
  </conditionalFormatting>
  <conditionalFormatting sqref="J50:J53">
    <cfRule type="cellIs" dxfId="612" priority="168" stopIfTrue="1" operator="lessThanOrEqual">
      <formula>0</formula>
    </cfRule>
  </conditionalFormatting>
  <conditionalFormatting sqref="K50:K53">
    <cfRule type="cellIs" dxfId="611" priority="169" stopIfTrue="1" operator="greaterThan">
      <formula>0</formula>
    </cfRule>
  </conditionalFormatting>
  <conditionalFormatting sqref="K50:K53">
    <cfRule type="cellIs" dxfId="610" priority="170" stopIfTrue="1" operator="lessThanOrEqual">
      <formula>0</formula>
    </cfRule>
  </conditionalFormatting>
  <conditionalFormatting sqref="L50:L53">
    <cfRule type="cellIs" dxfId="609" priority="171" stopIfTrue="1" operator="greaterThan">
      <formula>0</formula>
    </cfRule>
  </conditionalFormatting>
  <conditionalFormatting sqref="L50:L53">
    <cfRule type="cellIs" dxfId="608" priority="172" stopIfTrue="1" operator="lessThanOrEqual">
      <formula>0</formula>
    </cfRule>
  </conditionalFormatting>
  <conditionalFormatting sqref="M50:M53">
    <cfRule type="cellIs" dxfId="607" priority="173" stopIfTrue="1" operator="greaterThan">
      <formula>0</formula>
    </cfRule>
  </conditionalFormatting>
  <conditionalFormatting sqref="M50:M53">
    <cfRule type="cellIs" dxfId="606" priority="174" stopIfTrue="1" operator="lessThanOrEqual">
      <formula>0</formula>
    </cfRule>
  </conditionalFormatting>
  <conditionalFormatting sqref="N50:N53">
    <cfRule type="cellIs" dxfId="605" priority="175" stopIfTrue="1" operator="greaterThan">
      <formula>0</formula>
    </cfRule>
  </conditionalFormatting>
  <conditionalFormatting sqref="N50:N53">
    <cfRule type="cellIs" dxfId="604" priority="176" stopIfTrue="1" operator="lessThanOrEqual">
      <formula>0</formula>
    </cfRule>
  </conditionalFormatting>
  <conditionalFormatting sqref="O50:O53">
    <cfRule type="cellIs" dxfId="603" priority="177" stopIfTrue="1" operator="greaterThan">
      <formula>0</formula>
    </cfRule>
  </conditionalFormatting>
  <conditionalFormatting sqref="O50:O53">
    <cfRule type="cellIs" dxfId="602" priority="178" stopIfTrue="1" operator="lessThanOrEqual">
      <formula>0</formula>
    </cfRule>
  </conditionalFormatting>
  <conditionalFormatting sqref="P50:P53">
    <cfRule type="cellIs" dxfId="601" priority="179" stopIfTrue="1" operator="greaterThan">
      <formula>0</formula>
    </cfRule>
  </conditionalFormatting>
  <conditionalFormatting sqref="P50:P53">
    <cfRule type="cellIs" dxfId="600" priority="180" stopIfTrue="1" operator="lessThanOrEqual">
      <formula>0</formula>
    </cfRule>
  </conditionalFormatting>
  <conditionalFormatting sqref="G54:G55">
    <cfRule type="cellIs" dxfId="599" priority="181" stopIfTrue="1" operator="greaterThan">
      <formula>0</formula>
    </cfRule>
  </conditionalFormatting>
  <conditionalFormatting sqref="G54:G55">
    <cfRule type="cellIs" dxfId="598" priority="182" stopIfTrue="1" operator="lessThanOrEqual">
      <formula>0</formula>
    </cfRule>
  </conditionalFormatting>
  <conditionalFormatting sqref="H54:H55">
    <cfRule type="cellIs" dxfId="597" priority="183" stopIfTrue="1" operator="greaterThan">
      <formula>0</formula>
    </cfRule>
  </conditionalFormatting>
  <conditionalFormatting sqref="H54:H55">
    <cfRule type="cellIs" dxfId="596" priority="184" stopIfTrue="1" operator="lessThanOrEqual">
      <formula>0</formula>
    </cfRule>
  </conditionalFormatting>
  <conditionalFormatting sqref="I54:I55">
    <cfRule type="cellIs" dxfId="595" priority="185" stopIfTrue="1" operator="greaterThan">
      <formula>0</formula>
    </cfRule>
  </conditionalFormatting>
  <conditionalFormatting sqref="I54:I55">
    <cfRule type="cellIs" dxfId="594" priority="186" stopIfTrue="1" operator="lessThanOrEqual">
      <formula>0</formula>
    </cfRule>
  </conditionalFormatting>
  <conditionalFormatting sqref="J54:J55">
    <cfRule type="cellIs" dxfId="593" priority="187" stopIfTrue="1" operator="greaterThan">
      <formula>0</formula>
    </cfRule>
  </conditionalFormatting>
  <conditionalFormatting sqref="J54:J55">
    <cfRule type="cellIs" dxfId="592" priority="188" stopIfTrue="1" operator="lessThanOrEqual">
      <formula>0</formula>
    </cfRule>
  </conditionalFormatting>
  <conditionalFormatting sqref="K54:K55">
    <cfRule type="cellIs" dxfId="591" priority="189" stopIfTrue="1" operator="greaterThan">
      <formula>0</formula>
    </cfRule>
  </conditionalFormatting>
  <conditionalFormatting sqref="K54:K55">
    <cfRule type="cellIs" dxfId="590" priority="190" stopIfTrue="1" operator="lessThanOrEqual">
      <formula>0</formula>
    </cfRule>
  </conditionalFormatting>
  <conditionalFormatting sqref="L54:L55">
    <cfRule type="cellIs" dxfId="589" priority="191" stopIfTrue="1" operator="greaterThan">
      <formula>0</formula>
    </cfRule>
  </conditionalFormatting>
  <conditionalFormatting sqref="L54:L55">
    <cfRule type="cellIs" dxfId="588" priority="192" stopIfTrue="1" operator="lessThanOrEqual">
      <formula>0</formula>
    </cfRule>
  </conditionalFormatting>
  <conditionalFormatting sqref="M54:M55">
    <cfRule type="cellIs" dxfId="587" priority="193" stopIfTrue="1" operator="greaterThan">
      <formula>0</formula>
    </cfRule>
  </conditionalFormatting>
  <conditionalFormatting sqref="M54:M55">
    <cfRule type="cellIs" dxfId="586" priority="194" stopIfTrue="1" operator="lessThanOrEqual">
      <formula>0</formula>
    </cfRule>
  </conditionalFormatting>
  <conditionalFormatting sqref="N54:N55">
    <cfRule type="cellIs" dxfId="585" priority="195" stopIfTrue="1" operator="greaterThan">
      <formula>0</formula>
    </cfRule>
  </conditionalFormatting>
  <conditionalFormatting sqref="N54:N55">
    <cfRule type="cellIs" dxfId="584" priority="196" stopIfTrue="1" operator="lessThanOrEqual">
      <formula>0</formula>
    </cfRule>
  </conditionalFormatting>
  <conditionalFormatting sqref="O54:O55">
    <cfRule type="cellIs" dxfId="583" priority="197" stopIfTrue="1" operator="greaterThan">
      <formula>0</formula>
    </cfRule>
  </conditionalFormatting>
  <conditionalFormatting sqref="O54:O55">
    <cfRule type="cellIs" dxfId="582" priority="198" stopIfTrue="1" operator="lessThanOrEqual">
      <formula>0</formula>
    </cfRule>
  </conditionalFormatting>
  <conditionalFormatting sqref="P54:P55">
    <cfRule type="cellIs" dxfId="581" priority="199" stopIfTrue="1" operator="greaterThan">
      <formula>0</formula>
    </cfRule>
  </conditionalFormatting>
  <conditionalFormatting sqref="P54:P55">
    <cfRule type="cellIs" dxfId="580" priority="200" stopIfTrue="1" operator="lessThanOrEqual">
      <formula>0</formula>
    </cfRule>
  </conditionalFormatting>
  <conditionalFormatting sqref="G56:G61">
    <cfRule type="cellIs" dxfId="579" priority="201" stopIfTrue="1" operator="greaterThan">
      <formula>0</formula>
    </cfRule>
  </conditionalFormatting>
  <conditionalFormatting sqref="G56:G61">
    <cfRule type="cellIs" dxfId="578" priority="202" stopIfTrue="1" operator="lessThanOrEqual">
      <formula>0</formula>
    </cfRule>
  </conditionalFormatting>
  <conditionalFormatting sqref="H56:H61">
    <cfRule type="cellIs" dxfId="577" priority="203" stopIfTrue="1" operator="greaterThan">
      <formula>0</formula>
    </cfRule>
  </conditionalFormatting>
  <conditionalFormatting sqref="H56:H61">
    <cfRule type="cellIs" dxfId="576" priority="204" stopIfTrue="1" operator="lessThanOrEqual">
      <formula>0</formula>
    </cfRule>
  </conditionalFormatting>
  <conditionalFormatting sqref="I56:I61">
    <cfRule type="cellIs" dxfId="575" priority="205" stopIfTrue="1" operator="greaterThan">
      <formula>0</formula>
    </cfRule>
  </conditionalFormatting>
  <conditionalFormatting sqref="I56:I61">
    <cfRule type="cellIs" dxfId="574" priority="206" stopIfTrue="1" operator="lessThanOrEqual">
      <formula>0</formula>
    </cfRule>
  </conditionalFormatting>
  <conditionalFormatting sqref="J56:J61">
    <cfRule type="cellIs" dxfId="573" priority="207" stopIfTrue="1" operator="greaterThan">
      <formula>0</formula>
    </cfRule>
  </conditionalFormatting>
  <conditionalFormatting sqref="J56:J61">
    <cfRule type="cellIs" dxfId="572" priority="208" stopIfTrue="1" operator="lessThanOrEqual">
      <formula>0</formula>
    </cfRule>
  </conditionalFormatting>
  <conditionalFormatting sqref="K56:K61">
    <cfRule type="cellIs" dxfId="571" priority="209" stopIfTrue="1" operator="greaterThan">
      <formula>0</formula>
    </cfRule>
  </conditionalFormatting>
  <conditionalFormatting sqref="K56:K61">
    <cfRule type="cellIs" dxfId="570" priority="210" stopIfTrue="1" operator="lessThanOrEqual">
      <formula>0</formula>
    </cfRule>
  </conditionalFormatting>
  <conditionalFormatting sqref="L56:L61">
    <cfRule type="cellIs" dxfId="569" priority="211" stopIfTrue="1" operator="greaterThan">
      <formula>0</formula>
    </cfRule>
  </conditionalFormatting>
  <conditionalFormatting sqref="L56:L61">
    <cfRule type="cellIs" dxfId="568" priority="212" stopIfTrue="1" operator="lessThanOrEqual">
      <formula>0</formula>
    </cfRule>
  </conditionalFormatting>
  <conditionalFormatting sqref="M56:M61">
    <cfRule type="cellIs" dxfId="567" priority="213" stopIfTrue="1" operator="greaterThan">
      <formula>0</formula>
    </cfRule>
  </conditionalFormatting>
  <conditionalFormatting sqref="M56:M61">
    <cfRule type="cellIs" dxfId="566" priority="214" stopIfTrue="1" operator="lessThanOrEqual">
      <formula>0</formula>
    </cfRule>
  </conditionalFormatting>
  <conditionalFormatting sqref="N56:N61">
    <cfRule type="cellIs" dxfId="565" priority="215" stopIfTrue="1" operator="greaterThan">
      <formula>0</formula>
    </cfRule>
  </conditionalFormatting>
  <conditionalFormatting sqref="N56:N61">
    <cfRule type="cellIs" dxfId="564" priority="216" stopIfTrue="1" operator="lessThanOrEqual">
      <formula>0</formula>
    </cfRule>
  </conditionalFormatting>
  <conditionalFormatting sqref="O56:O61">
    <cfRule type="cellIs" dxfId="563" priority="217" stopIfTrue="1" operator="greaterThan">
      <formula>0</formula>
    </cfRule>
  </conditionalFormatting>
  <conditionalFormatting sqref="O56:O61">
    <cfRule type="cellIs" dxfId="562" priority="218" stopIfTrue="1" operator="lessThanOrEqual">
      <formula>0</formula>
    </cfRule>
  </conditionalFormatting>
  <conditionalFormatting sqref="P56:P61">
    <cfRule type="cellIs" dxfId="561" priority="219" stopIfTrue="1" operator="greaterThan">
      <formula>0</formula>
    </cfRule>
  </conditionalFormatting>
  <conditionalFormatting sqref="P56:P61">
    <cfRule type="cellIs" dxfId="560" priority="220" stopIfTrue="1" operator="lessThanOrEqual">
      <formula>0</formula>
    </cfRule>
  </conditionalFormatting>
  <conditionalFormatting sqref="G62:G65">
    <cfRule type="cellIs" dxfId="559" priority="221" stopIfTrue="1" operator="greaterThan">
      <formula>0</formula>
    </cfRule>
  </conditionalFormatting>
  <conditionalFormatting sqref="G62:G65">
    <cfRule type="cellIs" dxfId="558" priority="222" stopIfTrue="1" operator="lessThanOrEqual">
      <formula>0</formula>
    </cfRule>
  </conditionalFormatting>
  <conditionalFormatting sqref="H62:H65">
    <cfRule type="cellIs" dxfId="557" priority="223" stopIfTrue="1" operator="greaterThan">
      <formula>0</formula>
    </cfRule>
  </conditionalFormatting>
  <conditionalFormatting sqref="H62:H65">
    <cfRule type="cellIs" dxfId="556" priority="224" stopIfTrue="1" operator="lessThanOrEqual">
      <formula>0</formula>
    </cfRule>
  </conditionalFormatting>
  <conditionalFormatting sqref="I62:I65">
    <cfRule type="cellIs" dxfId="555" priority="225" stopIfTrue="1" operator="greaterThan">
      <formula>0</formula>
    </cfRule>
  </conditionalFormatting>
  <conditionalFormatting sqref="I62:I65">
    <cfRule type="cellIs" dxfId="554" priority="226" stopIfTrue="1" operator="lessThanOrEqual">
      <formula>0</formula>
    </cfRule>
  </conditionalFormatting>
  <conditionalFormatting sqref="J62:J65">
    <cfRule type="cellIs" dxfId="553" priority="227" stopIfTrue="1" operator="greaterThan">
      <formula>0</formula>
    </cfRule>
  </conditionalFormatting>
  <conditionalFormatting sqref="J62:J65">
    <cfRule type="cellIs" dxfId="552" priority="228" stopIfTrue="1" operator="lessThanOrEqual">
      <formula>0</formula>
    </cfRule>
  </conditionalFormatting>
  <conditionalFormatting sqref="K62:K65">
    <cfRule type="cellIs" dxfId="551" priority="229" stopIfTrue="1" operator="greaterThan">
      <formula>0</formula>
    </cfRule>
  </conditionalFormatting>
  <conditionalFormatting sqref="K62:K65">
    <cfRule type="cellIs" dxfId="550" priority="230" stopIfTrue="1" operator="lessThanOrEqual">
      <formula>0</formula>
    </cfRule>
  </conditionalFormatting>
  <conditionalFormatting sqref="L62:L65">
    <cfRule type="cellIs" dxfId="549" priority="231" stopIfTrue="1" operator="greaterThan">
      <formula>0</formula>
    </cfRule>
  </conditionalFormatting>
  <conditionalFormatting sqref="L62:L65">
    <cfRule type="cellIs" dxfId="548" priority="232" stopIfTrue="1" operator="lessThanOrEqual">
      <formula>0</formula>
    </cfRule>
  </conditionalFormatting>
  <conditionalFormatting sqref="M62:M65">
    <cfRule type="cellIs" dxfId="547" priority="233" stopIfTrue="1" operator="greaterThan">
      <formula>0</formula>
    </cfRule>
  </conditionalFormatting>
  <conditionalFormatting sqref="M62:M65">
    <cfRule type="cellIs" dxfId="546" priority="234" stopIfTrue="1" operator="lessThanOrEqual">
      <formula>0</formula>
    </cfRule>
  </conditionalFormatting>
  <conditionalFormatting sqref="N62:N65">
    <cfRule type="cellIs" dxfId="545" priority="235" stopIfTrue="1" operator="greaterThan">
      <formula>0</formula>
    </cfRule>
  </conditionalFormatting>
  <conditionalFormatting sqref="N62:N65">
    <cfRule type="cellIs" dxfId="544" priority="236" stopIfTrue="1" operator="lessThanOrEqual">
      <formula>0</formula>
    </cfRule>
  </conditionalFormatting>
  <conditionalFormatting sqref="O62:O65">
    <cfRule type="cellIs" dxfId="543" priority="237" stopIfTrue="1" operator="greaterThan">
      <formula>0</formula>
    </cfRule>
  </conditionalFormatting>
  <conditionalFormatting sqref="O62:O65">
    <cfRule type="cellIs" dxfId="542" priority="238" stopIfTrue="1" operator="lessThanOrEqual">
      <formula>0</formula>
    </cfRule>
  </conditionalFormatting>
  <conditionalFormatting sqref="P62:P65">
    <cfRule type="cellIs" dxfId="541" priority="239" stopIfTrue="1" operator="greaterThan">
      <formula>0</formula>
    </cfRule>
  </conditionalFormatting>
  <conditionalFormatting sqref="P62:P65">
    <cfRule type="cellIs" dxfId="540" priority="240" stopIfTrue="1" operator="lessThanOrEqual">
      <formula>0</formula>
    </cfRule>
  </conditionalFormatting>
  <conditionalFormatting sqref="G66:G79">
    <cfRule type="cellIs" dxfId="539" priority="241" stopIfTrue="1" operator="greaterThan">
      <formula>0</formula>
    </cfRule>
  </conditionalFormatting>
  <conditionalFormatting sqref="G66:G79">
    <cfRule type="cellIs" dxfId="538" priority="242" stopIfTrue="1" operator="lessThanOrEqual">
      <formula>0</formula>
    </cfRule>
  </conditionalFormatting>
  <conditionalFormatting sqref="H66:H79">
    <cfRule type="cellIs" dxfId="537" priority="243" stopIfTrue="1" operator="greaterThan">
      <formula>0</formula>
    </cfRule>
  </conditionalFormatting>
  <conditionalFormatting sqref="H66:H79">
    <cfRule type="cellIs" dxfId="536" priority="244" stopIfTrue="1" operator="lessThanOrEqual">
      <formula>0</formula>
    </cfRule>
  </conditionalFormatting>
  <conditionalFormatting sqref="I66:I79">
    <cfRule type="cellIs" dxfId="535" priority="245" stopIfTrue="1" operator="greaterThan">
      <formula>0</formula>
    </cfRule>
  </conditionalFormatting>
  <conditionalFormatting sqref="I66:I79">
    <cfRule type="cellIs" dxfId="534" priority="246" stopIfTrue="1" operator="lessThanOrEqual">
      <formula>0</formula>
    </cfRule>
  </conditionalFormatting>
  <conditionalFormatting sqref="J66:J79">
    <cfRule type="cellIs" dxfId="533" priority="247" stopIfTrue="1" operator="greaterThan">
      <formula>0</formula>
    </cfRule>
  </conditionalFormatting>
  <conditionalFormatting sqref="J66:J79">
    <cfRule type="cellIs" dxfId="532" priority="248" stopIfTrue="1" operator="lessThanOrEqual">
      <formula>0</formula>
    </cfRule>
  </conditionalFormatting>
  <conditionalFormatting sqref="K66:K79">
    <cfRule type="cellIs" dxfId="531" priority="249" stopIfTrue="1" operator="greaterThan">
      <formula>0</formula>
    </cfRule>
  </conditionalFormatting>
  <conditionalFormatting sqref="K66:K79">
    <cfRule type="cellIs" dxfId="530" priority="250" stopIfTrue="1" operator="lessThanOrEqual">
      <formula>0</formula>
    </cfRule>
  </conditionalFormatting>
  <conditionalFormatting sqref="L66:L79">
    <cfRule type="cellIs" dxfId="529" priority="251" stopIfTrue="1" operator="greaterThan">
      <formula>0</formula>
    </cfRule>
  </conditionalFormatting>
  <conditionalFormatting sqref="L66:L79">
    <cfRule type="cellIs" dxfId="528" priority="252" stopIfTrue="1" operator="lessThanOrEqual">
      <formula>0</formula>
    </cfRule>
  </conditionalFormatting>
  <conditionalFormatting sqref="M66:M79">
    <cfRule type="cellIs" dxfId="527" priority="253" stopIfTrue="1" operator="greaterThan">
      <formula>0</formula>
    </cfRule>
  </conditionalFormatting>
  <conditionalFormatting sqref="M66:M79">
    <cfRule type="cellIs" dxfId="526" priority="254" stopIfTrue="1" operator="lessThanOrEqual">
      <formula>0</formula>
    </cfRule>
  </conditionalFormatting>
  <conditionalFormatting sqref="N66:N79">
    <cfRule type="cellIs" dxfId="525" priority="255" stopIfTrue="1" operator="greaterThan">
      <formula>0</formula>
    </cfRule>
  </conditionalFormatting>
  <conditionalFormatting sqref="N66:N79">
    <cfRule type="cellIs" dxfId="524" priority="256" stopIfTrue="1" operator="lessThanOrEqual">
      <formula>0</formula>
    </cfRule>
  </conditionalFormatting>
  <conditionalFormatting sqref="O66:O79">
    <cfRule type="cellIs" dxfId="523" priority="257" stopIfTrue="1" operator="greaterThan">
      <formula>0</formula>
    </cfRule>
  </conditionalFormatting>
  <conditionalFormatting sqref="O66:O79">
    <cfRule type="cellIs" dxfId="522" priority="258" stopIfTrue="1" operator="lessThanOrEqual">
      <formula>0</formula>
    </cfRule>
  </conditionalFormatting>
  <conditionalFormatting sqref="P66:P79">
    <cfRule type="cellIs" dxfId="521" priority="259" stopIfTrue="1" operator="greaterThan">
      <formula>0</formula>
    </cfRule>
  </conditionalFormatting>
  <conditionalFormatting sqref="P66:P79">
    <cfRule type="cellIs" dxfId="520" priority="260" stopIfTrue="1" operator="lessThanOrEqual">
      <formula>0</formula>
    </cfRule>
  </conditionalFormatting>
  <conditionalFormatting sqref="G80:G94">
    <cfRule type="cellIs" dxfId="519" priority="261" stopIfTrue="1" operator="greaterThan">
      <formula>0</formula>
    </cfRule>
  </conditionalFormatting>
  <conditionalFormatting sqref="G80:G94">
    <cfRule type="cellIs" dxfId="518" priority="262" stopIfTrue="1" operator="lessThanOrEqual">
      <formula>0</formula>
    </cfRule>
  </conditionalFormatting>
  <conditionalFormatting sqref="H80:H94">
    <cfRule type="cellIs" dxfId="517" priority="263" stopIfTrue="1" operator="greaterThan">
      <formula>0</formula>
    </cfRule>
  </conditionalFormatting>
  <conditionalFormatting sqref="H80:H94">
    <cfRule type="cellIs" dxfId="516" priority="264" stopIfTrue="1" operator="lessThanOrEqual">
      <formula>0</formula>
    </cfRule>
  </conditionalFormatting>
  <conditionalFormatting sqref="I80:I94">
    <cfRule type="cellIs" dxfId="515" priority="265" stopIfTrue="1" operator="greaterThan">
      <formula>0</formula>
    </cfRule>
  </conditionalFormatting>
  <conditionalFormatting sqref="I80:I94">
    <cfRule type="cellIs" dxfId="514" priority="266" stopIfTrue="1" operator="lessThanOrEqual">
      <formula>0</formula>
    </cfRule>
  </conditionalFormatting>
  <conditionalFormatting sqref="J80:J94">
    <cfRule type="cellIs" dxfId="513" priority="267" stopIfTrue="1" operator="greaterThan">
      <formula>0</formula>
    </cfRule>
  </conditionalFormatting>
  <conditionalFormatting sqref="J80:J94">
    <cfRule type="cellIs" dxfId="512" priority="268" stopIfTrue="1" operator="lessThanOrEqual">
      <formula>0</formula>
    </cfRule>
  </conditionalFormatting>
  <conditionalFormatting sqref="K80:K94">
    <cfRule type="cellIs" dxfId="511" priority="269" stopIfTrue="1" operator="greaterThan">
      <formula>0</formula>
    </cfRule>
  </conditionalFormatting>
  <conditionalFormatting sqref="K80:K94">
    <cfRule type="cellIs" dxfId="510" priority="270" stopIfTrue="1" operator="lessThanOrEqual">
      <formula>0</formula>
    </cfRule>
  </conditionalFormatting>
  <conditionalFormatting sqref="L80:L94">
    <cfRule type="cellIs" dxfId="509" priority="271" stopIfTrue="1" operator="greaterThan">
      <formula>0</formula>
    </cfRule>
  </conditionalFormatting>
  <conditionalFormatting sqref="L80:L94">
    <cfRule type="cellIs" dxfId="508" priority="272" stopIfTrue="1" operator="lessThanOrEqual">
      <formula>0</formula>
    </cfRule>
  </conditionalFormatting>
  <conditionalFormatting sqref="M80:M94">
    <cfRule type="cellIs" dxfId="507" priority="273" stopIfTrue="1" operator="greaterThan">
      <formula>0</formula>
    </cfRule>
  </conditionalFormatting>
  <conditionalFormatting sqref="M80:M94">
    <cfRule type="cellIs" dxfId="506" priority="274" stopIfTrue="1" operator="lessThanOrEqual">
      <formula>0</formula>
    </cfRule>
  </conditionalFormatting>
  <conditionalFormatting sqref="N80:N94">
    <cfRule type="cellIs" dxfId="505" priority="275" stopIfTrue="1" operator="greaterThan">
      <formula>0</formula>
    </cfRule>
  </conditionalFormatting>
  <conditionalFormatting sqref="N80:N94">
    <cfRule type="cellIs" dxfId="504" priority="276" stopIfTrue="1" operator="lessThanOrEqual">
      <formula>0</formula>
    </cfRule>
  </conditionalFormatting>
  <conditionalFormatting sqref="O80:O94">
    <cfRule type="cellIs" dxfId="503" priority="277" stopIfTrue="1" operator="greaterThan">
      <formula>0</formula>
    </cfRule>
  </conditionalFormatting>
  <conditionalFormatting sqref="O80:O94">
    <cfRule type="cellIs" dxfId="502" priority="278" stopIfTrue="1" operator="lessThanOrEqual">
      <formula>0</formula>
    </cfRule>
  </conditionalFormatting>
  <conditionalFormatting sqref="P80:P94">
    <cfRule type="cellIs" dxfId="501" priority="279" stopIfTrue="1" operator="greaterThan">
      <formula>0</formula>
    </cfRule>
  </conditionalFormatting>
  <conditionalFormatting sqref="P80:P94">
    <cfRule type="cellIs" dxfId="500" priority="280" stopIfTrue="1" operator="lessThanOrEqual">
      <formula>0</formula>
    </cfRule>
  </conditionalFormatting>
  <conditionalFormatting sqref="G95:G101">
    <cfRule type="cellIs" dxfId="499" priority="281" stopIfTrue="1" operator="greaterThan">
      <formula>0</formula>
    </cfRule>
  </conditionalFormatting>
  <conditionalFormatting sqref="G95:G101">
    <cfRule type="cellIs" dxfId="498" priority="282" stopIfTrue="1" operator="lessThanOrEqual">
      <formula>0</formula>
    </cfRule>
  </conditionalFormatting>
  <conditionalFormatting sqref="H95:H101">
    <cfRule type="cellIs" dxfId="497" priority="283" stopIfTrue="1" operator="greaterThan">
      <formula>0</formula>
    </cfRule>
  </conditionalFormatting>
  <conditionalFormatting sqref="H95:H101">
    <cfRule type="cellIs" dxfId="496" priority="284" stopIfTrue="1" operator="lessThanOrEqual">
      <formula>0</formula>
    </cfRule>
  </conditionalFormatting>
  <conditionalFormatting sqref="I95:I101">
    <cfRule type="cellIs" dxfId="495" priority="285" stopIfTrue="1" operator="greaterThan">
      <formula>0</formula>
    </cfRule>
  </conditionalFormatting>
  <conditionalFormatting sqref="I95:I101">
    <cfRule type="cellIs" dxfId="494" priority="286" stopIfTrue="1" operator="lessThanOrEqual">
      <formula>0</formula>
    </cfRule>
  </conditionalFormatting>
  <conditionalFormatting sqref="J95:J101">
    <cfRule type="cellIs" dxfId="493" priority="287" stopIfTrue="1" operator="greaterThan">
      <formula>0</formula>
    </cfRule>
  </conditionalFormatting>
  <conditionalFormatting sqref="J95:J101">
    <cfRule type="cellIs" dxfId="492" priority="288" stopIfTrue="1" operator="lessThanOrEqual">
      <formula>0</formula>
    </cfRule>
  </conditionalFormatting>
  <conditionalFormatting sqref="K95:K101">
    <cfRule type="cellIs" dxfId="491" priority="289" stopIfTrue="1" operator="greaterThan">
      <formula>0</formula>
    </cfRule>
  </conditionalFormatting>
  <conditionalFormatting sqref="K95:K101">
    <cfRule type="cellIs" dxfId="490" priority="290" stopIfTrue="1" operator="lessThanOrEqual">
      <formula>0</formula>
    </cfRule>
  </conditionalFormatting>
  <conditionalFormatting sqref="L95:L101">
    <cfRule type="cellIs" dxfId="489" priority="291" stopIfTrue="1" operator="greaterThan">
      <formula>0</formula>
    </cfRule>
  </conditionalFormatting>
  <conditionalFormatting sqref="L95:L101">
    <cfRule type="cellIs" dxfId="488" priority="292" stopIfTrue="1" operator="lessThanOrEqual">
      <formula>0</formula>
    </cfRule>
  </conditionalFormatting>
  <conditionalFormatting sqref="M95:M101">
    <cfRule type="cellIs" dxfId="487" priority="293" stopIfTrue="1" operator="greaterThan">
      <formula>0</formula>
    </cfRule>
  </conditionalFormatting>
  <conditionalFormatting sqref="M95:M101">
    <cfRule type="cellIs" dxfId="486" priority="294" stopIfTrue="1" operator="lessThanOrEqual">
      <formula>0</formula>
    </cfRule>
  </conditionalFormatting>
  <conditionalFormatting sqref="N95:N101">
    <cfRule type="cellIs" dxfId="485" priority="295" stopIfTrue="1" operator="greaterThan">
      <formula>0</formula>
    </cfRule>
  </conditionalFormatting>
  <conditionalFormatting sqref="N95:N101">
    <cfRule type="cellIs" dxfId="484" priority="296" stopIfTrue="1" operator="lessThanOrEqual">
      <formula>0</formula>
    </cfRule>
  </conditionalFormatting>
  <conditionalFormatting sqref="O95:O101">
    <cfRule type="cellIs" dxfId="483" priority="297" stopIfTrue="1" operator="greaterThan">
      <formula>0</formula>
    </cfRule>
  </conditionalFormatting>
  <conditionalFormatting sqref="O95:O101">
    <cfRule type="cellIs" dxfId="482" priority="298" stopIfTrue="1" operator="lessThanOrEqual">
      <formula>0</formula>
    </cfRule>
  </conditionalFormatting>
  <conditionalFormatting sqref="P95:P101">
    <cfRule type="cellIs" dxfId="481" priority="299" stopIfTrue="1" operator="greaterThan">
      <formula>0</formula>
    </cfRule>
  </conditionalFormatting>
  <conditionalFormatting sqref="P95:P101">
    <cfRule type="cellIs" dxfId="480" priority="300" stopIfTrue="1" operator="lessThanOrEqual">
      <formula>0</formula>
    </cfRule>
  </conditionalFormatting>
  <conditionalFormatting sqref="G102:G109">
    <cfRule type="cellIs" dxfId="479" priority="301" stopIfTrue="1" operator="greaterThan">
      <formula>0</formula>
    </cfRule>
  </conditionalFormatting>
  <conditionalFormatting sqref="G102:G109">
    <cfRule type="cellIs" dxfId="478" priority="302" stopIfTrue="1" operator="lessThanOrEqual">
      <formula>0</formula>
    </cfRule>
  </conditionalFormatting>
  <conditionalFormatting sqref="H102:H109">
    <cfRule type="cellIs" dxfId="477" priority="303" stopIfTrue="1" operator="greaterThan">
      <formula>0</formula>
    </cfRule>
  </conditionalFormatting>
  <conditionalFormatting sqref="H102:H109">
    <cfRule type="cellIs" dxfId="476" priority="304" stopIfTrue="1" operator="lessThanOrEqual">
      <formula>0</formula>
    </cfRule>
  </conditionalFormatting>
  <conditionalFormatting sqref="I102:I109">
    <cfRule type="cellIs" dxfId="475" priority="305" stopIfTrue="1" operator="greaterThan">
      <formula>0</formula>
    </cfRule>
  </conditionalFormatting>
  <conditionalFormatting sqref="I102:I109">
    <cfRule type="cellIs" dxfId="474" priority="306" stopIfTrue="1" operator="lessThanOrEqual">
      <formula>0</formula>
    </cfRule>
  </conditionalFormatting>
  <conditionalFormatting sqref="J102:J109">
    <cfRule type="cellIs" dxfId="473" priority="307" stopIfTrue="1" operator="greaterThan">
      <formula>0</formula>
    </cfRule>
  </conditionalFormatting>
  <conditionalFormatting sqref="J102:J109">
    <cfRule type="cellIs" dxfId="472" priority="308" stopIfTrue="1" operator="lessThanOrEqual">
      <formula>0</formula>
    </cfRule>
  </conditionalFormatting>
  <conditionalFormatting sqref="K102:K109">
    <cfRule type="cellIs" dxfId="471" priority="309" stopIfTrue="1" operator="greaterThan">
      <formula>0</formula>
    </cfRule>
  </conditionalFormatting>
  <conditionalFormatting sqref="K102:K109">
    <cfRule type="cellIs" dxfId="470" priority="310" stopIfTrue="1" operator="lessThanOrEqual">
      <formula>0</formula>
    </cfRule>
  </conditionalFormatting>
  <conditionalFormatting sqref="L102:L109">
    <cfRule type="cellIs" dxfId="469" priority="311" stopIfTrue="1" operator="greaterThan">
      <formula>0</formula>
    </cfRule>
  </conditionalFormatting>
  <conditionalFormatting sqref="L102:L109">
    <cfRule type="cellIs" dxfId="468" priority="312" stopIfTrue="1" operator="lessThanOrEqual">
      <formula>0</formula>
    </cfRule>
  </conditionalFormatting>
  <conditionalFormatting sqref="M102:M109">
    <cfRule type="cellIs" dxfId="467" priority="313" stopIfTrue="1" operator="greaterThan">
      <formula>0</formula>
    </cfRule>
  </conditionalFormatting>
  <conditionalFormatting sqref="M102:M109">
    <cfRule type="cellIs" dxfId="466" priority="314" stopIfTrue="1" operator="lessThanOrEqual">
      <formula>0</formula>
    </cfRule>
  </conditionalFormatting>
  <conditionalFormatting sqref="N102:N109">
    <cfRule type="cellIs" dxfId="465" priority="315" stopIfTrue="1" operator="greaterThan">
      <formula>0</formula>
    </cfRule>
  </conditionalFormatting>
  <conditionalFormatting sqref="N102:N109">
    <cfRule type="cellIs" dxfId="464" priority="316" stopIfTrue="1" operator="lessThanOrEqual">
      <formula>0</formula>
    </cfRule>
  </conditionalFormatting>
  <conditionalFormatting sqref="O102:O109">
    <cfRule type="cellIs" dxfId="463" priority="317" stopIfTrue="1" operator="greaterThan">
      <formula>0</formula>
    </cfRule>
  </conditionalFormatting>
  <conditionalFormatting sqref="O102:O109">
    <cfRule type="cellIs" dxfId="462" priority="318" stopIfTrue="1" operator="lessThanOrEqual">
      <formula>0</formula>
    </cfRule>
  </conditionalFormatting>
  <conditionalFormatting sqref="P102:P109">
    <cfRule type="cellIs" dxfId="461" priority="319" stopIfTrue="1" operator="greaterThan">
      <formula>0</formula>
    </cfRule>
  </conditionalFormatting>
  <conditionalFormatting sqref="P102:P109">
    <cfRule type="cellIs" dxfId="460" priority="320" stopIfTrue="1" operator="lessThanOrEqual">
      <formula>0</formula>
    </cfRule>
  </conditionalFormatting>
  <conditionalFormatting sqref="G110:G135">
    <cfRule type="cellIs" dxfId="459" priority="321" stopIfTrue="1" operator="greaterThan">
      <formula>0</formula>
    </cfRule>
  </conditionalFormatting>
  <conditionalFormatting sqref="G110:G135">
    <cfRule type="cellIs" dxfId="458" priority="322" stopIfTrue="1" operator="lessThanOrEqual">
      <formula>0</formula>
    </cfRule>
  </conditionalFormatting>
  <conditionalFormatting sqref="H110:H135">
    <cfRule type="cellIs" dxfId="457" priority="323" stopIfTrue="1" operator="greaterThan">
      <formula>0</formula>
    </cfRule>
  </conditionalFormatting>
  <conditionalFormatting sqref="H110:H135">
    <cfRule type="cellIs" dxfId="456" priority="324" stopIfTrue="1" operator="lessThanOrEqual">
      <formula>0</formula>
    </cfRule>
  </conditionalFormatting>
  <conditionalFormatting sqref="I110:I135">
    <cfRule type="cellIs" dxfId="455" priority="325" stopIfTrue="1" operator="greaterThan">
      <formula>0</formula>
    </cfRule>
  </conditionalFormatting>
  <conditionalFormatting sqref="I110:I135">
    <cfRule type="cellIs" dxfId="454" priority="326" stopIfTrue="1" operator="lessThanOrEqual">
      <formula>0</formula>
    </cfRule>
  </conditionalFormatting>
  <conditionalFormatting sqref="J110:J135">
    <cfRule type="cellIs" dxfId="453" priority="327" stopIfTrue="1" operator="greaterThan">
      <formula>0</formula>
    </cfRule>
  </conditionalFormatting>
  <conditionalFormatting sqref="J110:J135">
    <cfRule type="cellIs" dxfId="452" priority="328" stopIfTrue="1" operator="lessThanOrEqual">
      <formula>0</formula>
    </cfRule>
  </conditionalFormatting>
  <conditionalFormatting sqref="K110:K135">
    <cfRule type="cellIs" dxfId="451" priority="329" stopIfTrue="1" operator="greaterThan">
      <formula>0</formula>
    </cfRule>
  </conditionalFormatting>
  <conditionalFormatting sqref="K110:K135">
    <cfRule type="cellIs" dxfId="450" priority="330" stopIfTrue="1" operator="lessThanOrEqual">
      <formula>0</formula>
    </cfRule>
  </conditionalFormatting>
  <conditionalFormatting sqref="L110:L135">
    <cfRule type="cellIs" dxfId="449" priority="331" stopIfTrue="1" operator="greaterThan">
      <formula>0</formula>
    </cfRule>
  </conditionalFormatting>
  <conditionalFormatting sqref="L110:L135">
    <cfRule type="cellIs" dxfId="448" priority="332" stopIfTrue="1" operator="lessThanOrEqual">
      <formula>0</formula>
    </cfRule>
  </conditionalFormatting>
  <conditionalFormatting sqref="M110:M135">
    <cfRule type="cellIs" dxfId="447" priority="333" stopIfTrue="1" operator="greaterThan">
      <formula>0</formula>
    </cfRule>
  </conditionalFormatting>
  <conditionalFormatting sqref="M110:M135">
    <cfRule type="cellIs" dxfId="446" priority="334" stopIfTrue="1" operator="lessThanOrEqual">
      <formula>0</formula>
    </cfRule>
  </conditionalFormatting>
  <conditionalFormatting sqref="N110:N135">
    <cfRule type="cellIs" dxfId="445" priority="335" stopIfTrue="1" operator="greaterThan">
      <formula>0</formula>
    </cfRule>
  </conditionalFormatting>
  <conditionalFormatting sqref="N110:N135">
    <cfRule type="cellIs" dxfId="444" priority="336" stopIfTrue="1" operator="lessThanOrEqual">
      <formula>0</formula>
    </cfRule>
  </conditionalFormatting>
  <conditionalFormatting sqref="O110:O135">
    <cfRule type="cellIs" dxfId="443" priority="337" stopIfTrue="1" operator="greaterThan">
      <formula>0</formula>
    </cfRule>
  </conditionalFormatting>
  <conditionalFormatting sqref="O110:O135">
    <cfRule type="cellIs" dxfId="442" priority="338" stopIfTrue="1" operator="lessThanOrEqual">
      <formula>0</formula>
    </cfRule>
  </conditionalFormatting>
  <conditionalFormatting sqref="P110:P135">
    <cfRule type="cellIs" dxfId="441" priority="339" stopIfTrue="1" operator="greaterThan">
      <formula>0</formula>
    </cfRule>
  </conditionalFormatting>
  <conditionalFormatting sqref="P110:P135">
    <cfRule type="cellIs" dxfId="440" priority="340" stopIfTrue="1" operator="lessThanOrEqual">
      <formula>0</formula>
    </cfRule>
  </conditionalFormatting>
  <conditionalFormatting sqref="G136:G137">
    <cfRule type="cellIs" dxfId="439" priority="341" stopIfTrue="1" operator="greaterThan">
      <formula>0</formula>
    </cfRule>
  </conditionalFormatting>
  <conditionalFormatting sqref="G136:G137">
    <cfRule type="cellIs" dxfId="438" priority="342" stopIfTrue="1" operator="lessThanOrEqual">
      <formula>0</formula>
    </cfRule>
  </conditionalFormatting>
  <conditionalFormatting sqref="H136:H137">
    <cfRule type="cellIs" dxfId="437" priority="343" stopIfTrue="1" operator="greaterThan">
      <formula>0</formula>
    </cfRule>
  </conditionalFormatting>
  <conditionalFormatting sqref="H136:H137">
    <cfRule type="cellIs" dxfId="436" priority="344" stopIfTrue="1" operator="lessThanOrEqual">
      <formula>0</formula>
    </cfRule>
  </conditionalFormatting>
  <conditionalFormatting sqref="I136:I137">
    <cfRule type="cellIs" dxfId="435" priority="345" stopIfTrue="1" operator="greaterThan">
      <formula>0</formula>
    </cfRule>
  </conditionalFormatting>
  <conditionalFormatting sqref="I136:I137">
    <cfRule type="cellIs" dxfId="434" priority="346" stopIfTrue="1" operator="lessThanOrEqual">
      <formula>0</formula>
    </cfRule>
  </conditionalFormatting>
  <conditionalFormatting sqref="J136:J137">
    <cfRule type="cellIs" dxfId="433" priority="347" stopIfTrue="1" operator="greaterThan">
      <formula>0</formula>
    </cfRule>
  </conditionalFormatting>
  <conditionalFormatting sqref="J136:J137">
    <cfRule type="cellIs" dxfId="432" priority="348" stopIfTrue="1" operator="lessThanOrEqual">
      <formula>0</formula>
    </cfRule>
  </conditionalFormatting>
  <conditionalFormatting sqref="K136:K137">
    <cfRule type="cellIs" dxfId="431" priority="349" stopIfTrue="1" operator="greaterThan">
      <formula>0</formula>
    </cfRule>
  </conditionalFormatting>
  <conditionalFormatting sqref="K136:K137">
    <cfRule type="cellIs" dxfId="430" priority="350" stopIfTrue="1" operator="lessThanOrEqual">
      <formula>0</formula>
    </cfRule>
  </conditionalFormatting>
  <conditionalFormatting sqref="L136:L137">
    <cfRule type="cellIs" dxfId="429" priority="351" stopIfTrue="1" operator="greaterThan">
      <formula>0</formula>
    </cfRule>
  </conditionalFormatting>
  <conditionalFormatting sqref="L136:L137">
    <cfRule type="cellIs" dxfId="428" priority="352" stopIfTrue="1" operator="lessThanOrEqual">
      <formula>0</formula>
    </cfRule>
  </conditionalFormatting>
  <conditionalFormatting sqref="M136:M137">
    <cfRule type="cellIs" dxfId="427" priority="353" stopIfTrue="1" operator="greaterThan">
      <formula>0</formula>
    </cfRule>
  </conditionalFormatting>
  <conditionalFormatting sqref="M136:M137">
    <cfRule type="cellIs" dxfId="426" priority="354" stopIfTrue="1" operator="lessThanOrEqual">
      <formula>0</formula>
    </cfRule>
  </conditionalFormatting>
  <conditionalFormatting sqref="N136:N137">
    <cfRule type="cellIs" dxfId="425" priority="355" stopIfTrue="1" operator="greaterThan">
      <formula>0</formula>
    </cfRule>
  </conditionalFormatting>
  <conditionalFormatting sqref="N136:N137">
    <cfRule type="cellIs" dxfId="424" priority="356" stopIfTrue="1" operator="lessThanOrEqual">
      <formula>0</formula>
    </cfRule>
  </conditionalFormatting>
  <conditionalFormatting sqref="O136:O137">
    <cfRule type="cellIs" dxfId="423" priority="357" stopIfTrue="1" operator="greaterThan">
      <formula>0</formula>
    </cfRule>
  </conditionalFormatting>
  <conditionalFormatting sqref="O136:O137">
    <cfRule type="cellIs" dxfId="422" priority="358" stopIfTrue="1" operator="lessThanOrEqual">
      <formula>0</formula>
    </cfRule>
  </conditionalFormatting>
  <conditionalFormatting sqref="P136:P137">
    <cfRule type="cellIs" dxfId="421" priority="359" stopIfTrue="1" operator="greaterThan">
      <formula>0</formula>
    </cfRule>
  </conditionalFormatting>
  <conditionalFormatting sqref="P136:P137">
    <cfRule type="cellIs" dxfId="420" priority="360" stopIfTrue="1" operator="lessThanOrEqual">
      <formula>0</formula>
    </cfRule>
  </conditionalFormatting>
  <conditionalFormatting sqref="G138:G154">
    <cfRule type="cellIs" dxfId="419" priority="361" stopIfTrue="1" operator="greaterThan">
      <formula>0</formula>
    </cfRule>
  </conditionalFormatting>
  <conditionalFormatting sqref="G138:G154">
    <cfRule type="cellIs" dxfId="418" priority="362" stopIfTrue="1" operator="lessThanOrEqual">
      <formula>0</formula>
    </cfRule>
  </conditionalFormatting>
  <conditionalFormatting sqref="H138:H154">
    <cfRule type="cellIs" dxfId="417" priority="363" stopIfTrue="1" operator="greaterThan">
      <formula>0</formula>
    </cfRule>
  </conditionalFormatting>
  <conditionalFormatting sqref="H138:H154">
    <cfRule type="cellIs" dxfId="416" priority="364" stopIfTrue="1" operator="lessThanOrEqual">
      <formula>0</formula>
    </cfRule>
  </conditionalFormatting>
  <conditionalFormatting sqref="I138:I154">
    <cfRule type="cellIs" dxfId="415" priority="365" stopIfTrue="1" operator="greaterThan">
      <formula>0</formula>
    </cfRule>
  </conditionalFormatting>
  <conditionalFormatting sqref="I138:I154">
    <cfRule type="cellIs" dxfId="414" priority="366" stopIfTrue="1" operator="lessThanOrEqual">
      <formula>0</formula>
    </cfRule>
  </conditionalFormatting>
  <conditionalFormatting sqref="J138:J154">
    <cfRule type="cellIs" dxfId="413" priority="367" stopIfTrue="1" operator="greaterThan">
      <formula>0</formula>
    </cfRule>
  </conditionalFormatting>
  <conditionalFormatting sqref="J138:J154">
    <cfRule type="cellIs" dxfId="412" priority="368" stopIfTrue="1" operator="lessThanOrEqual">
      <formula>0</formula>
    </cfRule>
  </conditionalFormatting>
  <conditionalFormatting sqref="K138:K154">
    <cfRule type="cellIs" dxfId="411" priority="369" stopIfTrue="1" operator="greaterThan">
      <formula>0</formula>
    </cfRule>
  </conditionalFormatting>
  <conditionalFormatting sqref="K138:K154">
    <cfRule type="cellIs" dxfId="410" priority="370" stopIfTrue="1" operator="lessThanOrEqual">
      <formula>0</formula>
    </cfRule>
  </conditionalFormatting>
  <conditionalFormatting sqref="L138:L154">
    <cfRule type="cellIs" dxfId="409" priority="371" stopIfTrue="1" operator="greaterThan">
      <formula>0</formula>
    </cfRule>
  </conditionalFormatting>
  <conditionalFormatting sqref="L138:L154">
    <cfRule type="cellIs" dxfId="408" priority="372" stopIfTrue="1" operator="lessThanOrEqual">
      <formula>0</formula>
    </cfRule>
  </conditionalFormatting>
  <conditionalFormatting sqref="M138:M154">
    <cfRule type="cellIs" dxfId="407" priority="373" stopIfTrue="1" operator="greaterThan">
      <formula>0</formula>
    </cfRule>
  </conditionalFormatting>
  <conditionalFormatting sqref="M138:M154">
    <cfRule type="cellIs" dxfId="406" priority="374" stopIfTrue="1" operator="lessThanOrEqual">
      <formula>0</formula>
    </cfRule>
  </conditionalFormatting>
  <conditionalFormatting sqref="N138:N154">
    <cfRule type="cellIs" dxfId="405" priority="375" stopIfTrue="1" operator="greaterThan">
      <formula>0</formula>
    </cfRule>
  </conditionalFormatting>
  <conditionalFormatting sqref="N138:N154">
    <cfRule type="cellIs" dxfId="404" priority="376" stopIfTrue="1" operator="lessThanOrEqual">
      <formula>0</formula>
    </cfRule>
  </conditionalFormatting>
  <conditionalFormatting sqref="O138:O154">
    <cfRule type="cellIs" dxfId="403" priority="377" stopIfTrue="1" operator="greaterThan">
      <formula>0</formula>
    </cfRule>
  </conditionalFormatting>
  <conditionalFormatting sqref="O138:O154">
    <cfRule type="cellIs" dxfId="402" priority="378" stopIfTrue="1" operator="lessThanOrEqual">
      <formula>0</formula>
    </cfRule>
  </conditionalFormatting>
  <conditionalFormatting sqref="P138:P154">
    <cfRule type="cellIs" dxfId="401" priority="379" stopIfTrue="1" operator="greaterThan">
      <formula>0</formula>
    </cfRule>
  </conditionalFormatting>
  <conditionalFormatting sqref="P138:P154">
    <cfRule type="cellIs" dxfId="400" priority="380" stopIfTrue="1" operator="lessThanOrEqual">
      <formula>0</formula>
    </cfRule>
  </conditionalFormatting>
  <conditionalFormatting sqref="G155">
    <cfRule type="cellIs" dxfId="399" priority="381" stopIfTrue="1" operator="greaterThan">
      <formula>0</formula>
    </cfRule>
  </conditionalFormatting>
  <conditionalFormatting sqref="G155">
    <cfRule type="cellIs" dxfId="398" priority="382" stopIfTrue="1" operator="lessThanOrEqual">
      <formula>0</formula>
    </cfRule>
  </conditionalFormatting>
  <conditionalFormatting sqref="H155">
    <cfRule type="cellIs" dxfId="397" priority="383" stopIfTrue="1" operator="greaterThan">
      <formula>0</formula>
    </cfRule>
  </conditionalFormatting>
  <conditionalFormatting sqref="H155">
    <cfRule type="cellIs" dxfId="396" priority="384" stopIfTrue="1" operator="lessThanOrEqual">
      <formula>0</formula>
    </cfRule>
  </conditionalFormatting>
  <conditionalFormatting sqref="I155">
    <cfRule type="cellIs" dxfId="395" priority="385" stopIfTrue="1" operator="greaterThan">
      <formula>0</formula>
    </cfRule>
  </conditionalFormatting>
  <conditionalFormatting sqref="I155">
    <cfRule type="cellIs" dxfId="394" priority="386" stopIfTrue="1" operator="lessThanOrEqual">
      <formula>0</formula>
    </cfRule>
  </conditionalFormatting>
  <conditionalFormatting sqref="J155">
    <cfRule type="cellIs" dxfId="393" priority="387" stopIfTrue="1" operator="greaterThan">
      <formula>0</formula>
    </cfRule>
  </conditionalFormatting>
  <conditionalFormatting sqref="J155">
    <cfRule type="cellIs" dxfId="392" priority="388" stopIfTrue="1" operator="lessThanOrEqual">
      <formula>0</formula>
    </cfRule>
  </conditionalFormatting>
  <conditionalFormatting sqref="K155">
    <cfRule type="cellIs" dxfId="391" priority="389" stopIfTrue="1" operator="greaterThan">
      <formula>0</formula>
    </cfRule>
  </conditionalFormatting>
  <conditionalFormatting sqref="K155">
    <cfRule type="cellIs" dxfId="390" priority="390" stopIfTrue="1" operator="lessThanOrEqual">
      <formula>0</formula>
    </cfRule>
  </conditionalFormatting>
  <conditionalFormatting sqref="L155">
    <cfRule type="cellIs" dxfId="389" priority="391" stopIfTrue="1" operator="greaterThan">
      <formula>0</formula>
    </cfRule>
  </conditionalFormatting>
  <conditionalFormatting sqref="L155">
    <cfRule type="cellIs" dxfId="388" priority="392" stopIfTrue="1" operator="lessThanOrEqual">
      <formula>0</formula>
    </cfRule>
  </conditionalFormatting>
  <conditionalFormatting sqref="M155">
    <cfRule type="cellIs" dxfId="387" priority="393" stopIfTrue="1" operator="greaterThan">
      <formula>0</formula>
    </cfRule>
  </conditionalFormatting>
  <conditionalFormatting sqref="M155">
    <cfRule type="cellIs" dxfId="386" priority="394" stopIfTrue="1" operator="lessThanOrEqual">
      <formula>0</formula>
    </cfRule>
  </conditionalFormatting>
  <conditionalFormatting sqref="N155">
    <cfRule type="cellIs" dxfId="385" priority="395" stopIfTrue="1" operator="greaterThan">
      <formula>0</formula>
    </cfRule>
  </conditionalFormatting>
  <conditionalFormatting sqref="N155">
    <cfRule type="cellIs" dxfId="384" priority="396" stopIfTrue="1" operator="lessThanOrEqual">
      <formula>0</formula>
    </cfRule>
  </conditionalFormatting>
  <conditionalFormatting sqref="O155">
    <cfRule type="cellIs" dxfId="383" priority="397" stopIfTrue="1" operator="greaterThan">
      <formula>0</formula>
    </cfRule>
  </conditionalFormatting>
  <conditionalFormatting sqref="O155">
    <cfRule type="cellIs" dxfId="382" priority="398" stopIfTrue="1" operator="lessThanOrEqual">
      <formula>0</formula>
    </cfRule>
  </conditionalFormatting>
  <conditionalFormatting sqref="P155">
    <cfRule type="cellIs" dxfId="381" priority="399" stopIfTrue="1" operator="greaterThan">
      <formula>0</formula>
    </cfRule>
  </conditionalFormatting>
  <conditionalFormatting sqref="P155">
    <cfRule type="cellIs" dxfId="380" priority="400" stopIfTrue="1" operator="lessThanOrEqual">
      <formula>0</formula>
    </cfRule>
  </conditionalFormatting>
  <conditionalFormatting sqref="G156:G158">
    <cfRule type="cellIs" dxfId="379" priority="401" stopIfTrue="1" operator="greaterThan">
      <formula>0</formula>
    </cfRule>
  </conditionalFormatting>
  <conditionalFormatting sqref="G156:G158">
    <cfRule type="cellIs" dxfId="378" priority="402" stopIfTrue="1" operator="lessThanOrEqual">
      <formula>0</formula>
    </cfRule>
  </conditionalFormatting>
  <conditionalFormatting sqref="H156:H158">
    <cfRule type="cellIs" dxfId="377" priority="403" stopIfTrue="1" operator="greaterThan">
      <formula>0</formula>
    </cfRule>
  </conditionalFormatting>
  <conditionalFormatting sqref="H156:H158">
    <cfRule type="cellIs" dxfId="376" priority="404" stopIfTrue="1" operator="lessThanOrEqual">
      <formula>0</formula>
    </cfRule>
  </conditionalFormatting>
  <conditionalFormatting sqref="I156:I158">
    <cfRule type="cellIs" dxfId="375" priority="405" stopIfTrue="1" operator="greaterThan">
      <formula>0</formula>
    </cfRule>
  </conditionalFormatting>
  <conditionalFormatting sqref="I156:I158">
    <cfRule type="cellIs" dxfId="374" priority="406" stopIfTrue="1" operator="lessThanOrEqual">
      <formula>0</formula>
    </cfRule>
  </conditionalFormatting>
  <conditionalFormatting sqref="J156:J158">
    <cfRule type="cellIs" dxfId="373" priority="407" stopIfTrue="1" operator="greaterThan">
      <formula>0</formula>
    </cfRule>
  </conditionalFormatting>
  <conditionalFormatting sqref="J156:J158">
    <cfRule type="cellIs" dxfId="372" priority="408" stopIfTrue="1" operator="lessThanOrEqual">
      <formula>0</formula>
    </cfRule>
  </conditionalFormatting>
  <conditionalFormatting sqref="K156:K158">
    <cfRule type="cellIs" dxfId="371" priority="409" stopIfTrue="1" operator="greaterThan">
      <formula>0</formula>
    </cfRule>
  </conditionalFormatting>
  <conditionalFormatting sqref="K156:K158">
    <cfRule type="cellIs" dxfId="370" priority="410" stopIfTrue="1" operator="lessThanOrEqual">
      <formula>0</formula>
    </cfRule>
  </conditionalFormatting>
  <conditionalFormatting sqref="L156:L158">
    <cfRule type="cellIs" dxfId="369" priority="411" stopIfTrue="1" operator="greaterThan">
      <formula>0</formula>
    </cfRule>
  </conditionalFormatting>
  <conditionalFormatting sqref="L156:L158">
    <cfRule type="cellIs" dxfId="368" priority="412" stopIfTrue="1" operator="lessThanOrEqual">
      <formula>0</formula>
    </cfRule>
  </conditionalFormatting>
  <conditionalFormatting sqref="M156:M158">
    <cfRule type="cellIs" dxfId="367" priority="413" stopIfTrue="1" operator="greaterThan">
      <formula>0</formula>
    </cfRule>
  </conditionalFormatting>
  <conditionalFormatting sqref="M156:M158">
    <cfRule type="cellIs" dxfId="366" priority="414" stopIfTrue="1" operator="lessThanOrEqual">
      <formula>0</formula>
    </cfRule>
  </conditionalFormatting>
  <conditionalFormatting sqref="N156:N158">
    <cfRule type="cellIs" dxfId="365" priority="415" stopIfTrue="1" operator="greaterThan">
      <formula>0</formula>
    </cfRule>
  </conditionalFormatting>
  <conditionalFormatting sqref="N156:N158">
    <cfRule type="cellIs" dxfId="364" priority="416" stopIfTrue="1" operator="lessThanOrEqual">
      <formula>0</formula>
    </cfRule>
  </conditionalFormatting>
  <conditionalFormatting sqref="O156:O158">
    <cfRule type="cellIs" dxfId="363" priority="417" stopIfTrue="1" operator="greaterThan">
      <formula>0</formula>
    </cfRule>
  </conditionalFormatting>
  <conditionalFormatting sqref="O156:O158">
    <cfRule type="cellIs" dxfId="362" priority="418" stopIfTrue="1" operator="lessThanOrEqual">
      <formula>0</formula>
    </cfRule>
  </conditionalFormatting>
  <conditionalFormatting sqref="P156:P158">
    <cfRule type="cellIs" dxfId="361" priority="419" stopIfTrue="1" operator="greaterThan">
      <formula>0</formula>
    </cfRule>
  </conditionalFormatting>
  <conditionalFormatting sqref="P156:P158">
    <cfRule type="cellIs" dxfId="360" priority="420" stopIfTrue="1" operator="lessThanOrEqual">
      <formula>0</formula>
    </cfRule>
  </conditionalFormatting>
  <conditionalFormatting sqref="G159">
    <cfRule type="cellIs" dxfId="359" priority="421" stopIfTrue="1" operator="greaterThan">
      <formula>0</formula>
    </cfRule>
  </conditionalFormatting>
  <conditionalFormatting sqref="G159">
    <cfRule type="cellIs" dxfId="358" priority="422" stopIfTrue="1" operator="lessThanOrEqual">
      <formula>0</formula>
    </cfRule>
  </conditionalFormatting>
  <conditionalFormatting sqref="H159">
    <cfRule type="cellIs" dxfId="357" priority="423" stopIfTrue="1" operator="greaterThan">
      <formula>0</formula>
    </cfRule>
  </conditionalFormatting>
  <conditionalFormatting sqref="H159">
    <cfRule type="cellIs" dxfId="356" priority="424" stopIfTrue="1" operator="lessThanOrEqual">
      <formula>0</formula>
    </cfRule>
  </conditionalFormatting>
  <conditionalFormatting sqref="I159">
    <cfRule type="cellIs" dxfId="355" priority="425" stopIfTrue="1" operator="greaterThan">
      <formula>0</formula>
    </cfRule>
  </conditionalFormatting>
  <conditionalFormatting sqref="I159">
    <cfRule type="cellIs" dxfId="354" priority="426" stopIfTrue="1" operator="lessThanOrEqual">
      <formula>0</formula>
    </cfRule>
  </conditionalFormatting>
  <conditionalFormatting sqref="J159">
    <cfRule type="cellIs" dxfId="353" priority="427" stopIfTrue="1" operator="greaterThan">
      <formula>0</formula>
    </cfRule>
  </conditionalFormatting>
  <conditionalFormatting sqref="J159">
    <cfRule type="cellIs" dxfId="352" priority="428" stopIfTrue="1" operator="lessThanOrEqual">
      <formula>0</formula>
    </cfRule>
  </conditionalFormatting>
  <conditionalFormatting sqref="K159">
    <cfRule type="cellIs" dxfId="351" priority="429" stopIfTrue="1" operator="greaterThan">
      <formula>0</formula>
    </cfRule>
  </conditionalFormatting>
  <conditionalFormatting sqref="K159">
    <cfRule type="cellIs" dxfId="350" priority="430" stopIfTrue="1" operator="lessThanOrEqual">
      <formula>0</formula>
    </cfRule>
  </conditionalFormatting>
  <conditionalFormatting sqref="L159">
    <cfRule type="cellIs" dxfId="349" priority="431" stopIfTrue="1" operator="greaterThan">
      <formula>0</formula>
    </cfRule>
  </conditionalFormatting>
  <conditionalFormatting sqref="L159">
    <cfRule type="cellIs" dxfId="348" priority="432" stopIfTrue="1" operator="lessThanOrEqual">
      <formula>0</formula>
    </cfRule>
  </conditionalFormatting>
  <conditionalFormatting sqref="M159">
    <cfRule type="cellIs" dxfId="347" priority="433" stopIfTrue="1" operator="greaterThan">
      <formula>0</formula>
    </cfRule>
  </conditionalFormatting>
  <conditionalFormatting sqref="M159">
    <cfRule type="cellIs" dxfId="346" priority="434" stopIfTrue="1" operator="lessThanOrEqual">
      <formula>0</formula>
    </cfRule>
  </conditionalFormatting>
  <conditionalFormatting sqref="N159">
    <cfRule type="cellIs" dxfId="345" priority="435" stopIfTrue="1" operator="greaterThan">
      <formula>0</formula>
    </cfRule>
  </conditionalFormatting>
  <conditionalFormatting sqref="N159">
    <cfRule type="cellIs" dxfId="344" priority="436" stopIfTrue="1" operator="lessThanOrEqual">
      <formula>0</formula>
    </cfRule>
  </conditionalFormatting>
  <conditionalFormatting sqref="O159">
    <cfRule type="cellIs" dxfId="343" priority="437" stopIfTrue="1" operator="greaterThan">
      <formula>0</formula>
    </cfRule>
  </conditionalFormatting>
  <conditionalFormatting sqref="O159">
    <cfRule type="cellIs" dxfId="342" priority="438" stopIfTrue="1" operator="lessThanOrEqual">
      <formula>0</formula>
    </cfRule>
  </conditionalFormatting>
  <conditionalFormatting sqref="P159">
    <cfRule type="cellIs" dxfId="341" priority="439" stopIfTrue="1" operator="greaterThan">
      <formula>0</formula>
    </cfRule>
  </conditionalFormatting>
  <conditionalFormatting sqref="P159">
    <cfRule type="cellIs" dxfId="340" priority="440" stopIfTrue="1" operator="lessThanOrEqual">
      <formula>0</formula>
    </cfRule>
  </conditionalFormatting>
  <conditionalFormatting sqref="G160:G174">
    <cfRule type="cellIs" dxfId="339" priority="441" stopIfTrue="1" operator="greaterThan">
      <formula>0</formula>
    </cfRule>
  </conditionalFormatting>
  <conditionalFormatting sqref="G160:G174">
    <cfRule type="cellIs" dxfId="338" priority="442" stopIfTrue="1" operator="lessThanOrEqual">
      <formula>0</formula>
    </cfRule>
  </conditionalFormatting>
  <conditionalFormatting sqref="H160:H174">
    <cfRule type="cellIs" dxfId="337" priority="443" stopIfTrue="1" operator="greaterThan">
      <formula>0</formula>
    </cfRule>
  </conditionalFormatting>
  <conditionalFormatting sqref="H160:H174">
    <cfRule type="cellIs" dxfId="336" priority="444" stopIfTrue="1" operator="lessThanOrEqual">
      <formula>0</formula>
    </cfRule>
  </conditionalFormatting>
  <conditionalFormatting sqref="I160:I174">
    <cfRule type="cellIs" dxfId="335" priority="445" stopIfTrue="1" operator="greaterThan">
      <formula>0</formula>
    </cfRule>
  </conditionalFormatting>
  <conditionalFormatting sqref="I160:I174">
    <cfRule type="cellIs" dxfId="334" priority="446" stopIfTrue="1" operator="lessThanOrEqual">
      <formula>0</formula>
    </cfRule>
  </conditionalFormatting>
  <conditionalFormatting sqref="J160:J174">
    <cfRule type="cellIs" dxfId="333" priority="447" stopIfTrue="1" operator="greaterThan">
      <formula>0</formula>
    </cfRule>
  </conditionalFormatting>
  <conditionalFormatting sqref="J160:J174">
    <cfRule type="cellIs" dxfId="332" priority="448" stopIfTrue="1" operator="lessThanOrEqual">
      <formula>0</formula>
    </cfRule>
  </conditionalFormatting>
  <conditionalFormatting sqref="K160:K174">
    <cfRule type="cellIs" dxfId="331" priority="449" stopIfTrue="1" operator="greaterThan">
      <formula>0</formula>
    </cfRule>
  </conditionalFormatting>
  <conditionalFormatting sqref="K160:K174">
    <cfRule type="cellIs" dxfId="330" priority="450" stopIfTrue="1" operator="lessThanOrEqual">
      <formula>0</formula>
    </cfRule>
  </conditionalFormatting>
  <conditionalFormatting sqref="L160:L174">
    <cfRule type="cellIs" dxfId="329" priority="451" stopIfTrue="1" operator="greaterThan">
      <formula>0</formula>
    </cfRule>
  </conditionalFormatting>
  <conditionalFormatting sqref="L160:L174">
    <cfRule type="cellIs" dxfId="328" priority="452" stopIfTrue="1" operator="lessThanOrEqual">
      <formula>0</formula>
    </cfRule>
  </conditionalFormatting>
  <conditionalFormatting sqref="M160:M174">
    <cfRule type="cellIs" dxfId="327" priority="453" stopIfTrue="1" operator="greaterThan">
      <formula>0</formula>
    </cfRule>
  </conditionalFormatting>
  <conditionalFormatting sqref="M160:M174">
    <cfRule type="cellIs" dxfId="326" priority="454" stopIfTrue="1" operator="lessThanOrEqual">
      <formula>0</formula>
    </cfRule>
  </conditionalFormatting>
  <conditionalFormatting sqref="N160:N174">
    <cfRule type="cellIs" dxfId="325" priority="455" stopIfTrue="1" operator="greaterThan">
      <formula>0</formula>
    </cfRule>
  </conditionalFormatting>
  <conditionalFormatting sqref="N160:N174">
    <cfRule type="cellIs" dxfId="324" priority="456" stopIfTrue="1" operator="lessThanOrEqual">
      <formula>0</formula>
    </cfRule>
  </conditionalFormatting>
  <conditionalFormatting sqref="O160:O174">
    <cfRule type="cellIs" dxfId="323" priority="457" stopIfTrue="1" operator="greaterThan">
      <formula>0</formula>
    </cfRule>
  </conditionalFormatting>
  <conditionalFormatting sqref="O160:O174">
    <cfRule type="cellIs" dxfId="322" priority="458" stopIfTrue="1" operator="lessThanOrEqual">
      <formula>0</formula>
    </cfRule>
  </conditionalFormatting>
  <conditionalFormatting sqref="P160:P174">
    <cfRule type="cellIs" dxfId="321" priority="459" stopIfTrue="1" operator="greaterThan">
      <formula>0</formula>
    </cfRule>
  </conditionalFormatting>
  <conditionalFormatting sqref="P160:P174">
    <cfRule type="cellIs" dxfId="320" priority="460" stopIfTrue="1" operator="lessThanOrEqual">
      <formula>0</formula>
    </cfRule>
  </conditionalFormatting>
  <conditionalFormatting sqref="G175:G180">
    <cfRule type="cellIs" dxfId="319" priority="461" stopIfTrue="1" operator="greaterThan">
      <formula>0</formula>
    </cfRule>
  </conditionalFormatting>
  <conditionalFormatting sqref="G175:G180">
    <cfRule type="cellIs" dxfId="318" priority="462" stopIfTrue="1" operator="lessThanOrEqual">
      <formula>0</formula>
    </cfRule>
  </conditionalFormatting>
  <conditionalFormatting sqref="H175:H180">
    <cfRule type="cellIs" dxfId="317" priority="463" stopIfTrue="1" operator="greaterThan">
      <formula>0</formula>
    </cfRule>
  </conditionalFormatting>
  <conditionalFormatting sqref="H175:H180">
    <cfRule type="cellIs" dxfId="316" priority="464" stopIfTrue="1" operator="lessThanOrEqual">
      <formula>0</formula>
    </cfRule>
  </conditionalFormatting>
  <conditionalFormatting sqref="I175:I180">
    <cfRule type="cellIs" dxfId="315" priority="465" stopIfTrue="1" operator="greaterThan">
      <formula>0</formula>
    </cfRule>
  </conditionalFormatting>
  <conditionalFormatting sqref="I175:I180">
    <cfRule type="cellIs" dxfId="314" priority="466" stopIfTrue="1" operator="lessThanOrEqual">
      <formula>0</formula>
    </cfRule>
  </conditionalFormatting>
  <conditionalFormatting sqref="J175:J180">
    <cfRule type="cellIs" dxfId="313" priority="467" stopIfTrue="1" operator="greaterThan">
      <formula>0</formula>
    </cfRule>
  </conditionalFormatting>
  <conditionalFormatting sqref="J175:J180">
    <cfRule type="cellIs" dxfId="312" priority="468" stopIfTrue="1" operator="lessThanOrEqual">
      <formula>0</formula>
    </cfRule>
  </conditionalFormatting>
  <conditionalFormatting sqref="K175:K180">
    <cfRule type="cellIs" dxfId="311" priority="469" stopIfTrue="1" operator="greaterThan">
      <formula>0</formula>
    </cfRule>
  </conditionalFormatting>
  <conditionalFormatting sqref="K175:K180">
    <cfRule type="cellIs" dxfId="310" priority="470" stopIfTrue="1" operator="lessThanOrEqual">
      <formula>0</formula>
    </cfRule>
  </conditionalFormatting>
  <conditionalFormatting sqref="L175:L180">
    <cfRule type="cellIs" dxfId="309" priority="471" stopIfTrue="1" operator="greaterThan">
      <formula>0</formula>
    </cfRule>
  </conditionalFormatting>
  <conditionalFormatting sqref="L175:L180">
    <cfRule type="cellIs" dxfId="308" priority="472" stopIfTrue="1" operator="lessThanOrEqual">
      <formula>0</formula>
    </cfRule>
  </conditionalFormatting>
  <conditionalFormatting sqref="M175:M180">
    <cfRule type="cellIs" dxfId="307" priority="473" stopIfTrue="1" operator="greaterThan">
      <formula>0</formula>
    </cfRule>
  </conditionalFormatting>
  <conditionalFormatting sqref="M175:M180">
    <cfRule type="cellIs" dxfId="306" priority="474" stopIfTrue="1" operator="lessThanOrEqual">
      <formula>0</formula>
    </cfRule>
  </conditionalFormatting>
  <conditionalFormatting sqref="N175:N180">
    <cfRule type="cellIs" dxfId="305" priority="475" stopIfTrue="1" operator="greaterThan">
      <formula>0</formula>
    </cfRule>
  </conditionalFormatting>
  <conditionalFormatting sqref="N175:N180">
    <cfRule type="cellIs" dxfId="304" priority="476" stopIfTrue="1" operator="lessThanOrEqual">
      <formula>0</formula>
    </cfRule>
  </conditionalFormatting>
  <conditionalFormatting sqref="O175:O180">
    <cfRule type="cellIs" dxfId="303" priority="477" stopIfTrue="1" operator="greaterThan">
      <formula>0</formula>
    </cfRule>
  </conditionalFormatting>
  <conditionalFormatting sqref="O175:O180">
    <cfRule type="cellIs" dxfId="302" priority="478" stopIfTrue="1" operator="lessThanOrEqual">
      <formula>0</formula>
    </cfRule>
  </conditionalFormatting>
  <conditionalFormatting sqref="P175:P180">
    <cfRule type="cellIs" dxfId="301" priority="479" stopIfTrue="1" operator="greaterThan">
      <formula>0</formula>
    </cfRule>
  </conditionalFormatting>
  <conditionalFormatting sqref="P175:P180">
    <cfRule type="cellIs" dxfId="300" priority="480" stopIfTrue="1" operator="lessThanOrEqual">
      <formula>0</formula>
    </cfRule>
  </conditionalFormatting>
  <conditionalFormatting sqref="G181:G187">
    <cfRule type="cellIs" dxfId="299" priority="481" stopIfTrue="1" operator="greaterThan">
      <formula>0</formula>
    </cfRule>
  </conditionalFormatting>
  <conditionalFormatting sqref="G181:G187">
    <cfRule type="cellIs" dxfId="298" priority="482" stopIfTrue="1" operator="lessThanOrEqual">
      <formula>0</formula>
    </cfRule>
  </conditionalFormatting>
  <conditionalFormatting sqref="H181:H187">
    <cfRule type="cellIs" dxfId="297" priority="483" stopIfTrue="1" operator="greaterThan">
      <formula>0</formula>
    </cfRule>
  </conditionalFormatting>
  <conditionalFormatting sqref="H181:H187">
    <cfRule type="cellIs" dxfId="296" priority="484" stopIfTrue="1" operator="lessThanOrEqual">
      <formula>0</formula>
    </cfRule>
  </conditionalFormatting>
  <conditionalFormatting sqref="I181:I187">
    <cfRule type="cellIs" dxfId="295" priority="485" stopIfTrue="1" operator="greaterThan">
      <formula>0</formula>
    </cfRule>
  </conditionalFormatting>
  <conditionalFormatting sqref="I181:I187">
    <cfRule type="cellIs" dxfId="294" priority="486" stopIfTrue="1" operator="lessThanOrEqual">
      <formula>0</formula>
    </cfRule>
  </conditionalFormatting>
  <conditionalFormatting sqref="J181:J187">
    <cfRule type="cellIs" dxfId="293" priority="487" stopIfTrue="1" operator="greaterThan">
      <formula>0</formula>
    </cfRule>
  </conditionalFormatting>
  <conditionalFormatting sqref="J181:J187">
    <cfRule type="cellIs" dxfId="292" priority="488" stopIfTrue="1" operator="lessThanOrEqual">
      <formula>0</formula>
    </cfRule>
  </conditionalFormatting>
  <conditionalFormatting sqref="K181:K187">
    <cfRule type="cellIs" dxfId="291" priority="489" stopIfTrue="1" operator="greaterThan">
      <formula>0</formula>
    </cfRule>
  </conditionalFormatting>
  <conditionalFormatting sqref="K181:K187">
    <cfRule type="cellIs" dxfId="290" priority="490" stopIfTrue="1" operator="lessThanOrEqual">
      <formula>0</formula>
    </cfRule>
  </conditionalFormatting>
  <conditionalFormatting sqref="L181:L187">
    <cfRule type="cellIs" dxfId="289" priority="491" stopIfTrue="1" operator="greaterThan">
      <formula>0</formula>
    </cfRule>
  </conditionalFormatting>
  <conditionalFormatting sqref="L181:L187">
    <cfRule type="cellIs" dxfId="288" priority="492" stopIfTrue="1" operator="lessThanOrEqual">
      <formula>0</formula>
    </cfRule>
  </conditionalFormatting>
  <conditionalFormatting sqref="M181:M187">
    <cfRule type="cellIs" dxfId="287" priority="493" stopIfTrue="1" operator="greaterThan">
      <formula>0</formula>
    </cfRule>
  </conditionalFormatting>
  <conditionalFormatting sqref="M181:M187">
    <cfRule type="cellIs" dxfId="286" priority="494" stopIfTrue="1" operator="lessThanOrEqual">
      <formula>0</formula>
    </cfRule>
  </conditionalFormatting>
  <conditionalFormatting sqref="N181:N187">
    <cfRule type="cellIs" dxfId="285" priority="495" stopIfTrue="1" operator="greaterThan">
      <formula>0</formula>
    </cfRule>
  </conditionalFormatting>
  <conditionalFormatting sqref="N181:N187">
    <cfRule type="cellIs" dxfId="284" priority="496" stopIfTrue="1" operator="lessThanOrEqual">
      <formula>0</formula>
    </cfRule>
  </conditionalFormatting>
  <conditionalFormatting sqref="O181:O187">
    <cfRule type="cellIs" dxfId="283" priority="497" stopIfTrue="1" operator="greaterThan">
      <formula>0</formula>
    </cfRule>
  </conditionalFormatting>
  <conditionalFormatting sqref="O181:O187">
    <cfRule type="cellIs" dxfId="282" priority="498" stopIfTrue="1" operator="lessThanOrEqual">
      <formula>0</formula>
    </cfRule>
  </conditionalFormatting>
  <conditionalFormatting sqref="P181:P187">
    <cfRule type="cellIs" dxfId="281" priority="499" stopIfTrue="1" operator="greaterThan">
      <formula>0</formula>
    </cfRule>
  </conditionalFormatting>
  <conditionalFormatting sqref="P181:P187">
    <cfRule type="cellIs" dxfId="280" priority="500" stopIfTrue="1" operator="lessThanOrEqual">
      <formula>0</formula>
    </cfRule>
  </conditionalFormatting>
  <conditionalFormatting sqref="G188:G189">
    <cfRule type="cellIs" dxfId="279" priority="501" stopIfTrue="1" operator="greaterThan">
      <formula>0</formula>
    </cfRule>
  </conditionalFormatting>
  <conditionalFormatting sqref="G188:G189">
    <cfRule type="cellIs" dxfId="278" priority="502" stopIfTrue="1" operator="lessThanOrEqual">
      <formula>0</formula>
    </cfRule>
  </conditionalFormatting>
  <conditionalFormatting sqref="H188:H189">
    <cfRule type="cellIs" dxfId="277" priority="503" stopIfTrue="1" operator="greaterThan">
      <formula>0</formula>
    </cfRule>
  </conditionalFormatting>
  <conditionalFormatting sqref="H188:H189">
    <cfRule type="cellIs" dxfId="276" priority="504" stopIfTrue="1" operator="lessThanOrEqual">
      <formula>0</formula>
    </cfRule>
  </conditionalFormatting>
  <conditionalFormatting sqref="I188:I189">
    <cfRule type="cellIs" dxfId="275" priority="505" stopIfTrue="1" operator="greaterThan">
      <formula>0</formula>
    </cfRule>
  </conditionalFormatting>
  <conditionalFormatting sqref="I188:I189">
    <cfRule type="cellIs" dxfId="274" priority="506" stopIfTrue="1" operator="lessThanOrEqual">
      <formula>0</formula>
    </cfRule>
  </conditionalFormatting>
  <conditionalFormatting sqref="J188:J189">
    <cfRule type="cellIs" dxfId="273" priority="507" stopIfTrue="1" operator="greaterThan">
      <formula>0</formula>
    </cfRule>
  </conditionalFormatting>
  <conditionalFormatting sqref="J188:J189">
    <cfRule type="cellIs" dxfId="272" priority="508" stopIfTrue="1" operator="lessThanOrEqual">
      <formula>0</formula>
    </cfRule>
  </conditionalFormatting>
  <conditionalFormatting sqref="K188:K189">
    <cfRule type="cellIs" dxfId="271" priority="509" stopIfTrue="1" operator="greaterThan">
      <formula>0</formula>
    </cfRule>
  </conditionalFormatting>
  <conditionalFormatting sqref="K188:K189">
    <cfRule type="cellIs" dxfId="270" priority="510" stopIfTrue="1" operator="lessThanOrEqual">
      <formula>0</formula>
    </cfRule>
  </conditionalFormatting>
  <conditionalFormatting sqref="L188:L189">
    <cfRule type="cellIs" dxfId="269" priority="511" stopIfTrue="1" operator="greaterThan">
      <formula>0</formula>
    </cfRule>
  </conditionalFormatting>
  <conditionalFormatting sqref="L188:L189">
    <cfRule type="cellIs" dxfId="268" priority="512" stopIfTrue="1" operator="lessThanOrEqual">
      <formula>0</formula>
    </cfRule>
  </conditionalFormatting>
  <conditionalFormatting sqref="M188:M189">
    <cfRule type="cellIs" dxfId="267" priority="513" stopIfTrue="1" operator="greaterThan">
      <formula>0</formula>
    </cfRule>
  </conditionalFormatting>
  <conditionalFormatting sqref="M188:M189">
    <cfRule type="cellIs" dxfId="266" priority="514" stopIfTrue="1" operator="lessThanOrEqual">
      <formula>0</formula>
    </cfRule>
  </conditionalFormatting>
  <conditionalFormatting sqref="N188:N189">
    <cfRule type="cellIs" dxfId="265" priority="515" stopIfTrue="1" operator="greaterThan">
      <formula>0</formula>
    </cfRule>
  </conditionalFormatting>
  <conditionalFormatting sqref="N188:N189">
    <cfRule type="cellIs" dxfId="264" priority="516" stopIfTrue="1" operator="lessThanOrEqual">
      <formula>0</formula>
    </cfRule>
  </conditionalFormatting>
  <conditionalFormatting sqref="O188:O189">
    <cfRule type="cellIs" dxfId="263" priority="517" stopIfTrue="1" operator="greaterThan">
      <formula>0</formula>
    </cfRule>
  </conditionalFormatting>
  <conditionalFormatting sqref="O188:O189">
    <cfRule type="cellIs" dxfId="262" priority="518" stopIfTrue="1" operator="lessThanOrEqual">
      <formula>0</formula>
    </cfRule>
  </conditionalFormatting>
  <conditionalFormatting sqref="P188:P189">
    <cfRule type="cellIs" dxfId="261" priority="519" stopIfTrue="1" operator="greaterThan">
      <formula>0</formula>
    </cfRule>
  </conditionalFormatting>
  <conditionalFormatting sqref="P188:P189">
    <cfRule type="cellIs" dxfId="260" priority="520" stopIfTrue="1" operator="lessThanOrEqual">
      <formula>0</formula>
    </cfRule>
  </conditionalFormatting>
  <conditionalFormatting sqref="G190:G192">
    <cfRule type="cellIs" dxfId="259" priority="521" stopIfTrue="1" operator="greaterThan">
      <formula>0</formula>
    </cfRule>
  </conditionalFormatting>
  <conditionalFormatting sqref="G190:G192">
    <cfRule type="cellIs" dxfId="258" priority="522" stopIfTrue="1" operator="lessThanOrEqual">
      <formula>0</formula>
    </cfRule>
  </conditionalFormatting>
  <conditionalFormatting sqref="H190:H192">
    <cfRule type="cellIs" dxfId="257" priority="523" stopIfTrue="1" operator="greaterThan">
      <formula>0</formula>
    </cfRule>
  </conditionalFormatting>
  <conditionalFormatting sqref="H190:H192">
    <cfRule type="cellIs" dxfId="256" priority="524" stopIfTrue="1" operator="lessThanOrEqual">
      <formula>0</formula>
    </cfRule>
  </conditionalFormatting>
  <conditionalFormatting sqref="I190:I192">
    <cfRule type="cellIs" dxfId="255" priority="525" stopIfTrue="1" operator="greaterThan">
      <formula>0</formula>
    </cfRule>
  </conditionalFormatting>
  <conditionalFormatting sqref="I190:I192">
    <cfRule type="cellIs" dxfId="254" priority="526" stopIfTrue="1" operator="lessThanOrEqual">
      <formula>0</formula>
    </cfRule>
  </conditionalFormatting>
  <conditionalFormatting sqref="J190:J192">
    <cfRule type="cellIs" dxfId="253" priority="527" stopIfTrue="1" operator="greaterThan">
      <formula>0</formula>
    </cfRule>
  </conditionalFormatting>
  <conditionalFormatting sqref="J190:J192">
    <cfRule type="cellIs" dxfId="252" priority="528" stopIfTrue="1" operator="lessThanOrEqual">
      <formula>0</formula>
    </cfRule>
  </conditionalFormatting>
  <conditionalFormatting sqref="K190:K192">
    <cfRule type="cellIs" dxfId="251" priority="529" stopIfTrue="1" operator="greaterThan">
      <formula>0</formula>
    </cfRule>
  </conditionalFormatting>
  <conditionalFormatting sqref="K190:K192">
    <cfRule type="cellIs" dxfId="250" priority="530" stopIfTrue="1" operator="lessThanOrEqual">
      <formula>0</formula>
    </cfRule>
  </conditionalFormatting>
  <conditionalFormatting sqref="L190:L192">
    <cfRule type="cellIs" dxfId="249" priority="531" stopIfTrue="1" operator="greaterThan">
      <formula>0</formula>
    </cfRule>
  </conditionalFormatting>
  <conditionalFormatting sqref="L190:L192">
    <cfRule type="cellIs" dxfId="248" priority="532" stopIfTrue="1" operator="lessThanOrEqual">
      <formula>0</formula>
    </cfRule>
  </conditionalFormatting>
  <conditionalFormatting sqref="M190:M192">
    <cfRule type="cellIs" dxfId="247" priority="533" stopIfTrue="1" operator="greaterThan">
      <formula>0</formula>
    </cfRule>
  </conditionalFormatting>
  <conditionalFormatting sqref="M190:M192">
    <cfRule type="cellIs" dxfId="246" priority="534" stopIfTrue="1" operator="lessThanOrEqual">
      <formula>0</formula>
    </cfRule>
  </conditionalFormatting>
  <conditionalFormatting sqref="N190:N192">
    <cfRule type="cellIs" dxfId="245" priority="535" stopIfTrue="1" operator="greaterThan">
      <formula>0</formula>
    </cfRule>
  </conditionalFormatting>
  <conditionalFormatting sqref="N190:N192">
    <cfRule type="cellIs" dxfId="244" priority="536" stopIfTrue="1" operator="lessThanOrEqual">
      <formula>0</formula>
    </cfRule>
  </conditionalFormatting>
  <conditionalFormatting sqref="O190:O192">
    <cfRule type="cellIs" dxfId="243" priority="537" stopIfTrue="1" operator="greaterThan">
      <formula>0</formula>
    </cfRule>
  </conditionalFormatting>
  <conditionalFormatting sqref="O190:O192">
    <cfRule type="cellIs" dxfId="242" priority="538" stopIfTrue="1" operator="lessThanOrEqual">
      <formula>0</formula>
    </cfRule>
  </conditionalFormatting>
  <conditionalFormatting sqref="P190:P192">
    <cfRule type="cellIs" dxfId="241" priority="539" stopIfTrue="1" operator="greaterThan">
      <formula>0</formula>
    </cfRule>
  </conditionalFormatting>
  <conditionalFormatting sqref="P190:P192">
    <cfRule type="cellIs" dxfId="240" priority="540" stopIfTrue="1" operator="lessThanOrEqual">
      <formula>0</formula>
    </cfRule>
  </conditionalFormatting>
  <conditionalFormatting sqref="G193:G196">
    <cfRule type="cellIs" dxfId="239" priority="541" stopIfTrue="1" operator="greaterThan">
      <formula>0</formula>
    </cfRule>
  </conditionalFormatting>
  <conditionalFormatting sqref="G193:G196">
    <cfRule type="cellIs" dxfId="238" priority="542" stopIfTrue="1" operator="lessThanOrEqual">
      <formula>0</formula>
    </cfRule>
  </conditionalFormatting>
  <conditionalFormatting sqref="H193:H196">
    <cfRule type="cellIs" dxfId="237" priority="543" stopIfTrue="1" operator="greaterThan">
      <formula>0</formula>
    </cfRule>
  </conditionalFormatting>
  <conditionalFormatting sqref="H193:H196">
    <cfRule type="cellIs" dxfId="236" priority="544" stopIfTrue="1" operator="lessThanOrEqual">
      <formula>0</formula>
    </cfRule>
  </conditionalFormatting>
  <conditionalFormatting sqref="I193:I196">
    <cfRule type="cellIs" dxfId="235" priority="545" stopIfTrue="1" operator="greaterThan">
      <formula>0</formula>
    </cfRule>
  </conditionalFormatting>
  <conditionalFormatting sqref="I193:I196">
    <cfRule type="cellIs" dxfId="234" priority="546" stopIfTrue="1" operator="lessThanOrEqual">
      <formula>0</formula>
    </cfRule>
  </conditionalFormatting>
  <conditionalFormatting sqref="J193:J196">
    <cfRule type="cellIs" dxfId="233" priority="547" stopIfTrue="1" operator="greaterThan">
      <formula>0</formula>
    </cfRule>
  </conditionalFormatting>
  <conditionalFormatting sqref="J193:J196">
    <cfRule type="cellIs" dxfId="232" priority="548" stopIfTrue="1" operator="lessThanOrEqual">
      <formula>0</formula>
    </cfRule>
  </conditionalFormatting>
  <conditionalFormatting sqref="K193:K196">
    <cfRule type="cellIs" dxfId="231" priority="549" stopIfTrue="1" operator="greaterThan">
      <formula>0</formula>
    </cfRule>
  </conditionalFormatting>
  <conditionalFormatting sqref="K193:K196">
    <cfRule type="cellIs" dxfId="230" priority="550" stopIfTrue="1" operator="lessThanOrEqual">
      <formula>0</formula>
    </cfRule>
  </conditionalFormatting>
  <conditionalFormatting sqref="L193:L196">
    <cfRule type="cellIs" dxfId="229" priority="551" stopIfTrue="1" operator="greaterThan">
      <formula>0</formula>
    </cfRule>
  </conditionalFormatting>
  <conditionalFormatting sqref="L193:L196">
    <cfRule type="cellIs" dxfId="228" priority="552" stopIfTrue="1" operator="lessThanOrEqual">
      <formula>0</formula>
    </cfRule>
  </conditionalFormatting>
  <conditionalFormatting sqref="M193:M196">
    <cfRule type="cellIs" dxfId="227" priority="553" stopIfTrue="1" operator="greaterThan">
      <formula>0</formula>
    </cfRule>
  </conditionalFormatting>
  <conditionalFormatting sqref="M193:M196">
    <cfRule type="cellIs" dxfId="226" priority="554" stopIfTrue="1" operator="lessThanOrEqual">
      <formula>0</formula>
    </cfRule>
  </conditionalFormatting>
  <conditionalFormatting sqref="N193:N196">
    <cfRule type="cellIs" dxfId="225" priority="555" stopIfTrue="1" operator="greaterThan">
      <formula>0</formula>
    </cfRule>
  </conditionalFormatting>
  <conditionalFormatting sqref="N193:N196">
    <cfRule type="cellIs" dxfId="224" priority="556" stopIfTrue="1" operator="lessThanOrEqual">
      <formula>0</formula>
    </cfRule>
  </conditionalFormatting>
  <conditionalFormatting sqref="O193:O196">
    <cfRule type="cellIs" dxfId="223" priority="557" stopIfTrue="1" operator="greaterThan">
      <formula>0</formula>
    </cfRule>
  </conditionalFormatting>
  <conditionalFormatting sqref="O193:O196">
    <cfRule type="cellIs" dxfId="222" priority="558" stopIfTrue="1" operator="lessThanOrEqual">
      <formula>0</formula>
    </cfRule>
  </conditionalFormatting>
  <conditionalFormatting sqref="P193:P196">
    <cfRule type="cellIs" dxfId="221" priority="559" stopIfTrue="1" operator="greaterThan">
      <formula>0</formula>
    </cfRule>
  </conditionalFormatting>
  <conditionalFormatting sqref="P193:P196">
    <cfRule type="cellIs" dxfId="220" priority="560" stopIfTrue="1" operator="lessThanOrEqual">
      <formula>0</formula>
    </cfRule>
  </conditionalFormatting>
  <conditionalFormatting sqref="G197:G204">
    <cfRule type="cellIs" dxfId="219" priority="561" stopIfTrue="1" operator="greaterThan">
      <formula>0</formula>
    </cfRule>
  </conditionalFormatting>
  <conditionalFormatting sqref="G197:G204">
    <cfRule type="cellIs" dxfId="218" priority="562" stopIfTrue="1" operator="lessThanOrEqual">
      <formula>0</formula>
    </cfRule>
  </conditionalFormatting>
  <conditionalFormatting sqref="H197:H204">
    <cfRule type="cellIs" dxfId="217" priority="563" stopIfTrue="1" operator="greaterThan">
      <formula>0</formula>
    </cfRule>
  </conditionalFormatting>
  <conditionalFormatting sqref="H197:H204">
    <cfRule type="cellIs" dxfId="216" priority="564" stopIfTrue="1" operator="lessThanOrEqual">
      <formula>0</formula>
    </cfRule>
  </conditionalFormatting>
  <conditionalFormatting sqref="I197:I204">
    <cfRule type="cellIs" dxfId="215" priority="565" stopIfTrue="1" operator="greaterThan">
      <formula>0</formula>
    </cfRule>
  </conditionalFormatting>
  <conditionalFormatting sqref="I197:I204">
    <cfRule type="cellIs" dxfId="214" priority="566" stopIfTrue="1" operator="lessThanOrEqual">
      <formula>0</formula>
    </cfRule>
  </conditionalFormatting>
  <conditionalFormatting sqref="J197:J204">
    <cfRule type="cellIs" dxfId="213" priority="567" stopIfTrue="1" operator="greaterThan">
      <formula>0</formula>
    </cfRule>
  </conditionalFormatting>
  <conditionalFormatting sqref="J197:J204">
    <cfRule type="cellIs" dxfId="212" priority="568" stopIfTrue="1" operator="lessThanOrEqual">
      <formula>0</formula>
    </cfRule>
  </conditionalFormatting>
  <conditionalFormatting sqref="K197:K204">
    <cfRule type="cellIs" dxfId="211" priority="569" stopIfTrue="1" operator="greaterThan">
      <formula>0</formula>
    </cfRule>
  </conditionalFormatting>
  <conditionalFormatting sqref="K197:K204">
    <cfRule type="cellIs" dxfId="210" priority="570" stopIfTrue="1" operator="lessThanOrEqual">
      <formula>0</formula>
    </cfRule>
  </conditionalFormatting>
  <conditionalFormatting sqref="L197:L204">
    <cfRule type="cellIs" dxfId="209" priority="571" stopIfTrue="1" operator="greaterThan">
      <formula>0</formula>
    </cfRule>
  </conditionalFormatting>
  <conditionalFormatting sqref="L197:L204">
    <cfRule type="cellIs" dxfId="208" priority="572" stopIfTrue="1" operator="lessThanOrEqual">
      <formula>0</formula>
    </cfRule>
  </conditionalFormatting>
  <conditionalFormatting sqref="M197:M204">
    <cfRule type="cellIs" dxfId="207" priority="573" stopIfTrue="1" operator="greaterThan">
      <formula>0</formula>
    </cfRule>
  </conditionalFormatting>
  <conditionalFormatting sqref="M197:M204">
    <cfRule type="cellIs" dxfId="206" priority="574" stopIfTrue="1" operator="lessThanOrEqual">
      <formula>0</formula>
    </cfRule>
  </conditionalFormatting>
  <conditionalFormatting sqref="N197:N204">
    <cfRule type="cellIs" dxfId="205" priority="575" stopIfTrue="1" operator="greaterThan">
      <formula>0</formula>
    </cfRule>
  </conditionalFormatting>
  <conditionalFormatting sqref="N197:N204">
    <cfRule type="cellIs" dxfId="204" priority="576" stopIfTrue="1" operator="lessThanOrEqual">
      <formula>0</formula>
    </cfRule>
  </conditionalFormatting>
  <conditionalFormatting sqref="O197:O204">
    <cfRule type="cellIs" dxfId="203" priority="577" stopIfTrue="1" operator="greaterThan">
      <formula>0</formula>
    </cfRule>
  </conditionalFormatting>
  <conditionalFormatting sqref="O197:O204">
    <cfRule type="cellIs" dxfId="202" priority="578" stopIfTrue="1" operator="lessThanOrEqual">
      <formula>0</formula>
    </cfRule>
  </conditionalFormatting>
  <conditionalFormatting sqref="P197:P204">
    <cfRule type="cellIs" dxfId="201" priority="579" stopIfTrue="1" operator="greaterThan">
      <formula>0</formula>
    </cfRule>
  </conditionalFormatting>
  <conditionalFormatting sqref="P197:P204">
    <cfRule type="cellIs" dxfId="200" priority="580" stopIfTrue="1" operator="lessThanOrEqual">
      <formula>0</formula>
    </cfRule>
  </conditionalFormatting>
  <conditionalFormatting sqref="G205:G208">
    <cfRule type="cellIs" dxfId="199" priority="581" stopIfTrue="1" operator="greaterThan">
      <formula>0</formula>
    </cfRule>
  </conditionalFormatting>
  <conditionalFormatting sqref="G205:G208">
    <cfRule type="cellIs" dxfId="198" priority="582" stopIfTrue="1" operator="lessThanOrEqual">
      <formula>0</formula>
    </cfRule>
  </conditionalFormatting>
  <conditionalFormatting sqref="H205:H208">
    <cfRule type="cellIs" dxfId="197" priority="583" stopIfTrue="1" operator="greaterThan">
      <formula>0</formula>
    </cfRule>
  </conditionalFormatting>
  <conditionalFormatting sqref="H205:H208">
    <cfRule type="cellIs" dxfId="196" priority="584" stopIfTrue="1" operator="lessThanOrEqual">
      <formula>0</formula>
    </cfRule>
  </conditionalFormatting>
  <conditionalFormatting sqref="I205:I208">
    <cfRule type="cellIs" dxfId="195" priority="585" stopIfTrue="1" operator="greaterThan">
      <formula>0</formula>
    </cfRule>
  </conditionalFormatting>
  <conditionalFormatting sqref="I205:I208">
    <cfRule type="cellIs" dxfId="194" priority="586" stopIfTrue="1" operator="lessThanOrEqual">
      <formula>0</formula>
    </cfRule>
  </conditionalFormatting>
  <conditionalFormatting sqref="J205:J208">
    <cfRule type="cellIs" dxfId="193" priority="587" stopIfTrue="1" operator="greaterThan">
      <formula>0</formula>
    </cfRule>
  </conditionalFormatting>
  <conditionalFormatting sqref="J205:J208">
    <cfRule type="cellIs" dxfId="192" priority="588" stopIfTrue="1" operator="lessThanOrEqual">
      <formula>0</formula>
    </cfRule>
  </conditionalFormatting>
  <conditionalFormatting sqref="K205:K208">
    <cfRule type="cellIs" dxfId="191" priority="589" stopIfTrue="1" operator="greaterThan">
      <formula>0</formula>
    </cfRule>
  </conditionalFormatting>
  <conditionalFormatting sqref="K205:K208">
    <cfRule type="cellIs" dxfId="190" priority="590" stopIfTrue="1" operator="lessThanOrEqual">
      <formula>0</formula>
    </cfRule>
  </conditionalFormatting>
  <conditionalFormatting sqref="L205:L208">
    <cfRule type="cellIs" dxfId="189" priority="591" stopIfTrue="1" operator="greaterThan">
      <formula>0</formula>
    </cfRule>
  </conditionalFormatting>
  <conditionalFormatting sqref="L205:L208">
    <cfRule type="cellIs" dxfId="188" priority="592" stopIfTrue="1" operator="lessThanOrEqual">
      <formula>0</formula>
    </cfRule>
  </conditionalFormatting>
  <conditionalFormatting sqref="M205:M208">
    <cfRule type="cellIs" dxfId="187" priority="593" stopIfTrue="1" operator="greaterThan">
      <formula>0</formula>
    </cfRule>
  </conditionalFormatting>
  <conditionalFormatting sqref="M205:M208">
    <cfRule type="cellIs" dxfId="186" priority="594" stopIfTrue="1" operator="lessThanOrEqual">
      <formula>0</formula>
    </cfRule>
  </conditionalFormatting>
  <conditionalFormatting sqref="N205:N208">
    <cfRule type="cellIs" dxfId="185" priority="595" stopIfTrue="1" operator="greaterThan">
      <formula>0</formula>
    </cfRule>
  </conditionalFormatting>
  <conditionalFormatting sqref="N205:N208">
    <cfRule type="cellIs" dxfId="184" priority="596" stopIfTrue="1" operator="lessThanOrEqual">
      <formula>0</formula>
    </cfRule>
  </conditionalFormatting>
  <conditionalFormatting sqref="O205:O208">
    <cfRule type="cellIs" dxfId="183" priority="597" stopIfTrue="1" operator="greaterThan">
      <formula>0</formula>
    </cfRule>
  </conditionalFormatting>
  <conditionalFormatting sqref="O205:O208">
    <cfRule type="cellIs" dxfId="182" priority="598" stopIfTrue="1" operator="lessThanOrEqual">
      <formula>0</formula>
    </cfRule>
  </conditionalFormatting>
  <conditionalFormatting sqref="P205:P208">
    <cfRule type="cellIs" dxfId="181" priority="599" stopIfTrue="1" operator="greaterThan">
      <formula>0</formula>
    </cfRule>
  </conditionalFormatting>
  <conditionalFormatting sqref="P205:P208">
    <cfRule type="cellIs" dxfId="180" priority="600" stopIfTrue="1" operator="lessThanOrEqual">
      <formula>0</formula>
    </cfRule>
  </conditionalFormatting>
  <conditionalFormatting sqref="G209:G220">
    <cfRule type="cellIs" dxfId="179" priority="601" stopIfTrue="1" operator="greaterThan">
      <formula>0</formula>
    </cfRule>
  </conditionalFormatting>
  <conditionalFormatting sqref="G209:G220">
    <cfRule type="cellIs" dxfId="178" priority="602" stopIfTrue="1" operator="lessThanOrEqual">
      <formula>0</formula>
    </cfRule>
  </conditionalFormatting>
  <conditionalFormatting sqref="H209:H220">
    <cfRule type="cellIs" dxfId="177" priority="603" stopIfTrue="1" operator="greaterThan">
      <formula>0</formula>
    </cfRule>
  </conditionalFormatting>
  <conditionalFormatting sqref="H209:H220">
    <cfRule type="cellIs" dxfId="176" priority="604" stopIfTrue="1" operator="lessThanOrEqual">
      <formula>0</formula>
    </cfRule>
  </conditionalFormatting>
  <conditionalFormatting sqref="I209:I220">
    <cfRule type="cellIs" dxfId="175" priority="605" stopIfTrue="1" operator="greaterThan">
      <formula>0</formula>
    </cfRule>
  </conditionalFormatting>
  <conditionalFormatting sqref="I209:I220">
    <cfRule type="cellIs" dxfId="174" priority="606" stopIfTrue="1" operator="lessThanOrEqual">
      <formula>0</formula>
    </cfRule>
  </conditionalFormatting>
  <conditionalFormatting sqref="J209:J220">
    <cfRule type="cellIs" dxfId="173" priority="607" stopIfTrue="1" operator="greaterThan">
      <formula>0</formula>
    </cfRule>
  </conditionalFormatting>
  <conditionalFormatting sqref="J209:J220">
    <cfRule type="cellIs" dxfId="172" priority="608" stopIfTrue="1" operator="lessThanOrEqual">
      <formula>0</formula>
    </cfRule>
  </conditionalFormatting>
  <conditionalFormatting sqref="K209:K220">
    <cfRule type="cellIs" dxfId="171" priority="609" stopIfTrue="1" operator="greaterThan">
      <formula>0</formula>
    </cfRule>
  </conditionalFormatting>
  <conditionalFormatting sqref="K209:K220">
    <cfRule type="cellIs" dxfId="170" priority="610" stopIfTrue="1" operator="lessThanOrEqual">
      <formula>0</formula>
    </cfRule>
  </conditionalFormatting>
  <conditionalFormatting sqref="L209:L220">
    <cfRule type="cellIs" dxfId="169" priority="611" stopIfTrue="1" operator="greaterThan">
      <formula>0</formula>
    </cfRule>
  </conditionalFormatting>
  <conditionalFormatting sqref="L209:L220">
    <cfRule type="cellIs" dxfId="168" priority="612" stopIfTrue="1" operator="lessThanOrEqual">
      <formula>0</formula>
    </cfRule>
  </conditionalFormatting>
  <conditionalFormatting sqref="M209:M220">
    <cfRule type="cellIs" dxfId="167" priority="613" stopIfTrue="1" operator="greaterThan">
      <formula>0</formula>
    </cfRule>
  </conditionalFormatting>
  <conditionalFormatting sqref="M209:M220">
    <cfRule type="cellIs" dxfId="166" priority="614" stopIfTrue="1" operator="lessThanOrEqual">
      <formula>0</formula>
    </cfRule>
  </conditionalFormatting>
  <conditionalFormatting sqref="N209:N220">
    <cfRule type="cellIs" dxfId="165" priority="615" stopIfTrue="1" operator="greaterThan">
      <formula>0</formula>
    </cfRule>
  </conditionalFormatting>
  <conditionalFormatting sqref="N209:N220">
    <cfRule type="cellIs" dxfId="164" priority="616" stopIfTrue="1" operator="lessThanOrEqual">
      <formula>0</formula>
    </cfRule>
  </conditionalFormatting>
  <conditionalFormatting sqref="O209:O220">
    <cfRule type="cellIs" dxfId="163" priority="617" stopIfTrue="1" operator="greaterThan">
      <formula>0</formula>
    </cfRule>
  </conditionalFormatting>
  <conditionalFormatting sqref="O209:O220">
    <cfRule type="cellIs" dxfId="162" priority="618" stopIfTrue="1" operator="lessThanOrEqual">
      <formula>0</formula>
    </cfRule>
  </conditionalFormatting>
  <conditionalFormatting sqref="P209:P220">
    <cfRule type="cellIs" dxfId="161" priority="619" stopIfTrue="1" operator="greaterThan">
      <formula>0</formula>
    </cfRule>
  </conditionalFormatting>
  <conditionalFormatting sqref="P209:P220">
    <cfRule type="cellIs" dxfId="160" priority="620" stopIfTrue="1" operator="lessThanOrEqual">
      <formula>0</formula>
    </cfRule>
  </conditionalFormatting>
  <conditionalFormatting sqref="G221:G228">
    <cfRule type="cellIs" dxfId="159" priority="621" stopIfTrue="1" operator="greaterThan">
      <formula>0</formula>
    </cfRule>
  </conditionalFormatting>
  <conditionalFormatting sqref="G221:G228">
    <cfRule type="cellIs" dxfId="158" priority="622" stopIfTrue="1" operator="lessThanOrEqual">
      <formula>0</formula>
    </cfRule>
  </conditionalFormatting>
  <conditionalFormatting sqref="H221:H228">
    <cfRule type="cellIs" dxfId="157" priority="623" stopIfTrue="1" operator="greaterThan">
      <formula>0</formula>
    </cfRule>
  </conditionalFormatting>
  <conditionalFormatting sqref="H221:H228">
    <cfRule type="cellIs" dxfId="156" priority="624" stopIfTrue="1" operator="lessThanOrEqual">
      <formula>0</formula>
    </cfRule>
  </conditionalFormatting>
  <conditionalFormatting sqref="I221:I228">
    <cfRule type="cellIs" dxfId="155" priority="625" stopIfTrue="1" operator="greaterThan">
      <formula>0</formula>
    </cfRule>
  </conditionalFormatting>
  <conditionalFormatting sqref="I221:I228">
    <cfRule type="cellIs" dxfId="154" priority="626" stopIfTrue="1" operator="lessThanOrEqual">
      <formula>0</formula>
    </cfRule>
  </conditionalFormatting>
  <conditionalFormatting sqref="J221:J228">
    <cfRule type="cellIs" dxfId="153" priority="627" stopIfTrue="1" operator="greaterThan">
      <formula>0</formula>
    </cfRule>
  </conditionalFormatting>
  <conditionalFormatting sqref="J221:J228">
    <cfRule type="cellIs" dxfId="152" priority="628" stopIfTrue="1" operator="lessThanOrEqual">
      <formula>0</formula>
    </cfRule>
  </conditionalFormatting>
  <conditionalFormatting sqref="K221:K228">
    <cfRule type="cellIs" dxfId="151" priority="629" stopIfTrue="1" operator="greaterThan">
      <formula>0</formula>
    </cfRule>
  </conditionalFormatting>
  <conditionalFormatting sqref="K221:K228">
    <cfRule type="cellIs" dxfId="150" priority="630" stopIfTrue="1" operator="lessThanOrEqual">
      <formula>0</formula>
    </cfRule>
  </conditionalFormatting>
  <conditionalFormatting sqref="L221:L228">
    <cfRule type="cellIs" dxfId="149" priority="631" stopIfTrue="1" operator="greaterThan">
      <formula>0</formula>
    </cfRule>
  </conditionalFormatting>
  <conditionalFormatting sqref="L221:L228">
    <cfRule type="cellIs" dxfId="148" priority="632" stopIfTrue="1" operator="lessThanOrEqual">
      <formula>0</formula>
    </cfRule>
  </conditionalFormatting>
  <conditionalFormatting sqref="M221:M228">
    <cfRule type="cellIs" dxfId="147" priority="633" stopIfTrue="1" operator="greaterThan">
      <formula>0</formula>
    </cfRule>
  </conditionalFormatting>
  <conditionalFormatting sqref="M221:M228">
    <cfRule type="cellIs" dxfId="146" priority="634" stopIfTrue="1" operator="lessThanOrEqual">
      <formula>0</formula>
    </cfRule>
  </conditionalFormatting>
  <conditionalFormatting sqref="N221:N228">
    <cfRule type="cellIs" dxfId="145" priority="635" stopIfTrue="1" operator="greaterThan">
      <formula>0</formula>
    </cfRule>
  </conditionalFormatting>
  <conditionalFormatting sqref="N221:N228">
    <cfRule type="cellIs" dxfId="144" priority="636" stopIfTrue="1" operator="lessThanOrEqual">
      <formula>0</formula>
    </cfRule>
  </conditionalFormatting>
  <conditionalFormatting sqref="O221:O228">
    <cfRule type="cellIs" dxfId="143" priority="637" stopIfTrue="1" operator="greaterThan">
      <formula>0</formula>
    </cfRule>
  </conditionalFormatting>
  <conditionalFormatting sqref="O221:O228">
    <cfRule type="cellIs" dxfId="142" priority="638" stopIfTrue="1" operator="lessThanOrEqual">
      <formula>0</formula>
    </cfRule>
  </conditionalFormatting>
  <conditionalFormatting sqref="P221:P228">
    <cfRule type="cellIs" dxfId="141" priority="639" stopIfTrue="1" operator="greaterThan">
      <formula>0</formula>
    </cfRule>
  </conditionalFormatting>
  <conditionalFormatting sqref="P221:P228">
    <cfRule type="cellIs" dxfId="140" priority="640" stopIfTrue="1" operator="lessThanOrEqual">
      <formula>0</formula>
    </cfRule>
  </conditionalFormatting>
  <conditionalFormatting sqref="G229:G258">
    <cfRule type="cellIs" dxfId="139" priority="641" stopIfTrue="1" operator="greaterThan">
      <formula>0</formula>
    </cfRule>
  </conditionalFormatting>
  <conditionalFormatting sqref="G229:G258">
    <cfRule type="cellIs" dxfId="138" priority="642" stopIfTrue="1" operator="lessThanOrEqual">
      <formula>0</formula>
    </cfRule>
  </conditionalFormatting>
  <conditionalFormatting sqref="H229:H258">
    <cfRule type="cellIs" dxfId="137" priority="643" stopIfTrue="1" operator="greaterThan">
      <formula>0</formula>
    </cfRule>
  </conditionalFormatting>
  <conditionalFormatting sqref="H229:H258">
    <cfRule type="cellIs" dxfId="136" priority="644" stopIfTrue="1" operator="lessThanOrEqual">
      <formula>0</formula>
    </cfRule>
  </conditionalFormatting>
  <conditionalFormatting sqref="I229:I258">
    <cfRule type="cellIs" dxfId="135" priority="645" stopIfTrue="1" operator="greaterThan">
      <formula>0</formula>
    </cfRule>
  </conditionalFormatting>
  <conditionalFormatting sqref="I229:I258">
    <cfRule type="cellIs" dxfId="134" priority="646" stopIfTrue="1" operator="lessThanOrEqual">
      <formula>0</formula>
    </cfRule>
  </conditionalFormatting>
  <conditionalFormatting sqref="J229:J258">
    <cfRule type="cellIs" dxfId="133" priority="647" stopIfTrue="1" operator="greaterThan">
      <formula>0</formula>
    </cfRule>
  </conditionalFormatting>
  <conditionalFormatting sqref="J229:J258">
    <cfRule type="cellIs" dxfId="132" priority="648" stopIfTrue="1" operator="lessThanOrEqual">
      <formula>0</formula>
    </cfRule>
  </conditionalFormatting>
  <conditionalFormatting sqref="K229:K258">
    <cfRule type="cellIs" dxfId="131" priority="649" stopIfTrue="1" operator="greaterThan">
      <formula>0</formula>
    </cfRule>
  </conditionalFormatting>
  <conditionalFormatting sqref="K229:K258">
    <cfRule type="cellIs" dxfId="130" priority="650" stopIfTrue="1" operator="lessThanOrEqual">
      <formula>0</formula>
    </cfRule>
  </conditionalFormatting>
  <conditionalFormatting sqref="L229:L258">
    <cfRule type="cellIs" dxfId="129" priority="651" stopIfTrue="1" operator="greaterThan">
      <formula>0</formula>
    </cfRule>
  </conditionalFormatting>
  <conditionalFormatting sqref="L229:L258">
    <cfRule type="cellIs" dxfId="128" priority="652" stopIfTrue="1" operator="lessThanOrEqual">
      <formula>0</formula>
    </cfRule>
  </conditionalFormatting>
  <conditionalFormatting sqref="M229:M258">
    <cfRule type="cellIs" dxfId="127" priority="653" stopIfTrue="1" operator="greaterThan">
      <formula>0</formula>
    </cfRule>
  </conditionalFormatting>
  <conditionalFormatting sqref="M229:M258">
    <cfRule type="cellIs" dxfId="126" priority="654" stopIfTrue="1" operator="lessThanOrEqual">
      <formula>0</formula>
    </cfRule>
  </conditionalFormatting>
  <conditionalFormatting sqref="N229:N258">
    <cfRule type="cellIs" dxfId="125" priority="655" stopIfTrue="1" operator="greaterThan">
      <formula>0</formula>
    </cfRule>
  </conditionalFormatting>
  <conditionalFormatting sqref="N229:N258">
    <cfRule type="cellIs" dxfId="124" priority="656" stopIfTrue="1" operator="lessThanOrEqual">
      <formula>0</formula>
    </cfRule>
  </conditionalFormatting>
  <conditionalFormatting sqref="O229:O258">
    <cfRule type="cellIs" dxfId="123" priority="657" stopIfTrue="1" operator="greaterThan">
      <formula>0</formula>
    </cfRule>
  </conditionalFormatting>
  <conditionalFormatting sqref="O229:O258">
    <cfRule type="cellIs" dxfId="122" priority="658" stopIfTrue="1" operator="lessThanOrEqual">
      <formula>0</formula>
    </cfRule>
  </conditionalFormatting>
  <conditionalFormatting sqref="P229:P258">
    <cfRule type="cellIs" dxfId="121" priority="659" stopIfTrue="1" operator="greaterThan">
      <formula>0</formula>
    </cfRule>
  </conditionalFormatting>
  <conditionalFormatting sqref="P229:P258">
    <cfRule type="cellIs" dxfId="120" priority="660" stopIfTrue="1" operator="lessThanOrEqual">
      <formula>0</formula>
    </cfRule>
  </conditionalFormatting>
  <conditionalFormatting sqref="G259:G260">
    <cfRule type="cellIs" dxfId="119" priority="661" stopIfTrue="1" operator="greaterThan">
      <formula>0</formula>
    </cfRule>
  </conditionalFormatting>
  <conditionalFormatting sqref="G259:G260">
    <cfRule type="cellIs" dxfId="118" priority="662" stopIfTrue="1" operator="lessThanOrEqual">
      <formula>0</formula>
    </cfRule>
  </conditionalFormatting>
  <conditionalFormatting sqref="H259:H260">
    <cfRule type="cellIs" dxfId="117" priority="663" stopIfTrue="1" operator="greaterThan">
      <formula>0</formula>
    </cfRule>
  </conditionalFormatting>
  <conditionalFormatting sqref="H259:H260">
    <cfRule type="cellIs" dxfId="116" priority="664" stopIfTrue="1" operator="lessThanOrEqual">
      <formula>0</formula>
    </cfRule>
  </conditionalFormatting>
  <conditionalFormatting sqref="I259:I260">
    <cfRule type="cellIs" dxfId="115" priority="665" stopIfTrue="1" operator="greaterThan">
      <formula>0</formula>
    </cfRule>
  </conditionalFormatting>
  <conditionalFormatting sqref="I259:I260">
    <cfRule type="cellIs" dxfId="114" priority="666" stopIfTrue="1" operator="lessThanOrEqual">
      <formula>0</formula>
    </cfRule>
  </conditionalFormatting>
  <conditionalFormatting sqref="J259:J260">
    <cfRule type="cellIs" dxfId="113" priority="667" stopIfTrue="1" operator="greaterThan">
      <formula>0</formula>
    </cfRule>
  </conditionalFormatting>
  <conditionalFormatting sqref="J259:J260">
    <cfRule type="cellIs" dxfId="112" priority="668" stopIfTrue="1" operator="lessThanOrEqual">
      <formula>0</formula>
    </cfRule>
  </conditionalFormatting>
  <conditionalFormatting sqref="K259:K260">
    <cfRule type="cellIs" dxfId="111" priority="669" stopIfTrue="1" operator="greaterThan">
      <formula>0</formula>
    </cfRule>
  </conditionalFormatting>
  <conditionalFormatting sqref="K259:K260">
    <cfRule type="cellIs" dxfId="110" priority="670" stopIfTrue="1" operator="lessThanOrEqual">
      <formula>0</formula>
    </cfRule>
  </conditionalFormatting>
  <conditionalFormatting sqref="L259:L260">
    <cfRule type="cellIs" dxfId="109" priority="671" stopIfTrue="1" operator="greaterThan">
      <formula>0</formula>
    </cfRule>
  </conditionalFormatting>
  <conditionalFormatting sqref="L259:L260">
    <cfRule type="cellIs" dxfId="108" priority="672" stopIfTrue="1" operator="lessThanOrEqual">
      <formula>0</formula>
    </cfRule>
  </conditionalFormatting>
  <conditionalFormatting sqref="M259:M260">
    <cfRule type="cellIs" dxfId="107" priority="673" stopIfTrue="1" operator="greaterThan">
      <formula>0</formula>
    </cfRule>
  </conditionalFormatting>
  <conditionalFormatting sqref="M259:M260">
    <cfRule type="cellIs" dxfId="106" priority="674" stopIfTrue="1" operator="lessThanOrEqual">
      <formula>0</formula>
    </cfRule>
  </conditionalFormatting>
  <conditionalFormatting sqref="N259:N260">
    <cfRule type="cellIs" dxfId="105" priority="675" stopIfTrue="1" operator="greaterThan">
      <formula>0</formula>
    </cfRule>
  </conditionalFormatting>
  <conditionalFormatting sqref="N259:N260">
    <cfRule type="cellIs" dxfId="104" priority="676" stopIfTrue="1" operator="lessThanOrEqual">
      <formula>0</formula>
    </cfRule>
  </conditionalFormatting>
  <conditionalFormatting sqref="O259:O260">
    <cfRule type="cellIs" dxfId="103" priority="677" stopIfTrue="1" operator="greaterThan">
      <formula>0</formula>
    </cfRule>
  </conditionalFormatting>
  <conditionalFormatting sqref="O259:O260">
    <cfRule type="cellIs" dxfId="102" priority="678" stopIfTrue="1" operator="lessThanOrEqual">
      <formula>0</formula>
    </cfRule>
  </conditionalFormatting>
  <conditionalFormatting sqref="P259:P260">
    <cfRule type="cellIs" dxfId="101" priority="679" stopIfTrue="1" operator="greaterThan">
      <formula>0</formula>
    </cfRule>
  </conditionalFormatting>
  <conditionalFormatting sqref="P259:P260">
    <cfRule type="cellIs" dxfId="100" priority="680" stopIfTrue="1" operator="lessThanOrEqual">
      <formula>0</formula>
    </cfRule>
  </conditionalFormatting>
  <conditionalFormatting sqref="G261:G263">
    <cfRule type="cellIs" dxfId="99" priority="681" stopIfTrue="1" operator="greaterThan">
      <formula>0</formula>
    </cfRule>
  </conditionalFormatting>
  <conditionalFormatting sqref="G261:G263">
    <cfRule type="cellIs" dxfId="98" priority="682" stopIfTrue="1" operator="lessThanOrEqual">
      <formula>0</formula>
    </cfRule>
  </conditionalFormatting>
  <conditionalFormatting sqref="H261:H263">
    <cfRule type="cellIs" dxfId="97" priority="683" stopIfTrue="1" operator="greaterThan">
      <formula>0</formula>
    </cfRule>
  </conditionalFormatting>
  <conditionalFormatting sqref="H261:H263">
    <cfRule type="cellIs" dxfId="96" priority="684" stopIfTrue="1" operator="lessThanOrEqual">
      <formula>0</formula>
    </cfRule>
  </conditionalFormatting>
  <conditionalFormatting sqref="I261:I263">
    <cfRule type="cellIs" dxfId="95" priority="685" stopIfTrue="1" operator="greaterThan">
      <formula>0</formula>
    </cfRule>
  </conditionalFormatting>
  <conditionalFormatting sqref="I261:I263">
    <cfRule type="cellIs" dxfId="94" priority="686" stopIfTrue="1" operator="lessThanOrEqual">
      <formula>0</formula>
    </cfRule>
  </conditionalFormatting>
  <conditionalFormatting sqref="J261:J263">
    <cfRule type="cellIs" dxfId="93" priority="687" stopIfTrue="1" operator="greaterThan">
      <formula>0</formula>
    </cfRule>
  </conditionalFormatting>
  <conditionalFormatting sqref="J261:J263">
    <cfRule type="cellIs" dxfId="92" priority="688" stopIfTrue="1" operator="lessThanOrEqual">
      <formula>0</formula>
    </cfRule>
  </conditionalFormatting>
  <conditionalFormatting sqref="K261:K263">
    <cfRule type="cellIs" dxfId="91" priority="689" stopIfTrue="1" operator="greaterThan">
      <formula>0</formula>
    </cfRule>
  </conditionalFormatting>
  <conditionalFormatting sqref="K261:K263">
    <cfRule type="cellIs" dxfId="90" priority="690" stopIfTrue="1" operator="lessThanOrEqual">
      <formula>0</formula>
    </cfRule>
  </conditionalFormatting>
  <conditionalFormatting sqref="L261:L263">
    <cfRule type="cellIs" dxfId="89" priority="691" stopIfTrue="1" operator="greaterThan">
      <formula>0</formula>
    </cfRule>
  </conditionalFormatting>
  <conditionalFormatting sqref="L261:L263">
    <cfRule type="cellIs" dxfId="88" priority="692" stopIfTrue="1" operator="lessThanOrEqual">
      <formula>0</formula>
    </cfRule>
  </conditionalFormatting>
  <conditionalFormatting sqref="M261:M263">
    <cfRule type="cellIs" dxfId="87" priority="693" stopIfTrue="1" operator="greaterThan">
      <formula>0</formula>
    </cfRule>
  </conditionalFormatting>
  <conditionalFormatting sqref="M261:M263">
    <cfRule type="cellIs" dxfId="86" priority="694" stopIfTrue="1" operator="lessThanOrEqual">
      <formula>0</formula>
    </cfRule>
  </conditionalFormatting>
  <conditionalFormatting sqref="N261:N263">
    <cfRule type="cellIs" dxfId="85" priority="695" stopIfTrue="1" operator="greaterThan">
      <formula>0</formula>
    </cfRule>
  </conditionalFormatting>
  <conditionalFormatting sqref="N261:N263">
    <cfRule type="cellIs" dxfId="84" priority="696" stopIfTrue="1" operator="lessThanOrEqual">
      <formula>0</formula>
    </cfRule>
  </conditionalFormatting>
  <conditionalFormatting sqref="O261:O263">
    <cfRule type="cellIs" dxfId="83" priority="697" stopIfTrue="1" operator="greaterThan">
      <formula>0</formula>
    </cfRule>
  </conditionalFormatting>
  <conditionalFormatting sqref="O261:O263">
    <cfRule type="cellIs" dxfId="82" priority="698" stopIfTrue="1" operator="lessThanOrEqual">
      <formula>0</formula>
    </cfRule>
  </conditionalFormatting>
  <conditionalFormatting sqref="P261:P263">
    <cfRule type="cellIs" dxfId="81" priority="699" stopIfTrue="1" operator="greaterThan">
      <formula>0</formula>
    </cfRule>
  </conditionalFormatting>
  <conditionalFormatting sqref="P261:P263">
    <cfRule type="cellIs" dxfId="80" priority="700" stopIfTrue="1" operator="lessThanOrEqual">
      <formula>0</formula>
    </cfRule>
  </conditionalFormatting>
  <conditionalFormatting sqref="G264:G271">
    <cfRule type="cellIs" dxfId="79" priority="701" stopIfTrue="1" operator="greaterThan">
      <formula>0</formula>
    </cfRule>
  </conditionalFormatting>
  <conditionalFormatting sqref="G264:G271">
    <cfRule type="cellIs" dxfId="78" priority="702" stopIfTrue="1" operator="lessThanOrEqual">
      <formula>0</formula>
    </cfRule>
  </conditionalFormatting>
  <conditionalFormatting sqref="H264:H271">
    <cfRule type="cellIs" dxfId="77" priority="703" stopIfTrue="1" operator="greaterThan">
      <formula>0</formula>
    </cfRule>
  </conditionalFormatting>
  <conditionalFormatting sqref="H264:H271">
    <cfRule type="cellIs" dxfId="76" priority="704" stopIfTrue="1" operator="lessThanOrEqual">
      <formula>0</formula>
    </cfRule>
  </conditionalFormatting>
  <conditionalFormatting sqref="I264:I271">
    <cfRule type="cellIs" dxfId="75" priority="705" stopIfTrue="1" operator="greaterThan">
      <formula>0</formula>
    </cfRule>
  </conditionalFormatting>
  <conditionalFormatting sqref="I264:I271">
    <cfRule type="cellIs" dxfId="74" priority="706" stopIfTrue="1" operator="lessThanOrEqual">
      <formula>0</formula>
    </cfRule>
  </conditionalFormatting>
  <conditionalFormatting sqref="J264:J271">
    <cfRule type="cellIs" dxfId="73" priority="707" stopIfTrue="1" operator="greaterThan">
      <formula>0</formula>
    </cfRule>
  </conditionalFormatting>
  <conditionalFormatting sqref="J264:J271">
    <cfRule type="cellIs" dxfId="72" priority="708" stopIfTrue="1" operator="lessThanOrEqual">
      <formula>0</formula>
    </cfRule>
  </conditionalFormatting>
  <conditionalFormatting sqref="K264:K271">
    <cfRule type="cellIs" dxfId="71" priority="709" stopIfTrue="1" operator="greaterThan">
      <formula>0</formula>
    </cfRule>
  </conditionalFormatting>
  <conditionalFormatting sqref="K264:K271">
    <cfRule type="cellIs" dxfId="70" priority="710" stopIfTrue="1" operator="lessThanOrEqual">
      <formula>0</formula>
    </cfRule>
  </conditionalFormatting>
  <conditionalFormatting sqref="L264:L271">
    <cfRule type="cellIs" dxfId="69" priority="711" stopIfTrue="1" operator="greaterThan">
      <formula>0</formula>
    </cfRule>
  </conditionalFormatting>
  <conditionalFormatting sqref="L264:L271">
    <cfRule type="cellIs" dxfId="68" priority="712" stopIfTrue="1" operator="lessThanOrEqual">
      <formula>0</formula>
    </cfRule>
  </conditionalFormatting>
  <conditionalFormatting sqref="M264:M271">
    <cfRule type="cellIs" dxfId="67" priority="713" stopIfTrue="1" operator="greaterThan">
      <formula>0</formula>
    </cfRule>
  </conditionalFormatting>
  <conditionalFormatting sqref="M264:M271">
    <cfRule type="cellIs" dxfId="66" priority="714" stopIfTrue="1" operator="lessThanOrEqual">
      <formula>0</formula>
    </cfRule>
  </conditionalFormatting>
  <conditionalFormatting sqref="N264:N271">
    <cfRule type="cellIs" dxfId="65" priority="715" stopIfTrue="1" operator="greaterThan">
      <formula>0</formula>
    </cfRule>
  </conditionalFormatting>
  <conditionalFormatting sqref="N264:N271">
    <cfRule type="cellIs" dxfId="64" priority="716" stopIfTrue="1" operator="lessThanOrEqual">
      <formula>0</formula>
    </cfRule>
  </conditionalFormatting>
  <conditionalFormatting sqref="O264:O271">
    <cfRule type="cellIs" dxfId="63" priority="717" stopIfTrue="1" operator="greaterThan">
      <formula>0</formula>
    </cfRule>
  </conditionalFormatting>
  <conditionalFormatting sqref="O264:O271">
    <cfRule type="cellIs" dxfId="62" priority="718" stopIfTrue="1" operator="lessThanOrEqual">
      <formula>0</formula>
    </cfRule>
  </conditionalFormatting>
  <conditionalFormatting sqref="P264:P271">
    <cfRule type="cellIs" dxfId="61" priority="719" stopIfTrue="1" operator="greaterThan">
      <formula>0</formula>
    </cfRule>
  </conditionalFormatting>
  <conditionalFormatting sqref="P264:P271">
    <cfRule type="cellIs" dxfId="60" priority="720" stopIfTrue="1" operator="lessThanOrEqual">
      <formula>0</formula>
    </cfRule>
  </conditionalFormatting>
  <conditionalFormatting sqref="G272:G275">
    <cfRule type="cellIs" dxfId="59" priority="721" stopIfTrue="1" operator="greaterThan">
      <formula>0</formula>
    </cfRule>
  </conditionalFormatting>
  <conditionalFormatting sqref="G272:G275">
    <cfRule type="cellIs" dxfId="58" priority="722" stopIfTrue="1" operator="lessThanOrEqual">
      <formula>0</formula>
    </cfRule>
  </conditionalFormatting>
  <conditionalFormatting sqref="H272:H275">
    <cfRule type="cellIs" dxfId="57" priority="723" stopIfTrue="1" operator="greaterThan">
      <formula>0</formula>
    </cfRule>
  </conditionalFormatting>
  <conditionalFormatting sqref="H272:H275">
    <cfRule type="cellIs" dxfId="56" priority="724" stopIfTrue="1" operator="lessThanOrEqual">
      <formula>0</formula>
    </cfRule>
  </conditionalFormatting>
  <conditionalFormatting sqref="I272:I275">
    <cfRule type="cellIs" dxfId="55" priority="725" stopIfTrue="1" operator="greaterThan">
      <formula>0</formula>
    </cfRule>
  </conditionalFormatting>
  <conditionalFormatting sqref="I272:I275">
    <cfRule type="cellIs" dxfId="54" priority="726" stopIfTrue="1" operator="lessThanOrEqual">
      <formula>0</formula>
    </cfRule>
  </conditionalFormatting>
  <conditionalFormatting sqref="J272:J275">
    <cfRule type="cellIs" dxfId="53" priority="727" stopIfTrue="1" operator="greaterThan">
      <formula>0</formula>
    </cfRule>
  </conditionalFormatting>
  <conditionalFormatting sqref="J272:J275">
    <cfRule type="cellIs" dxfId="52" priority="728" stopIfTrue="1" operator="lessThanOrEqual">
      <formula>0</formula>
    </cfRule>
  </conditionalFormatting>
  <conditionalFormatting sqref="K272:K275">
    <cfRule type="cellIs" dxfId="51" priority="729" stopIfTrue="1" operator="greaterThan">
      <formula>0</formula>
    </cfRule>
  </conditionalFormatting>
  <conditionalFormatting sqref="K272:K275">
    <cfRule type="cellIs" dxfId="50" priority="730" stopIfTrue="1" operator="lessThanOrEqual">
      <formula>0</formula>
    </cfRule>
  </conditionalFormatting>
  <conditionalFormatting sqref="L272:L275">
    <cfRule type="cellIs" dxfId="49" priority="731" stopIfTrue="1" operator="greaterThan">
      <formula>0</formula>
    </cfRule>
  </conditionalFormatting>
  <conditionalFormatting sqref="L272:L275">
    <cfRule type="cellIs" dxfId="48" priority="732" stopIfTrue="1" operator="lessThanOrEqual">
      <formula>0</formula>
    </cfRule>
  </conditionalFormatting>
  <conditionalFormatting sqref="M272:M275">
    <cfRule type="cellIs" dxfId="47" priority="733" stopIfTrue="1" operator="greaterThan">
      <formula>0</formula>
    </cfRule>
  </conditionalFormatting>
  <conditionalFormatting sqref="M272:M275">
    <cfRule type="cellIs" dxfId="46" priority="734" stopIfTrue="1" operator="lessThanOrEqual">
      <formula>0</formula>
    </cfRule>
  </conditionalFormatting>
  <conditionalFormatting sqref="N272:N275">
    <cfRule type="cellIs" dxfId="45" priority="735" stopIfTrue="1" operator="greaterThan">
      <formula>0</formula>
    </cfRule>
  </conditionalFormatting>
  <conditionalFormatting sqref="N272:N275">
    <cfRule type="cellIs" dxfId="44" priority="736" stopIfTrue="1" operator="lessThanOrEqual">
      <formula>0</formula>
    </cfRule>
  </conditionalFormatting>
  <conditionalFormatting sqref="O272:O275">
    <cfRule type="cellIs" dxfId="43" priority="737" stopIfTrue="1" operator="greaterThan">
      <formula>0</formula>
    </cfRule>
  </conditionalFormatting>
  <conditionalFormatting sqref="O272:O275">
    <cfRule type="cellIs" dxfId="42" priority="738" stopIfTrue="1" operator="lessThanOrEqual">
      <formula>0</formula>
    </cfRule>
  </conditionalFormatting>
  <conditionalFormatting sqref="P272:P275">
    <cfRule type="cellIs" dxfId="41" priority="739" stopIfTrue="1" operator="greaterThan">
      <formula>0</formula>
    </cfRule>
  </conditionalFormatting>
  <conditionalFormatting sqref="P272:P275">
    <cfRule type="cellIs" dxfId="40" priority="740" stopIfTrue="1" operator="lessThanOrEqual">
      <formula>0</formula>
    </cfRule>
  </conditionalFormatting>
  <conditionalFormatting sqref="G276:G277">
    <cfRule type="cellIs" dxfId="39" priority="741" stopIfTrue="1" operator="greaterThan">
      <formula>0</formula>
    </cfRule>
  </conditionalFormatting>
  <conditionalFormatting sqref="G276:G277">
    <cfRule type="cellIs" dxfId="38" priority="742" stopIfTrue="1" operator="lessThanOrEqual">
      <formula>0</formula>
    </cfRule>
  </conditionalFormatting>
  <conditionalFormatting sqref="H276:H277">
    <cfRule type="cellIs" dxfId="37" priority="743" stopIfTrue="1" operator="greaterThan">
      <formula>0</formula>
    </cfRule>
  </conditionalFormatting>
  <conditionalFormatting sqref="H276:H277">
    <cfRule type="cellIs" dxfId="36" priority="744" stopIfTrue="1" operator="lessThanOrEqual">
      <formula>0</formula>
    </cfRule>
  </conditionalFormatting>
  <conditionalFormatting sqref="I276:I277">
    <cfRule type="cellIs" dxfId="35" priority="745" stopIfTrue="1" operator="greaterThan">
      <formula>0</formula>
    </cfRule>
  </conditionalFormatting>
  <conditionalFormatting sqref="I276:I277">
    <cfRule type="cellIs" dxfId="34" priority="746" stopIfTrue="1" operator="lessThanOrEqual">
      <formula>0</formula>
    </cfRule>
  </conditionalFormatting>
  <conditionalFormatting sqref="J276:J277">
    <cfRule type="cellIs" dxfId="33" priority="747" stopIfTrue="1" operator="greaterThan">
      <formula>0</formula>
    </cfRule>
  </conditionalFormatting>
  <conditionalFormatting sqref="J276:J277">
    <cfRule type="cellIs" dxfId="32" priority="748" stopIfTrue="1" operator="lessThanOrEqual">
      <formula>0</formula>
    </cfRule>
  </conditionalFormatting>
  <conditionalFormatting sqref="K276:K277">
    <cfRule type="cellIs" dxfId="31" priority="749" stopIfTrue="1" operator="greaterThan">
      <formula>0</formula>
    </cfRule>
  </conditionalFormatting>
  <conditionalFormatting sqref="K276:K277">
    <cfRule type="cellIs" dxfId="30" priority="750" stopIfTrue="1" operator="lessThanOrEqual">
      <formula>0</formula>
    </cfRule>
  </conditionalFormatting>
  <conditionalFormatting sqref="L276:L277">
    <cfRule type="cellIs" dxfId="29" priority="751" stopIfTrue="1" operator="greaterThan">
      <formula>0</formula>
    </cfRule>
  </conditionalFormatting>
  <conditionalFormatting sqref="L276:L277">
    <cfRule type="cellIs" dxfId="28" priority="752" stopIfTrue="1" operator="lessThanOrEqual">
      <formula>0</formula>
    </cfRule>
  </conditionalFormatting>
  <conditionalFormatting sqref="M276:M277">
    <cfRule type="cellIs" dxfId="27" priority="753" stopIfTrue="1" operator="greaterThan">
      <formula>0</formula>
    </cfRule>
  </conditionalFormatting>
  <conditionalFormatting sqref="M276:M277">
    <cfRule type="cellIs" dxfId="26" priority="754" stopIfTrue="1" operator="lessThanOrEqual">
      <formula>0</formula>
    </cfRule>
  </conditionalFormatting>
  <conditionalFormatting sqref="N276:N277">
    <cfRule type="cellIs" dxfId="25" priority="755" stopIfTrue="1" operator="greaterThan">
      <formula>0</formula>
    </cfRule>
  </conditionalFormatting>
  <conditionalFormatting sqref="N276:N277">
    <cfRule type="cellIs" dxfId="24" priority="756" stopIfTrue="1" operator="lessThanOrEqual">
      <formula>0</formula>
    </cfRule>
  </conditionalFormatting>
  <conditionalFormatting sqref="O276:O277">
    <cfRule type="cellIs" dxfId="23" priority="757" stopIfTrue="1" operator="greaterThan">
      <formula>0</formula>
    </cfRule>
  </conditionalFormatting>
  <conditionalFormatting sqref="O276:O277">
    <cfRule type="cellIs" dxfId="22" priority="758" stopIfTrue="1" operator="lessThanOrEqual">
      <formula>0</formula>
    </cfRule>
  </conditionalFormatting>
  <conditionalFormatting sqref="P276:P277">
    <cfRule type="cellIs" dxfId="21" priority="759" stopIfTrue="1" operator="greaterThan">
      <formula>0</formula>
    </cfRule>
  </conditionalFormatting>
  <conditionalFormatting sqref="P276:P277">
    <cfRule type="cellIs" dxfId="20" priority="760" stopIfTrue="1" operator="lessThanOrEqual">
      <formula>0</formula>
    </cfRule>
  </conditionalFormatting>
  <conditionalFormatting sqref="G278:G281">
    <cfRule type="cellIs" dxfId="19" priority="761" stopIfTrue="1" operator="greaterThan">
      <formula>0</formula>
    </cfRule>
  </conditionalFormatting>
  <conditionalFormatting sqref="G278:G281">
    <cfRule type="cellIs" dxfId="18" priority="762" stopIfTrue="1" operator="lessThanOrEqual">
      <formula>0</formula>
    </cfRule>
  </conditionalFormatting>
  <conditionalFormatting sqref="H278:H281">
    <cfRule type="cellIs" dxfId="17" priority="763" stopIfTrue="1" operator="greaterThan">
      <formula>0</formula>
    </cfRule>
  </conditionalFormatting>
  <conditionalFormatting sqref="H278:H281">
    <cfRule type="cellIs" dxfId="16" priority="764" stopIfTrue="1" operator="lessThanOrEqual">
      <formula>0</formula>
    </cfRule>
  </conditionalFormatting>
  <conditionalFormatting sqref="I278:I281">
    <cfRule type="cellIs" dxfId="15" priority="765" stopIfTrue="1" operator="greaterThan">
      <formula>0</formula>
    </cfRule>
  </conditionalFormatting>
  <conditionalFormatting sqref="I278:I281">
    <cfRule type="cellIs" dxfId="14" priority="766" stopIfTrue="1" operator="lessThanOrEqual">
      <formula>0</formula>
    </cfRule>
  </conditionalFormatting>
  <conditionalFormatting sqref="J278:J281">
    <cfRule type="cellIs" dxfId="13" priority="767" stopIfTrue="1" operator="greaterThan">
      <formula>0</formula>
    </cfRule>
  </conditionalFormatting>
  <conditionalFormatting sqref="J278:J281">
    <cfRule type="cellIs" dxfId="12" priority="768" stopIfTrue="1" operator="lessThanOrEqual">
      <formula>0</formula>
    </cfRule>
  </conditionalFormatting>
  <conditionalFormatting sqref="K278:K281">
    <cfRule type="cellIs" dxfId="11" priority="769" stopIfTrue="1" operator="greaterThan">
      <formula>0</formula>
    </cfRule>
  </conditionalFormatting>
  <conditionalFormatting sqref="K278:K281">
    <cfRule type="cellIs" dxfId="10" priority="770" stopIfTrue="1" operator="lessThanOrEqual">
      <formula>0</formula>
    </cfRule>
  </conditionalFormatting>
  <conditionalFormatting sqref="L278:L281">
    <cfRule type="cellIs" dxfId="9" priority="771" stopIfTrue="1" operator="greaterThan">
      <formula>0</formula>
    </cfRule>
  </conditionalFormatting>
  <conditionalFormatting sqref="L278:L281">
    <cfRule type="cellIs" dxfId="8" priority="772" stopIfTrue="1" operator="lessThanOrEqual">
      <formula>0</formula>
    </cfRule>
  </conditionalFormatting>
  <conditionalFormatting sqref="M278:M281">
    <cfRule type="cellIs" dxfId="7" priority="773" stopIfTrue="1" operator="greaterThan">
      <formula>0</formula>
    </cfRule>
  </conditionalFormatting>
  <conditionalFormatting sqref="M278:M281">
    <cfRule type="cellIs" dxfId="6" priority="774" stopIfTrue="1" operator="lessThanOrEqual">
      <formula>0</formula>
    </cfRule>
  </conditionalFormatting>
  <conditionalFormatting sqref="N278:N281">
    <cfRule type="cellIs" dxfId="5" priority="775" stopIfTrue="1" operator="greaterThan">
      <formula>0</formula>
    </cfRule>
  </conditionalFormatting>
  <conditionalFormatting sqref="N278:N281">
    <cfRule type="cellIs" dxfId="4" priority="776" stopIfTrue="1" operator="lessThanOrEqual">
      <formula>0</formula>
    </cfRule>
  </conditionalFormatting>
  <conditionalFormatting sqref="O278:O281">
    <cfRule type="cellIs" dxfId="3" priority="777" stopIfTrue="1" operator="greaterThan">
      <formula>0</formula>
    </cfRule>
  </conditionalFormatting>
  <conditionalFormatting sqref="O278:O281">
    <cfRule type="cellIs" dxfId="2" priority="778" stopIfTrue="1" operator="lessThanOrEqual">
      <formula>0</formula>
    </cfRule>
  </conditionalFormatting>
  <conditionalFormatting sqref="P278:P281">
    <cfRule type="cellIs" dxfId="1" priority="779" stopIfTrue="1" operator="greaterThan">
      <formula>0</formula>
    </cfRule>
  </conditionalFormatting>
  <conditionalFormatting sqref="P278:P281">
    <cfRule type="cellIs" dxfId="0" priority="780" stopIfTrue="1" operator="lessThanOrEqual">
      <formula>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9A0C8D-38CC-4D9E-978C-4024973B1C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Query</vt:lpstr>
      <vt:lpstr>Fund Info</vt:lpstr>
      <vt:lpstr>Fund Info Table</vt:lpstr>
      <vt:lpstr>Dashboard</vt:lpstr>
    </vt:vector>
  </TitlesOfParts>
  <Company>Meeder Investment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Stockman</dc:creator>
  <cp:lastModifiedBy>Derek Stockman</cp:lastModifiedBy>
  <dcterms:created xsi:type="dcterms:W3CDTF">2024-12-10T14:59:56Z</dcterms:created>
  <dcterms:modified xsi:type="dcterms:W3CDTF">2025-01-14T20:58:39Z</dcterms:modified>
</cp:coreProperties>
</file>